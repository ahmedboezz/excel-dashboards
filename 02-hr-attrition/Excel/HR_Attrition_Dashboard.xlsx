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F:\CV\DataAnalyst\Freelance_Portfolio\02_HR_Attrition\Excel\"/>
    </mc:Choice>
  </mc:AlternateContent>
  <xr:revisionPtr revIDLastSave="0" documentId="13_ncr:1_{54F5A2D0-D9EA-44C4-9FB1-8DF98AEC66F4}" xr6:coauthVersionLast="47" xr6:coauthVersionMax="47" xr10:uidLastSave="{00000000-0000-0000-0000-000000000000}"/>
  <bookViews>
    <workbookView xWindow="-120" yWindow="-120" windowWidth="20730" windowHeight="11160" xr2:uid="{00000000-000D-0000-FFFF-FFFF00000000}"/>
  </bookViews>
  <sheets>
    <sheet name="Dashboard" sheetId="1" r:id="rId1"/>
    <sheet name="Pivots" sheetId="2" r:id="rId2"/>
    <sheet name="Data" sheetId="3" r:id="rId3"/>
    <sheet name="About" sheetId="4" r:id="rId4"/>
  </sheets>
  <definedNames>
    <definedName name="_xlnm.Print_Area" localSheetId="0">Dashboard!$A$1:$BP$50</definedName>
    <definedName name="Slicer_Department">#N/A</definedName>
    <definedName name="Slicer_JobLevel">#N/A</definedName>
    <definedName name="Slicer_Overtime">#N/A</definedName>
    <definedName name="Slicer_WorkMode">#N/A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 l="1"/>
  <c r="B34" i="1"/>
  <c r="B27" i="1"/>
  <c r="B20" i="1"/>
  <c r="B13" i="1"/>
</calcChain>
</file>

<file path=xl/sharedStrings.xml><?xml version="1.0" encoding="utf-8"?>
<sst xmlns="http://schemas.openxmlformats.org/spreadsheetml/2006/main" count="15920" uniqueCount="1818">
  <si>
    <t>EmployeeID</t>
  </si>
  <si>
    <t>Department</t>
  </si>
  <si>
    <t>JobLevel</t>
  </si>
  <si>
    <t>Gender</t>
  </si>
  <si>
    <t>Age</t>
  </si>
  <si>
    <t>AgeBand</t>
  </si>
  <si>
    <t>WorkMode</t>
  </si>
  <si>
    <t>HireDate</t>
  </si>
  <si>
    <t>TenureYears</t>
  </si>
  <si>
    <t>TenureBand</t>
  </si>
  <si>
    <t>MonthlySalary</t>
  </si>
  <si>
    <t>Overtime</t>
  </si>
  <si>
    <t>Satisfaction</t>
  </si>
  <si>
    <t>PerformanceRating</t>
  </si>
  <si>
    <t>TrainingHours</t>
  </si>
  <si>
    <t>Status</t>
  </si>
  <si>
    <t>ExitDate</t>
  </si>
  <si>
    <t>ExitYear</t>
  </si>
  <si>
    <t>ExitMonth</t>
  </si>
  <si>
    <t>ExitReason</t>
  </si>
  <si>
    <t>Employees</t>
  </si>
  <si>
    <t>Active</t>
  </si>
  <si>
    <t>Left</t>
  </si>
  <si>
    <t>E10001</t>
  </si>
  <si>
    <t>Customer Support</t>
  </si>
  <si>
    <t>Junior</t>
  </si>
  <si>
    <t>Female</t>
  </si>
  <si>
    <t>26-35</t>
  </si>
  <si>
    <t>Hybrid</t>
  </si>
  <si>
    <t>1-3 yrs</t>
  </si>
  <si>
    <t>No</t>
  </si>
  <si>
    <t>2024</t>
  </si>
  <si>
    <t>Jun</t>
  </si>
  <si>
    <t>Better pay</t>
  </si>
  <si>
    <t>E10002</t>
  </si>
  <si>
    <t>Operations</t>
  </si>
  <si>
    <t>Mid</t>
  </si>
  <si>
    <t>Male</t>
  </si>
  <si>
    <t>Onsite</t>
  </si>
  <si>
    <t>5+ yrs</t>
  </si>
  <si>
    <t>2025</t>
  </si>
  <si>
    <t>Aug</t>
  </si>
  <si>
    <t>Career growth</t>
  </si>
  <si>
    <t>E10003</t>
  </si>
  <si>
    <t>Finance</t>
  </si>
  <si>
    <t>Senior</t>
  </si>
  <si>
    <t>36-45</t>
  </si>
  <si>
    <t>E10004</t>
  </si>
  <si>
    <t>Engineering</t>
  </si>
  <si>
    <t>E10005</t>
  </si>
  <si>
    <t>3-5 yrs</t>
  </si>
  <si>
    <t>E10006</t>
  </si>
  <si>
    <t>Remote</t>
  </si>
  <si>
    <t>E10007</t>
  </si>
  <si>
    <t>E10008</t>
  </si>
  <si>
    <t>Marketing</t>
  </si>
  <si>
    <t>E10009</t>
  </si>
  <si>
    <t>20-25</t>
  </si>
  <si>
    <t>Yes</t>
  </si>
  <si>
    <t>Mar</t>
  </si>
  <si>
    <t>Work-life balance</t>
  </si>
  <si>
    <t>E10010</t>
  </si>
  <si>
    <t>E10011</t>
  </si>
  <si>
    <t>E10012</t>
  </si>
  <si>
    <t>0-1 yr</t>
  </si>
  <si>
    <t>E10013</t>
  </si>
  <si>
    <t>E10014</t>
  </si>
  <si>
    <t>E10015</t>
  </si>
  <si>
    <t>E10016</t>
  </si>
  <si>
    <t>E10017</t>
  </si>
  <si>
    <t>Sales</t>
  </si>
  <si>
    <t>E10018</t>
  </si>
  <si>
    <t>E10019</t>
  </si>
  <si>
    <t>HR</t>
  </si>
  <si>
    <t>E10020</t>
  </si>
  <si>
    <t>E10021</t>
  </si>
  <si>
    <t>E10022</t>
  </si>
  <si>
    <t>E10023</t>
  </si>
  <si>
    <t>E10024</t>
  </si>
  <si>
    <t>E10025</t>
  </si>
  <si>
    <t>E10026</t>
  </si>
  <si>
    <t>E10027</t>
  </si>
  <si>
    <t>E10028</t>
  </si>
  <si>
    <t>E10029</t>
  </si>
  <si>
    <t>Jul</t>
  </si>
  <si>
    <t>Other</t>
  </si>
  <si>
    <t>E10030</t>
  </si>
  <si>
    <t>Manager</t>
  </si>
  <si>
    <t>46+</t>
  </si>
  <si>
    <t>E10031</t>
  </si>
  <si>
    <t>E10032</t>
  </si>
  <si>
    <t>E10033</t>
  </si>
  <si>
    <t>Dec</t>
  </si>
  <si>
    <t>E10034</t>
  </si>
  <si>
    <t>E10035</t>
  </si>
  <si>
    <t>E10036</t>
  </si>
  <si>
    <t>E10037</t>
  </si>
  <si>
    <t>E10038</t>
  </si>
  <si>
    <t>E10039</t>
  </si>
  <si>
    <t>E10040</t>
  </si>
  <si>
    <t>E10041</t>
  </si>
  <si>
    <t>E10042</t>
  </si>
  <si>
    <t>E10043</t>
  </si>
  <si>
    <t>Feb</t>
  </si>
  <si>
    <t>E10044</t>
  </si>
  <si>
    <t>E10045</t>
  </si>
  <si>
    <t>E10046</t>
  </si>
  <si>
    <t>Jan</t>
  </si>
  <si>
    <t>E10047</t>
  </si>
  <si>
    <t>E10048</t>
  </si>
  <si>
    <t>E10049</t>
  </si>
  <si>
    <t>E10050</t>
  </si>
  <si>
    <t>E10051</t>
  </si>
  <si>
    <t>E10052</t>
  </si>
  <si>
    <t>E10053</t>
  </si>
  <si>
    <t>E10054</t>
  </si>
  <si>
    <t>E10055</t>
  </si>
  <si>
    <t>E10056</t>
  </si>
  <si>
    <t>E10057</t>
  </si>
  <si>
    <t>E10058</t>
  </si>
  <si>
    <t>E10059</t>
  </si>
  <si>
    <t>E10060</t>
  </si>
  <si>
    <t>E10061</t>
  </si>
  <si>
    <t>E10062</t>
  </si>
  <si>
    <t>E10063</t>
  </si>
  <si>
    <t>E10064</t>
  </si>
  <si>
    <t>E10065</t>
  </si>
  <si>
    <t>E10066</t>
  </si>
  <si>
    <t>E10067</t>
  </si>
  <si>
    <t>E10068</t>
  </si>
  <si>
    <t>E10069</t>
  </si>
  <si>
    <t>E10070</t>
  </si>
  <si>
    <t>E10071</t>
  </si>
  <si>
    <t>E10072</t>
  </si>
  <si>
    <t>E10073</t>
  </si>
  <si>
    <t>E10074</t>
  </si>
  <si>
    <t>E10075</t>
  </si>
  <si>
    <t>E10076</t>
  </si>
  <si>
    <t>E10077</t>
  </si>
  <si>
    <t>E10078</t>
  </si>
  <si>
    <t>E10079</t>
  </si>
  <si>
    <t>E10080</t>
  </si>
  <si>
    <t>E10081</t>
  </si>
  <si>
    <t>E10082</t>
  </si>
  <si>
    <t>E10083</t>
  </si>
  <si>
    <t>E10084</t>
  </si>
  <si>
    <t>E10085</t>
  </si>
  <si>
    <t>E10086</t>
  </si>
  <si>
    <t>E10087</t>
  </si>
  <si>
    <t>E10088</t>
  </si>
  <si>
    <t>E10089</t>
  </si>
  <si>
    <t>Manager relationship</t>
  </si>
  <si>
    <t>E10090</t>
  </si>
  <si>
    <t>Apr</t>
  </si>
  <si>
    <t>E10091</t>
  </si>
  <si>
    <t>E10092</t>
  </si>
  <si>
    <t>E10093</t>
  </si>
  <si>
    <t>E10094</t>
  </si>
  <si>
    <t>E10095</t>
  </si>
  <si>
    <t>E10096</t>
  </si>
  <si>
    <t>E10097</t>
  </si>
  <si>
    <t>E10098</t>
  </si>
  <si>
    <t>E10099</t>
  </si>
  <si>
    <t>E10100</t>
  </si>
  <si>
    <t>E10101</t>
  </si>
  <si>
    <t>E10102</t>
  </si>
  <si>
    <t>E10103</t>
  </si>
  <si>
    <t>E10104</t>
  </si>
  <si>
    <t>E10105</t>
  </si>
  <si>
    <t>May</t>
  </si>
  <si>
    <t>E10106</t>
  </si>
  <si>
    <t>E10107</t>
  </si>
  <si>
    <t>E10108</t>
  </si>
  <si>
    <t>E10109</t>
  </si>
  <si>
    <t>E10110</t>
  </si>
  <si>
    <t>E10111</t>
  </si>
  <si>
    <t>E10112</t>
  </si>
  <si>
    <t>E10113</t>
  </si>
  <si>
    <t>E10114</t>
  </si>
  <si>
    <t>E10115</t>
  </si>
  <si>
    <t>E10116</t>
  </si>
  <si>
    <t>E10117</t>
  </si>
  <si>
    <t>Nov</t>
  </si>
  <si>
    <t>E10118</t>
  </si>
  <si>
    <t>E10119</t>
  </si>
  <si>
    <t>E10120</t>
  </si>
  <si>
    <t>E10121</t>
  </si>
  <si>
    <t>E10122</t>
  </si>
  <si>
    <t>E10123</t>
  </si>
  <si>
    <t>E10124</t>
  </si>
  <si>
    <t>E10125</t>
  </si>
  <si>
    <t>E10126</t>
  </si>
  <si>
    <t>E10127</t>
  </si>
  <si>
    <t>E10128</t>
  </si>
  <si>
    <t>E10129</t>
  </si>
  <si>
    <t>E10130</t>
  </si>
  <si>
    <t>E10131</t>
  </si>
  <si>
    <t>E10132</t>
  </si>
  <si>
    <t>E10133</t>
  </si>
  <si>
    <t>E10134</t>
  </si>
  <si>
    <t>E10135</t>
  </si>
  <si>
    <t>E10136</t>
  </si>
  <si>
    <t>E10137</t>
  </si>
  <si>
    <t>E10138</t>
  </si>
  <si>
    <t>E10139</t>
  </si>
  <si>
    <t>E10140</t>
  </si>
  <si>
    <t>Oct</t>
  </si>
  <si>
    <t>E10141</t>
  </si>
  <si>
    <t>E10142</t>
  </si>
  <si>
    <t>E10143</t>
  </si>
  <si>
    <t>E10144</t>
  </si>
  <si>
    <t>E10145</t>
  </si>
  <si>
    <t>E10146</t>
  </si>
  <si>
    <t>E10147</t>
  </si>
  <si>
    <t>E10148</t>
  </si>
  <si>
    <t>E10149</t>
  </si>
  <si>
    <t>E10150</t>
  </si>
  <si>
    <t>E10151</t>
  </si>
  <si>
    <t>E10152</t>
  </si>
  <si>
    <t>E10153</t>
  </si>
  <si>
    <t>E10154</t>
  </si>
  <si>
    <t>E10155</t>
  </si>
  <si>
    <t>E10156</t>
  </si>
  <si>
    <t>E10157</t>
  </si>
  <si>
    <t>E10158</t>
  </si>
  <si>
    <t>E10159</t>
  </si>
  <si>
    <t>E10160</t>
  </si>
  <si>
    <t>E10161</t>
  </si>
  <si>
    <t>E10162</t>
  </si>
  <si>
    <t>E10163</t>
  </si>
  <si>
    <t>E10164</t>
  </si>
  <si>
    <t>E10165</t>
  </si>
  <si>
    <t>E10166</t>
  </si>
  <si>
    <t>E10167</t>
  </si>
  <si>
    <t>E10168</t>
  </si>
  <si>
    <t>E10169</t>
  </si>
  <si>
    <t>E10170</t>
  </si>
  <si>
    <t>E10171</t>
  </si>
  <si>
    <t>E10172</t>
  </si>
  <si>
    <t>E10173</t>
  </si>
  <si>
    <t>E10174</t>
  </si>
  <si>
    <t>E10175</t>
  </si>
  <si>
    <t>E10176</t>
  </si>
  <si>
    <t>E10177</t>
  </si>
  <si>
    <t>E10178</t>
  </si>
  <si>
    <t>E10179</t>
  </si>
  <si>
    <t>E10180</t>
  </si>
  <si>
    <t>E10181</t>
  </si>
  <si>
    <t>E10182</t>
  </si>
  <si>
    <t>E10183</t>
  </si>
  <si>
    <t>E10184</t>
  </si>
  <si>
    <t>E10185</t>
  </si>
  <si>
    <t>E10186</t>
  </si>
  <si>
    <t>E10187</t>
  </si>
  <si>
    <t>E10188</t>
  </si>
  <si>
    <t>E10189</t>
  </si>
  <si>
    <t>E10190</t>
  </si>
  <si>
    <t>E10191</t>
  </si>
  <si>
    <t>E10192</t>
  </si>
  <si>
    <t>Sep</t>
  </si>
  <si>
    <t>E10193</t>
  </si>
  <si>
    <t>E10194</t>
  </si>
  <si>
    <t>E10195</t>
  </si>
  <si>
    <t>E10196</t>
  </si>
  <si>
    <t>E10197</t>
  </si>
  <si>
    <t>E10198</t>
  </si>
  <si>
    <t>E10199</t>
  </si>
  <si>
    <t>E10200</t>
  </si>
  <si>
    <t>E10201</t>
  </si>
  <si>
    <t>E10202</t>
  </si>
  <si>
    <t>E10203</t>
  </si>
  <si>
    <t>E10204</t>
  </si>
  <si>
    <t>E10205</t>
  </si>
  <si>
    <t>E10206</t>
  </si>
  <si>
    <t>E10207</t>
  </si>
  <si>
    <t>E10208</t>
  </si>
  <si>
    <t>E10209</t>
  </si>
  <si>
    <t>E10210</t>
  </si>
  <si>
    <t>E10211</t>
  </si>
  <si>
    <t>E10212</t>
  </si>
  <si>
    <t>E10213</t>
  </si>
  <si>
    <t>E10214</t>
  </si>
  <si>
    <t>E10215</t>
  </si>
  <si>
    <t>E10216</t>
  </si>
  <si>
    <t>E10217</t>
  </si>
  <si>
    <t>E10218</t>
  </si>
  <si>
    <t>E10219</t>
  </si>
  <si>
    <t>E10220</t>
  </si>
  <si>
    <t>E10221</t>
  </si>
  <si>
    <t>E10222</t>
  </si>
  <si>
    <t>E10223</t>
  </si>
  <si>
    <t>E10224</t>
  </si>
  <si>
    <t>E10225</t>
  </si>
  <si>
    <t>E10226</t>
  </si>
  <si>
    <t>E10227</t>
  </si>
  <si>
    <t>E10228</t>
  </si>
  <si>
    <t>E10229</t>
  </si>
  <si>
    <t>E10230</t>
  </si>
  <si>
    <t>E10231</t>
  </si>
  <si>
    <t>E10232</t>
  </si>
  <si>
    <t>E10233</t>
  </si>
  <si>
    <t>E10234</t>
  </si>
  <si>
    <t>E10235</t>
  </si>
  <si>
    <t>E10236</t>
  </si>
  <si>
    <t>E10237</t>
  </si>
  <si>
    <t>E10238</t>
  </si>
  <si>
    <t>E10239</t>
  </si>
  <si>
    <t>E10240</t>
  </si>
  <si>
    <t>E10241</t>
  </si>
  <si>
    <t>E10242</t>
  </si>
  <si>
    <t>E10243</t>
  </si>
  <si>
    <t>E10244</t>
  </si>
  <si>
    <t>E10245</t>
  </si>
  <si>
    <t>E10246</t>
  </si>
  <si>
    <t>E10247</t>
  </si>
  <si>
    <t>E10248</t>
  </si>
  <si>
    <t>E10249</t>
  </si>
  <si>
    <t>E10250</t>
  </si>
  <si>
    <t>E10251</t>
  </si>
  <si>
    <t>E10252</t>
  </si>
  <si>
    <t>E10253</t>
  </si>
  <si>
    <t>E10254</t>
  </si>
  <si>
    <t>E10255</t>
  </si>
  <si>
    <t>E10256</t>
  </si>
  <si>
    <t>E10257</t>
  </si>
  <si>
    <t>E10258</t>
  </si>
  <si>
    <t>E10259</t>
  </si>
  <si>
    <t>E10260</t>
  </si>
  <si>
    <t>E10261</t>
  </si>
  <si>
    <t>E10262</t>
  </si>
  <si>
    <t>E10263</t>
  </si>
  <si>
    <t>E10264</t>
  </si>
  <si>
    <t>E10265</t>
  </si>
  <si>
    <t>E10266</t>
  </si>
  <si>
    <t>E10267</t>
  </si>
  <si>
    <t>E10268</t>
  </si>
  <si>
    <t>E10269</t>
  </si>
  <si>
    <t>E10270</t>
  </si>
  <si>
    <t>E10271</t>
  </si>
  <si>
    <t>E10272</t>
  </si>
  <si>
    <t>E10273</t>
  </si>
  <si>
    <t>E10274</t>
  </si>
  <si>
    <t>E10275</t>
  </si>
  <si>
    <t>E10276</t>
  </si>
  <si>
    <t>E10277</t>
  </si>
  <si>
    <t>E10278</t>
  </si>
  <si>
    <t>E10279</t>
  </si>
  <si>
    <t>E10280</t>
  </si>
  <si>
    <t>E10281</t>
  </si>
  <si>
    <t>E10282</t>
  </si>
  <si>
    <t>E10283</t>
  </si>
  <si>
    <t>E10284</t>
  </si>
  <si>
    <t>E10285</t>
  </si>
  <si>
    <t>E10286</t>
  </si>
  <si>
    <t>E10287</t>
  </si>
  <si>
    <t>E10288</t>
  </si>
  <si>
    <t>E10289</t>
  </si>
  <si>
    <t>E10290</t>
  </si>
  <si>
    <t>E10291</t>
  </si>
  <si>
    <t>E10292</t>
  </si>
  <si>
    <t>E10293</t>
  </si>
  <si>
    <t>E10294</t>
  </si>
  <si>
    <t>E10295</t>
  </si>
  <si>
    <t>E10296</t>
  </si>
  <si>
    <t>E10297</t>
  </si>
  <si>
    <t>E10298</t>
  </si>
  <si>
    <t>E10299</t>
  </si>
  <si>
    <t>E10300</t>
  </si>
  <si>
    <t>E10301</t>
  </si>
  <si>
    <t>E10302</t>
  </si>
  <si>
    <t>E10303</t>
  </si>
  <si>
    <t>E10304</t>
  </si>
  <si>
    <t>E10305</t>
  </si>
  <si>
    <t>E10306</t>
  </si>
  <si>
    <t>E10307</t>
  </si>
  <si>
    <t>E10308</t>
  </si>
  <si>
    <t>E10309</t>
  </si>
  <si>
    <t>E10310</t>
  </si>
  <si>
    <t>E10311</t>
  </si>
  <si>
    <t>E10312</t>
  </si>
  <si>
    <t>E10313</t>
  </si>
  <si>
    <t>E10314</t>
  </si>
  <si>
    <t>E10315</t>
  </si>
  <si>
    <t>E10316</t>
  </si>
  <si>
    <t>E10317</t>
  </si>
  <si>
    <t>E10318</t>
  </si>
  <si>
    <t>E10319</t>
  </si>
  <si>
    <t>E10320</t>
  </si>
  <si>
    <t>E10321</t>
  </si>
  <si>
    <t>E10322</t>
  </si>
  <si>
    <t>E10323</t>
  </si>
  <si>
    <t>E10324</t>
  </si>
  <si>
    <t>E10325</t>
  </si>
  <si>
    <t>E10326</t>
  </si>
  <si>
    <t>E10327</t>
  </si>
  <si>
    <t>E10328</t>
  </si>
  <si>
    <t>E10329</t>
  </si>
  <si>
    <t>E10330</t>
  </si>
  <si>
    <t>E10331</t>
  </si>
  <si>
    <t>E10332</t>
  </si>
  <si>
    <t>E10333</t>
  </si>
  <si>
    <t>E10334</t>
  </si>
  <si>
    <t>E10335</t>
  </si>
  <si>
    <t>E10336</t>
  </si>
  <si>
    <t>E10337</t>
  </si>
  <si>
    <t>E10338</t>
  </si>
  <si>
    <t>E10339</t>
  </si>
  <si>
    <t>E10340</t>
  </si>
  <si>
    <t>E10341</t>
  </si>
  <si>
    <t>E10342</t>
  </si>
  <si>
    <t>E10343</t>
  </si>
  <si>
    <t>E10344</t>
  </si>
  <si>
    <t>E10345</t>
  </si>
  <si>
    <t>E10346</t>
  </si>
  <si>
    <t>E10347</t>
  </si>
  <si>
    <t>E10348</t>
  </si>
  <si>
    <t>E10349</t>
  </si>
  <si>
    <t>E10350</t>
  </si>
  <si>
    <t>E10351</t>
  </si>
  <si>
    <t>E10352</t>
  </si>
  <si>
    <t>E10353</t>
  </si>
  <si>
    <t>E10354</t>
  </si>
  <si>
    <t>E10355</t>
  </si>
  <si>
    <t>E10356</t>
  </si>
  <si>
    <t>E10357</t>
  </si>
  <si>
    <t>E10358</t>
  </si>
  <si>
    <t>E10359</t>
  </si>
  <si>
    <t>E10360</t>
  </si>
  <si>
    <t>E10361</t>
  </si>
  <si>
    <t>E10362</t>
  </si>
  <si>
    <t>E10363</t>
  </si>
  <si>
    <t>E10364</t>
  </si>
  <si>
    <t>E10365</t>
  </si>
  <si>
    <t>E10366</t>
  </si>
  <si>
    <t>E10367</t>
  </si>
  <si>
    <t>E10368</t>
  </si>
  <si>
    <t>E10369</t>
  </si>
  <si>
    <t>E10370</t>
  </si>
  <si>
    <t>E10371</t>
  </si>
  <si>
    <t>E10372</t>
  </si>
  <si>
    <t>E10373</t>
  </si>
  <si>
    <t>E10374</t>
  </si>
  <si>
    <t>E10375</t>
  </si>
  <si>
    <t>E10376</t>
  </si>
  <si>
    <t>E10377</t>
  </si>
  <si>
    <t>E10378</t>
  </si>
  <si>
    <t>E10379</t>
  </si>
  <si>
    <t>E10380</t>
  </si>
  <si>
    <t>E10381</t>
  </si>
  <si>
    <t>E10382</t>
  </si>
  <si>
    <t>E10383</t>
  </si>
  <si>
    <t>E10384</t>
  </si>
  <si>
    <t>E10385</t>
  </si>
  <si>
    <t>E10386</t>
  </si>
  <si>
    <t>E10387</t>
  </si>
  <si>
    <t>E10388</t>
  </si>
  <si>
    <t>E10389</t>
  </si>
  <si>
    <t>E10390</t>
  </si>
  <si>
    <t>E10391</t>
  </si>
  <si>
    <t>E10392</t>
  </si>
  <si>
    <t>E10393</t>
  </si>
  <si>
    <t>E10394</t>
  </si>
  <si>
    <t>E10395</t>
  </si>
  <si>
    <t>E10396</t>
  </si>
  <si>
    <t>E10397</t>
  </si>
  <si>
    <t>E10398</t>
  </si>
  <si>
    <t>E10399</t>
  </si>
  <si>
    <t>E10400</t>
  </si>
  <si>
    <t>E10401</t>
  </si>
  <si>
    <t>E10402</t>
  </si>
  <si>
    <t>E10403</t>
  </si>
  <si>
    <t>E10404</t>
  </si>
  <si>
    <t>E10405</t>
  </si>
  <si>
    <t>Relocation</t>
  </si>
  <si>
    <t>E10406</t>
  </si>
  <si>
    <t>E10407</t>
  </si>
  <si>
    <t>E10408</t>
  </si>
  <si>
    <t>E10409</t>
  </si>
  <si>
    <t>E10410</t>
  </si>
  <si>
    <t>E10411</t>
  </si>
  <si>
    <t>E10412</t>
  </si>
  <si>
    <t>E10413</t>
  </si>
  <si>
    <t>E10414</t>
  </si>
  <si>
    <t>E10415</t>
  </si>
  <si>
    <t>E10416</t>
  </si>
  <si>
    <t>E10417</t>
  </si>
  <si>
    <t>E10418</t>
  </si>
  <si>
    <t>E10419</t>
  </si>
  <si>
    <t>E10420</t>
  </si>
  <si>
    <t>E10421</t>
  </si>
  <si>
    <t>E10422</t>
  </si>
  <si>
    <t>E10423</t>
  </si>
  <si>
    <t>E10424</t>
  </si>
  <si>
    <t>E10425</t>
  </si>
  <si>
    <t>E10426</t>
  </si>
  <si>
    <t>E10427</t>
  </si>
  <si>
    <t>E10428</t>
  </si>
  <si>
    <t>E10429</t>
  </si>
  <si>
    <t>E10430</t>
  </si>
  <si>
    <t>E10431</t>
  </si>
  <si>
    <t>E10432</t>
  </si>
  <si>
    <t>E10433</t>
  </si>
  <si>
    <t>E10434</t>
  </si>
  <si>
    <t>E10435</t>
  </si>
  <si>
    <t>E10436</t>
  </si>
  <si>
    <t>E10437</t>
  </si>
  <si>
    <t>E10438</t>
  </si>
  <si>
    <t>E10439</t>
  </si>
  <si>
    <t>E10440</t>
  </si>
  <si>
    <t>E10441</t>
  </si>
  <si>
    <t>E10442</t>
  </si>
  <si>
    <t>E10443</t>
  </si>
  <si>
    <t>E10444</t>
  </si>
  <si>
    <t>E10445</t>
  </si>
  <si>
    <t>E10446</t>
  </si>
  <si>
    <t>E10447</t>
  </si>
  <si>
    <t>E10448</t>
  </si>
  <si>
    <t>E10449</t>
  </si>
  <si>
    <t>E10450</t>
  </si>
  <si>
    <t>E10451</t>
  </si>
  <si>
    <t>E10452</t>
  </si>
  <si>
    <t>E10453</t>
  </si>
  <si>
    <t>E10454</t>
  </si>
  <si>
    <t>E10455</t>
  </si>
  <si>
    <t>E10456</t>
  </si>
  <si>
    <t>E10457</t>
  </si>
  <si>
    <t>E10458</t>
  </si>
  <si>
    <t>E10459</t>
  </si>
  <si>
    <t>E10460</t>
  </si>
  <si>
    <t>E10461</t>
  </si>
  <si>
    <t>E10462</t>
  </si>
  <si>
    <t>E10463</t>
  </si>
  <si>
    <t>E10464</t>
  </si>
  <si>
    <t>E10465</t>
  </si>
  <si>
    <t>E10466</t>
  </si>
  <si>
    <t>E10467</t>
  </si>
  <si>
    <t>E10468</t>
  </si>
  <si>
    <t>E10469</t>
  </si>
  <si>
    <t>E10470</t>
  </si>
  <si>
    <t>E10471</t>
  </si>
  <si>
    <t>E10472</t>
  </si>
  <si>
    <t>E10473</t>
  </si>
  <si>
    <t>E10474</t>
  </si>
  <si>
    <t>E10475</t>
  </si>
  <si>
    <t>E10476</t>
  </si>
  <si>
    <t>E10477</t>
  </si>
  <si>
    <t>E10478</t>
  </si>
  <si>
    <t>E10479</t>
  </si>
  <si>
    <t>E10480</t>
  </si>
  <si>
    <t>E10481</t>
  </si>
  <si>
    <t>E10482</t>
  </si>
  <si>
    <t>E10483</t>
  </si>
  <si>
    <t>E10484</t>
  </si>
  <si>
    <t>E10485</t>
  </si>
  <si>
    <t>E10486</t>
  </si>
  <si>
    <t>E10487</t>
  </si>
  <si>
    <t>E10488</t>
  </si>
  <si>
    <t>E10489</t>
  </si>
  <si>
    <t>E10490</t>
  </si>
  <si>
    <t>E10491</t>
  </si>
  <si>
    <t>E10492</t>
  </si>
  <si>
    <t>E10493</t>
  </si>
  <si>
    <t>E10494</t>
  </si>
  <si>
    <t>E10495</t>
  </si>
  <si>
    <t>E10496</t>
  </si>
  <si>
    <t>E10497</t>
  </si>
  <si>
    <t>E10498</t>
  </si>
  <si>
    <t>E10499</t>
  </si>
  <si>
    <t>E10500</t>
  </si>
  <si>
    <t>E10501</t>
  </si>
  <si>
    <t>E10502</t>
  </si>
  <si>
    <t>E10503</t>
  </si>
  <si>
    <t>E10504</t>
  </si>
  <si>
    <t>E10505</t>
  </si>
  <si>
    <t>E10506</t>
  </si>
  <si>
    <t>E10507</t>
  </si>
  <si>
    <t>E10508</t>
  </si>
  <si>
    <t>E10509</t>
  </si>
  <si>
    <t>E10510</t>
  </si>
  <si>
    <t>E10511</t>
  </si>
  <si>
    <t>E10512</t>
  </si>
  <si>
    <t>E10513</t>
  </si>
  <si>
    <t>E10514</t>
  </si>
  <si>
    <t>E10515</t>
  </si>
  <si>
    <t>E10516</t>
  </si>
  <si>
    <t>E10517</t>
  </si>
  <si>
    <t>E10518</t>
  </si>
  <si>
    <t>E10519</t>
  </si>
  <si>
    <t>E10520</t>
  </si>
  <si>
    <t>E10521</t>
  </si>
  <si>
    <t>E10522</t>
  </si>
  <si>
    <t>E10523</t>
  </si>
  <si>
    <t>E10524</t>
  </si>
  <si>
    <t>E10525</t>
  </si>
  <si>
    <t>E10526</t>
  </si>
  <si>
    <t>E10527</t>
  </si>
  <si>
    <t>E10528</t>
  </si>
  <si>
    <t>E10529</t>
  </si>
  <si>
    <t>E10530</t>
  </si>
  <si>
    <t>E10531</t>
  </si>
  <si>
    <t>E10532</t>
  </si>
  <si>
    <t>E10533</t>
  </si>
  <si>
    <t>E10534</t>
  </si>
  <si>
    <t>E10535</t>
  </si>
  <si>
    <t>E10536</t>
  </si>
  <si>
    <t>E10537</t>
  </si>
  <si>
    <t>E10538</t>
  </si>
  <si>
    <t>E10539</t>
  </si>
  <si>
    <t>E10540</t>
  </si>
  <si>
    <t>E10541</t>
  </si>
  <si>
    <t>E10542</t>
  </si>
  <si>
    <t>E10543</t>
  </si>
  <si>
    <t>E10544</t>
  </si>
  <si>
    <t>E10545</t>
  </si>
  <si>
    <t>E10546</t>
  </si>
  <si>
    <t>E10547</t>
  </si>
  <si>
    <t>E10548</t>
  </si>
  <si>
    <t>E10549</t>
  </si>
  <si>
    <t>E10550</t>
  </si>
  <si>
    <t>E10551</t>
  </si>
  <si>
    <t>E10552</t>
  </si>
  <si>
    <t>E10553</t>
  </si>
  <si>
    <t>E10554</t>
  </si>
  <si>
    <t>E10555</t>
  </si>
  <si>
    <t>E10556</t>
  </si>
  <si>
    <t>E10557</t>
  </si>
  <si>
    <t>E10558</t>
  </si>
  <si>
    <t>E10559</t>
  </si>
  <si>
    <t>E10560</t>
  </si>
  <si>
    <t>E10561</t>
  </si>
  <si>
    <t>E10562</t>
  </si>
  <si>
    <t>E10563</t>
  </si>
  <si>
    <t>E10564</t>
  </si>
  <si>
    <t>E10565</t>
  </si>
  <si>
    <t>E10566</t>
  </si>
  <si>
    <t>E10567</t>
  </si>
  <si>
    <t>E10568</t>
  </si>
  <si>
    <t>E10569</t>
  </si>
  <si>
    <t>E10570</t>
  </si>
  <si>
    <t>E10571</t>
  </si>
  <si>
    <t>E10572</t>
  </si>
  <si>
    <t>E10573</t>
  </si>
  <si>
    <t>E10574</t>
  </si>
  <si>
    <t>E10575</t>
  </si>
  <si>
    <t>E10576</t>
  </si>
  <si>
    <t>E10577</t>
  </si>
  <si>
    <t>E10578</t>
  </si>
  <si>
    <t>E10579</t>
  </si>
  <si>
    <t>E10580</t>
  </si>
  <si>
    <t>E10581</t>
  </si>
  <si>
    <t>E10582</t>
  </si>
  <si>
    <t>E10583</t>
  </si>
  <si>
    <t>E10584</t>
  </si>
  <si>
    <t>E10585</t>
  </si>
  <si>
    <t>E10586</t>
  </si>
  <si>
    <t>E10587</t>
  </si>
  <si>
    <t>E10588</t>
  </si>
  <si>
    <t>E10589</t>
  </si>
  <si>
    <t>E10590</t>
  </si>
  <si>
    <t>E10591</t>
  </si>
  <si>
    <t>E10592</t>
  </si>
  <si>
    <t>E10593</t>
  </si>
  <si>
    <t>E10594</t>
  </si>
  <si>
    <t>E10595</t>
  </si>
  <si>
    <t>E10596</t>
  </si>
  <si>
    <t>E10597</t>
  </si>
  <si>
    <t>E10598</t>
  </si>
  <si>
    <t>E10599</t>
  </si>
  <si>
    <t>E10600</t>
  </si>
  <si>
    <t>E10601</t>
  </si>
  <si>
    <t>E10602</t>
  </si>
  <si>
    <t>E10603</t>
  </si>
  <si>
    <t>E10604</t>
  </si>
  <si>
    <t>E10605</t>
  </si>
  <si>
    <t>E10606</t>
  </si>
  <si>
    <t>E10607</t>
  </si>
  <si>
    <t>E10608</t>
  </si>
  <si>
    <t>E10609</t>
  </si>
  <si>
    <t>E10610</t>
  </si>
  <si>
    <t>E10611</t>
  </si>
  <si>
    <t>E10612</t>
  </si>
  <si>
    <t>E10613</t>
  </si>
  <si>
    <t>E10614</t>
  </si>
  <si>
    <t>E10615</t>
  </si>
  <si>
    <t>E10616</t>
  </si>
  <si>
    <t>E10617</t>
  </si>
  <si>
    <t>E10618</t>
  </si>
  <si>
    <t>E10619</t>
  </si>
  <si>
    <t>E10620</t>
  </si>
  <si>
    <t>E10621</t>
  </si>
  <si>
    <t>E10622</t>
  </si>
  <si>
    <t>E10623</t>
  </si>
  <si>
    <t>E10624</t>
  </si>
  <si>
    <t>E10625</t>
  </si>
  <si>
    <t>E10626</t>
  </si>
  <si>
    <t>E10627</t>
  </si>
  <si>
    <t>E10628</t>
  </si>
  <si>
    <t>E10629</t>
  </si>
  <si>
    <t>E10630</t>
  </si>
  <si>
    <t>E10631</t>
  </si>
  <si>
    <t>E10632</t>
  </si>
  <si>
    <t>E10633</t>
  </si>
  <si>
    <t>E10634</t>
  </si>
  <si>
    <t>E10635</t>
  </si>
  <si>
    <t>E10636</t>
  </si>
  <si>
    <t>E10637</t>
  </si>
  <si>
    <t>E10638</t>
  </si>
  <si>
    <t>E10639</t>
  </si>
  <si>
    <t>E10640</t>
  </si>
  <si>
    <t>E10641</t>
  </si>
  <si>
    <t>E10642</t>
  </si>
  <si>
    <t>E10643</t>
  </si>
  <si>
    <t>E10644</t>
  </si>
  <si>
    <t>E10645</t>
  </si>
  <si>
    <t>E10646</t>
  </si>
  <si>
    <t>E10647</t>
  </si>
  <si>
    <t>E10648</t>
  </si>
  <si>
    <t>E10649</t>
  </si>
  <si>
    <t>E10650</t>
  </si>
  <si>
    <t>E10651</t>
  </si>
  <si>
    <t>E10652</t>
  </si>
  <si>
    <t>E10653</t>
  </si>
  <si>
    <t>E10654</t>
  </si>
  <si>
    <t>E10655</t>
  </si>
  <si>
    <t>E10656</t>
  </si>
  <si>
    <t>E10657</t>
  </si>
  <si>
    <t>E10658</t>
  </si>
  <si>
    <t>E10659</t>
  </si>
  <si>
    <t>E10660</t>
  </si>
  <si>
    <t>E10661</t>
  </si>
  <si>
    <t>E10662</t>
  </si>
  <si>
    <t>E10663</t>
  </si>
  <si>
    <t>E10664</t>
  </si>
  <si>
    <t>E10665</t>
  </si>
  <si>
    <t>E10666</t>
  </si>
  <si>
    <t>E10667</t>
  </si>
  <si>
    <t>E10668</t>
  </si>
  <si>
    <t>E10669</t>
  </si>
  <si>
    <t>E10670</t>
  </si>
  <si>
    <t>E10671</t>
  </si>
  <si>
    <t>E10672</t>
  </si>
  <si>
    <t>E10673</t>
  </si>
  <si>
    <t>E10674</t>
  </si>
  <si>
    <t>E10675</t>
  </si>
  <si>
    <t>E10676</t>
  </si>
  <si>
    <t>E10677</t>
  </si>
  <si>
    <t>E10678</t>
  </si>
  <si>
    <t>E10679</t>
  </si>
  <si>
    <t>E10680</t>
  </si>
  <si>
    <t>E10681</t>
  </si>
  <si>
    <t>E10682</t>
  </si>
  <si>
    <t>E10683</t>
  </si>
  <si>
    <t>E10684</t>
  </si>
  <si>
    <t>E10685</t>
  </si>
  <si>
    <t>E10686</t>
  </si>
  <si>
    <t>E10687</t>
  </si>
  <si>
    <t>E10688</t>
  </si>
  <si>
    <t>E10689</t>
  </si>
  <si>
    <t>E10690</t>
  </si>
  <si>
    <t>E10691</t>
  </si>
  <si>
    <t>E10692</t>
  </si>
  <si>
    <t>E10693</t>
  </si>
  <si>
    <t>E10694</t>
  </si>
  <si>
    <t>E10695</t>
  </si>
  <si>
    <t>E10696</t>
  </si>
  <si>
    <t>E10697</t>
  </si>
  <si>
    <t>E10698</t>
  </si>
  <si>
    <t>E10699</t>
  </si>
  <si>
    <t>E10700</t>
  </si>
  <si>
    <t>E10701</t>
  </si>
  <si>
    <t>E10702</t>
  </si>
  <si>
    <t>E10703</t>
  </si>
  <si>
    <t>E10704</t>
  </si>
  <si>
    <t>E10705</t>
  </si>
  <si>
    <t>E10706</t>
  </si>
  <si>
    <t>E10707</t>
  </si>
  <si>
    <t>E10708</t>
  </si>
  <si>
    <t>E10709</t>
  </si>
  <si>
    <t>E10710</t>
  </si>
  <si>
    <t>E10711</t>
  </si>
  <si>
    <t>E10712</t>
  </si>
  <si>
    <t>E10713</t>
  </si>
  <si>
    <t>E10714</t>
  </si>
  <si>
    <t>E10715</t>
  </si>
  <si>
    <t>E10716</t>
  </si>
  <si>
    <t>E10717</t>
  </si>
  <si>
    <t>E10718</t>
  </si>
  <si>
    <t>E10719</t>
  </si>
  <si>
    <t>E10720</t>
  </si>
  <si>
    <t>E10721</t>
  </si>
  <si>
    <t>E10722</t>
  </si>
  <si>
    <t>E10723</t>
  </si>
  <si>
    <t>E10724</t>
  </si>
  <si>
    <t>E10725</t>
  </si>
  <si>
    <t>E10726</t>
  </si>
  <si>
    <t>E10727</t>
  </si>
  <si>
    <t>E10728</t>
  </si>
  <si>
    <t>E10729</t>
  </si>
  <si>
    <t>E10730</t>
  </si>
  <si>
    <t>E10731</t>
  </si>
  <si>
    <t>E10732</t>
  </si>
  <si>
    <t>E10733</t>
  </si>
  <si>
    <t>E10734</t>
  </si>
  <si>
    <t>E10735</t>
  </si>
  <si>
    <t>E10736</t>
  </si>
  <si>
    <t>E10737</t>
  </si>
  <si>
    <t>E10738</t>
  </si>
  <si>
    <t>E10739</t>
  </si>
  <si>
    <t>E10740</t>
  </si>
  <si>
    <t>E10741</t>
  </si>
  <si>
    <t>E10742</t>
  </si>
  <si>
    <t>E10743</t>
  </si>
  <si>
    <t>E10744</t>
  </si>
  <si>
    <t>E10745</t>
  </si>
  <si>
    <t>E10746</t>
  </si>
  <si>
    <t>E10747</t>
  </si>
  <si>
    <t>E10748</t>
  </si>
  <si>
    <t>E10749</t>
  </si>
  <si>
    <t>E10750</t>
  </si>
  <si>
    <t>E10751</t>
  </si>
  <si>
    <t>E10752</t>
  </si>
  <si>
    <t>E10753</t>
  </si>
  <si>
    <t>E10754</t>
  </si>
  <si>
    <t>E10755</t>
  </si>
  <si>
    <t>E10756</t>
  </si>
  <si>
    <t>E10757</t>
  </si>
  <si>
    <t>E10758</t>
  </si>
  <si>
    <t>E10759</t>
  </si>
  <si>
    <t>E10760</t>
  </si>
  <si>
    <t>E10761</t>
  </si>
  <si>
    <t>E10762</t>
  </si>
  <si>
    <t>E10763</t>
  </si>
  <si>
    <t>E10764</t>
  </si>
  <si>
    <t>E10765</t>
  </si>
  <si>
    <t>E10766</t>
  </si>
  <si>
    <t>E10767</t>
  </si>
  <si>
    <t>E10768</t>
  </si>
  <si>
    <t>E10769</t>
  </si>
  <si>
    <t>E10770</t>
  </si>
  <si>
    <t>E10771</t>
  </si>
  <si>
    <t>E10772</t>
  </si>
  <si>
    <t>E10773</t>
  </si>
  <si>
    <t>E10774</t>
  </si>
  <si>
    <t>E10775</t>
  </si>
  <si>
    <t>E10776</t>
  </si>
  <si>
    <t>E10777</t>
  </si>
  <si>
    <t>E10778</t>
  </si>
  <si>
    <t>E10779</t>
  </si>
  <si>
    <t>E10780</t>
  </si>
  <si>
    <t>E10781</t>
  </si>
  <si>
    <t>E10782</t>
  </si>
  <si>
    <t>E10783</t>
  </si>
  <si>
    <t>E10784</t>
  </si>
  <si>
    <t>E10785</t>
  </si>
  <si>
    <t>E10786</t>
  </si>
  <si>
    <t>E10787</t>
  </si>
  <si>
    <t>E10788</t>
  </si>
  <si>
    <t>E10789</t>
  </si>
  <si>
    <t>E10790</t>
  </si>
  <si>
    <t>E10791</t>
  </si>
  <si>
    <t>E10792</t>
  </si>
  <si>
    <t>E10793</t>
  </si>
  <si>
    <t>E10794</t>
  </si>
  <si>
    <t>E10795</t>
  </si>
  <si>
    <t>E10796</t>
  </si>
  <si>
    <t>E10797</t>
  </si>
  <si>
    <t>E10798</t>
  </si>
  <si>
    <t>E10799</t>
  </si>
  <si>
    <t>E10800</t>
  </si>
  <si>
    <t>E10801</t>
  </si>
  <si>
    <t>E10802</t>
  </si>
  <si>
    <t>E10803</t>
  </si>
  <si>
    <t>E10804</t>
  </si>
  <si>
    <t>E10805</t>
  </si>
  <si>
    <t>E10806</t>
  </si>
  <si>
    <t>E10807</t>
  </si>
  <si>
    <t>E10808</t>
  </si>
  <si>
    <t>E10809</t>
  </si>
  <si>
    <t>E10810</t>
  </si>
  <si>
    <t>E10811</t>
  </si>
  <si>
    <t>E10812</t>
  </si>
  <si>
    <t>E10813</t>
  </si>
  <si>
    <t>E10814</t>
  </si>
  <si>
    <t>E10815</t>
  </si>
  <si>
    <t>E10816</t>
  </si>
  <si>
    <t>E10817</t>
  </si>
  <si>
    <t>E10818</t>
  </si>
  <si>
    <t>E10819</t>
  </si>
  <si>
    <t>E10820</t>
  </si>
  <si>
    <t>E10821</t>
  </si>
  <si>
    <t>E10822</t>
  </si>
  <si>
    <t>E10823</t>
  </si>
  <si>
    <t>E10824</t>
  </si>
  <si>
    <t>E10825</t>
  </si>
  <si>
    <t>E10826</t>
  </si>
  <si>
    <t>E10827</t>
  </si>
  <si>
    <t>E10828</t>
  </si>
  <si>
    <t>E10829</t>
  </si>
  <si>
    <t>E10830</t>
  </si>
  <si>
    <t>E10831</t>
  </si>
  <si>
    <t>E10832</t>
  </si>
  <si>
    <t>E10833</t>
  </si>
  <si>
    <t>E10834</t>
  </si>
  <si>
    <t>E10835</t>
  </si>
  <si>
    <t>E10836</t>
  </si>
  <si>
    <t>E10837</t>
  </si>
  <si>
    <t>E10838</t>
  </si>
  <si>
    <t>E10839</t>
  </si>
  <si>
    <t>E10840</t>
  </si>
  <si>
    <t>E10841</t>
  </si>
  <si>
    <t>E10842</t>
  </si>
  <si>
    <t>E10843</t>
  </si>
  <si>
    <t>E10844</t>
  </si>
  <si>
    <t>E10845</t>
  </si>
  <si>
    <t>E10846</t>
  </si>
  <si>
    <t>E10847</t>
  </si>
  <si>
    <t>E10848</t>
  </si>
  <si>
    <t>E10849</t>
  </si>
  <si>
    <t>E10850</t>
  </si>
  <si>
    <t>E10851</t>
  </si>
  <si>
    <t>E10852</t>
  </si>
  <si>
    <t>E10853</t>
  </si>
  <si>
    <t>E10854</t>
  </si>
  <si>
    <t>E10855</t>
  </si>
  <si>
    <t>E10856</t>
  </si>
  <si>
    <t>E10857</t>
  </si>
  <si>
    <t>E10858</t>
  </si>
  <si>
    <t>E10859</t>
  </si>
  <si>
    <t>E10860</t>
  </si>
  <si>
    <t>E10861</t>
  </si>
  <si>
    <t>E10862</t>
  </si>
  <si>
    <t>E10863</t>
  </si>
  <si>
    <t>E10864</t>
  </si>
  <si>
    <t>E10865</t>
  </si>
  <si>
    <t>E10866</t>
  </si>
  <si>
    <t>E10867</t>
  </si>
  <si>
    <t>E10868</t>
  </si>
  <si>
    <t>E10869</t>
  </si>
  <si>
    <t>E10870</t>
  </si>
  <si>
    <t>E10871</t>
  </si>
  <si>
    <t>E10872</t>
  </si>
  <si>
    <t>E10873</t>
  </si>
  <si>
    <t>E10874</t>
  </si>
  <si>
    <t>E10875</t>
  </si>
  <si>
    <t>E10876</t>
  </si>
  <si>
    <t>E10877</t>
  </si>
  <si>
    <t>E10878</t>
  </si>
  <si>
    <t>E10879</t>
  </si>
  <si>
    <t>E10880</t>
  </si>
  <si>
    <t>E10881</t>
  </si>
  <si>
    <t>E10882</t>
  </si>
  <si>
    <t>E10883</t>
  </si>
  <si>
    <t>E10884</t>
  </si>
  <si>
    <t>E10885</t>
  </si>
  <si>
    <t>E10886</t>
  </si>
  <si>
    <t>E10887</t>
  </si>
  <si>
    <t>E10888</t>
  </si>
  <si>
    <t>E10889</t>
  </si>
  <si>
    <t>E10890</t>
  </si>
  <si>
    <t>E10891</t>
  </si>
  <si>
    <t>E10892</t>
  </si>
  <si>
    <t>E10893</t>
  </si>
  <si>
    <t>E10894</t>
  </si>
  <si>
    <t>E10895</t>
  </si>
  <si>
    <t>E10896</t>
  </si>
  <si>
    <t>E10897</t>
  </si>
  <si>
    <t>E10898</t>
  </si>
  <si>
    <t>E10899</t>
  </si>
  <si>
    <t>E10900</t>
  </si>
  <si>
    <t>E10901</t>
  </si>
  <si>
    <t>E10902</t>
  </si>
  <si>
    <t>E10903</t>
  </si>
  <si>
    <t>E10904</t>
  </si>
  <si>
    <t>E10905</t>
  </si>
  <si>
    <t>E10906</t>
  </si>
  <si>
    <t>E10907</t>
  </si>
  <si>
    <t>E10908</t>
  </si>
  <si>
    <t>E10909</t>
  </si>
  <si>
    <t>E10910</t>
  </si>
  <si>
    <t>E10911</t>
  </si>
  <si>
    <t>E10912</t>
  </si>
  <si>
    <t>E10913</t>
  </si>
  <si>
    <t>E10914</t>
  </si>
  <si>
    <t>E10915</t>
  </si>
  <si>
    <t>E10916</t>
  </si>
  <si>
    <t>E10917</t>
  </si>
  <si>
    <t>E10918</t>
  </si>
  <si>
    <t>E10919</t>
  </si>
  <si>
    <t>E10920</t>
  </si>
  <si>
    <t>E10921</t>
  </si>
  <si>
    <t>E10922</t>
  </si>
  <si>
    <t>E10923</t>
  </si>
  <si>
    <t>E10924</t>
  </si>
  <si>
    <t>E10925</t>
  </si>
  <si>
    <t>E10926</t>
  </si>
  <si>
    <t>E10927</t>
  </si>
  <si>
    <t>E10928</t>
  </si>
  <si>
    <t>E10929</t>
  </si>
  <si>
    <t>E10930</t>
  </si>
  <si>
    <t>E10931</t>
  </si>
  <si>
    <t>E10932</t>
  </si>
  <si>
    <t>E10933</t>
  </si>
  <si>
    <t>E10934</t>
  </si>
  <si>
    <t>E10935</t>
  </si>
  <si>
    <t>E10936</t>
  </si>
  <si>
    <t>E10937</t>
  </si>
  <si>
    <t>E10938</t>
  </si>
  <si>
    <t>E10939</t>
  </si>
  <si>
    <t>E10940</t>
  </si>
  <si>
    <t>E10941</t>
  </si>
  <si>
    <t>E10942</t>
  </si>
  <si>
    <t>E10943</t>
  </si>
  <si>
    <t>E10944</t>
  </si>
  <si>
    <t>E10945</t>
  </si>
  <si>
    <t>E10946</t>
  </si>
  <si>
    <t>E10947</t>
  </si>
  <si>
    <t>E10948</t>
  </si>
  <si>
    <t>E10949</t>
  </si>
  <si>
    <t>E10950</t>
  </si>
  <si>
    <t>E10951</t>
  </si>
  <si>
    <t>E10952</t>
  </si>
  <si>
    <t>E10953</t>
  </si>
  <si>
    <t>E10954</t>
  </si>
  <si>
    <t>E10955</t>
  </si>
  <si>
    <t>E10956</t>
  </si>
  <si>
    <t>E10957</t>
  </si>
  <si>
    <t>E10958</t>
  </si>
  <si>
    <t>E10959</t>
  </si>
  <si>
    <t>E10960</t>
  </si>
  <si>
    <t>E10961</t>
  </si>
  <si>
    <t>E10962</t>
  </si>
  <si>
    <t>E10963</t>
  </si>
  <si>
    <t>E10964</t>
  </si>
  <si>
    <t>E10965</t>
  </si>
  <si>
    <t>E10966</t>
  </si>
  <si>
    <t>E10967</t>
  </si>
  <si>
    <t>E10968</t>
  </si>
  <si>
    <t>E10969</t>
  </si>
  <si>
    <t>E10970</t>
  </si>
  <si>
    <t>E10971</t>
  </si>
  <si>
    <t>E10972</t>
  </si>
  <si>
    <t>E10973</t>
  </si>
  <si>
    <t>E10974</t>
  </si>
  <si>
    <t>E10975</t>
  </si>
  <si>
    <t>E10976</t>
  </si>
  <si>
    <t>E10977</t>
  </si>
  <si>
    <t>E10978</t>
  </si>
  <si>
    <t>E10979</t>
  </si>
  <si>
    <t>E10980</t>
  </si>
  <si>
    <t>E10981</t>
  </si>
  <si>
    <t>E10982</t>
  </si>
  <si>
    <t>E10983</t>
  </si>
  <si>
    <t>E10984</t>
  </si>
  <si>
    <t>E10985</t>
  </si>
  <si>
    <t>E10986</t>
  </si>
  <si>
    <t>E10987</t>
  </si>
  <si>
    <t>E10988</t>
  </si>
  <si>
    <t>E10989</t>
  </si>
  <si>
    <t>E10990</t>
  </si>
  <si>
    <t>E10991</t>
  </si>
  <si>
    <t>E10992</t>
  </si>
  <si>
    <t>E10993</t>
  </si>
  <si>
    <t>E10994</t>
  </si>
  <si>
    <t>E10995</t>
  </si>
  <si>
    <t>E10996</t>
  </si>
  <si>
    <t>E10997</t>
  </si>
  <si>
    <t>E10998</t>
  </si>
  <si>
    <t>E10999</t>
  </si>
  <si>
    <t>E11000</t>
  </si>
  <si>
    <t>E11001</t>
  </si>
  <si>
    <t>E11002</t>
  </si>
  <si>
    <t>E11003</t>
  </si>
  <si>
    <t>E11004</t>
  </si>
  <si>
    <t>E11005</t>
  </si>
  <si>
    <t>E11006</t>
  </si>
  <si>
    <t>E11007</t>
  </si>
  <si>
    <t>E11008</t>
  </si>
  <si>
    <t>E11009</t>
  </si>
  <si>
    <t>E11010</t>
  </si>
  <si>
    <t>E11011</t>
  </si>
  <si>
    <t>E11012</t>
  </si>
  <si>
    <t>E11013</t>
  </si>
  <si>
    <t>E11014</t>
  </si>
  <si>
    <t>E11015</t>
  </si>
  <si>
    <t>E11016</t>
  </si>
  <si>
    <t>E11017</t>
  </si>
  <si>
    <t>E11018</t>
  </si>
  <si>
    <t>E11019</t>
  </si>
  <si>
    <t>E11020</t>
  </si>
  <si>
    <t>E11021</t>
  </si>
  <si>
    <t>E11022</t>
  </si>
  <si>
    <t>E11023</t>
  </si>
  <si>
    <t>E11024</t>
  </si>
  <si>
    <t>E11025</t>
  </si>
  <si>
    <t>E11026</t>
  </si>
  <si>
    <t>E11027</t>
  </si>
  <si>
    <t>E11028</t>
  </si>
  <si>
    <t>E11029</t>
  </si>
  <si>
    <t>E11030</t>
  </si>
  <si>
    <t>E11031</t>
  </si>
  <si>
    <t>E11032</t>
  </si>
  <si>
    <t>E11033</t>
  </si>
  <si>
    <t>E11034</t>
  </si>
  <si>
    <t>E11035</t>
  </si>
  <si>
    <t>E11036</t>
  </si>
  <si>
    <t>E11037</t>
  </si>
  <si>
    <t>E11038</t>
  </si>
  <si>
    <t>E11039</t>
  </si>
  <si>
    <t>E11040</t>
  </si>
  <si>
    <t>E11041</t>
  </si>
  <si>
    <t>E11042</t>
  </si>
  <si>
    <t>E11043</t>
  </si>
  <si>
    <t>E11044</t>
  </si>
  <si>
    <t>E11045</t>
  </si>
  <si>
    <t>E11046</t>
  </si>
  <si>
    <t>E11047</t>
  </si>
  <si>
    <t>E11048</t>
  </si>
  <si>
    <t>E11049</t>
  </si>
  <si>
    <t>E11050</t>
  </si>
  <si>
    <t>E11051</t>
  </si>
  <si>
    <t>E11052</t>
  </si>
  <si>
    <t>E11053</t>
  </si>
  <si>
    <t>E11054</t>
  </si>
  <si>
    <t>E11055</t>
  </si>
  <si>
    <t>E11056</t>
  </si>
  <si>
    <t>E11057</t>
  </si>
  <si>
    <t>E11058</t>
  </si>
  <si>
    <t>E11059</t>
  </si>
  <si>
    <t>E11060</t>
  </si>
  <si>
    <t>E11061</t>
  </si>
  <si>
    <t>E11062</t>
  </si>
  <si>
    <t>E11063</t>
  </si>
  <si>
    <t>E11064</t>
  </si>
  <si>
    <t>E11065</t>
  </si>
  <si>
    <t>E11066</t>
  </si>
  <si>
    <t>E11067</t>
  </si>
  <si>
    <t>E11068</t>
  </si>
  <si>
    <t>E11069</t>
  </si>
  <si>
    <t>E11070</t>
  </si>
  <si>
    <t>E11071</t>
  </si>
  <si>
    <t>E11072</t>
  </si>
  <si>
    <t>E11073</t>
  </si>
  <si>
    <t>E11074</t>
  </si>
  <si>
    <t>E11075</t>
  </si>
  <si>
    <t>E11076</t>
  </si>
  <si>
    <t>E11077</t>
  </si>
  <si>
    <t>E11078</t>
  </si>
  <si>
    <t>E11079</t>
  </si>
  <si>
    <t>E11080</t>
  </si>
  <si>
    <t>E11081</t>
  </si>
  <si>
    <t>E11082</t>
  </si>
  <si>
    <t>E11083</t>
  </si>
  <si>
    <t>E11084</t>
  </si>
  <si>
    <t>E11085</t>
  </si>
  <si>
    <t>E11086</t>
  </si>
  <si>
    <t>E11087</t>
  </si>
  <si>
    <t>E11088</t>
  </si>
  <si>
    <t>E11089</t>
  </si>
  <si>
    <t>E11090</t>
  </si>
  <si>
    <t>E11091</t>
  </si>
  <si>
    <t>E11092</t>
  </si>
  <si>
    <t>E11093</t>
  </si>
  <si>
    <t>E11094</t>
  </si>
  <si>
    <t>E11095</t>
  </si>
  <si>
    <t>E11096</t>
  </si>
  <si>
    <t>E11097</t>
  </si>
  <si>
    <t>E11098</t>
  </si>
  <si>
    <t>E11099</t>
  </si>
  <si>
    <t>E11100</t>
  </si>
  <si>
    <t>E11101</t>
  </si>
  <si>
    <t>E11102</t>
  </si>
  <si>
    <t>E11103</t>
  </si>
  <si>
    <t>E11104</t>
  </si>
  <si>
    <t>E11105</t>
  </si>
  <si>
    <t>E11106</t>
  </si>
  <si>
    <t>E11107</t>
  </si>
  <si>
    <t>E11108</t>
  </si>
  <si>
    <t>E11109</t>
  </si>
  <si>
    <t>E11110</t>
  </si>
  <si>
    <t>E11111</t>
  </si>
  <si>
    <t>E11112</t>
  </si>
  <si>
    <t>E11113</t>
  </si>
  <si>
    <t>E11114</t>
  </si>
  <si>
    <t>E11115</t>
  </si>
  <si>
    <t>E11116</t>
  </si>
  <si>
    <t>E11117</t>
  </si>
  <si>
    <t>E11118</t>
  </si>
  <si>
    <t>E11119</t>
  </si>
  <si>
    <t>E11120</t>
  </si>
  <si>
    <t>E11121</t>
  </si>
  <si>
    <t>E11122</t>
  </si>
  <si>
    <t>E11123</t>
  </si>
  <si>
    <t>E11124</t>
  </si>
  <si>
    <t>E11125</t>
  </si>
  <si>
    <t>E11126</t>
  </si>
  <si>
    <t>E11127</t>
  </si>
  <si>
    <t>E11128</t>
  </si>
  <si>
    <t>E11129</t>
  </si>
  <si>
    <t>E11130</t>
  </si>
  <si>
    <t>E11131</t>
  </si>
  <si>
    <t>E11132</t>
  </si>
  <si>
    <t>E11133</t>
  </si>
  <si>
    <t>E11134</t>
  </si>
  <si>
    <t>E11135</t>
  </si>
  <si>
    <t>E11136</t>
  </si>
  <si>
    <t>E11137</t>
  </si>
  <si>
    <t>E11138</t>
  </si>
  <si>
    <t>E11139</t>
  </si>
  <si>
    <t>E11140</t>
  </si>
  <si>
    <t>E11141</t>
  </si>
  <si>
    <t>E11142</t>
  </si>
  <si>
    <t>E11143</t>
  </si>
  <si>
    <t>E11144</t>
  </si>
  <si>
    <t>E11145</t>
  </si>
  <si>
    <t>E11146</t>
  </si>
  <si>
    <t>E11147</t>
  </si>
  <si>
    <t>E11148</t>
  </si>
  <si>
    <t>E11149</t>
  </si>
  <si>
    <t>E11150</t>
  </si>
  <si>
    <t>E11151</t>
  </si>
  <si>
    <t>E11152</t>
  </si>
  <si>
    <t>E11153</t>
  </si>
  <si>
    <t>E11154</t>
  </si>
  <si>
    <t>E11155</t>
  </si>
  <si>
    <t>E11156</t>
  </si>
  <si>
    <t>E11157</t>
  </si>
  <si>
    <t>E11158</t>
  </si>
  <si>
    <t>E11159</t>
  </si>
  <si>
    <t>E11160</t>
  </si>
  <si>
    <t>E11161</t>
  </si>
  <si>
    <t>E11162</t>
  </si>
  <si>
    <t>E11163</t>
  </si>
  <si>
    <t>E11164</t>
  </si>
  <si>
    <t>E11165</t>
  </si>
  <si>
    <t>E11166</t>
  </si>
  <si>
    <t>E11167</t>
  </si>
  <si>
    <t>E11168</t>
  </si>
  <si>
    <t>E11169</t>
  </si>
  <si>
    <t>E11170</t>
  </si>
  <si>
    <t>E11171</t>
  </si>
  <si>
    <t>E11172</t>
  </si>
  <si>
    <t>E11173</t>
  </si>
  <si>
    <t>E11174</t>
  </si>
  <si>
    <t>E11175</t>
  </si>
  <si>
    <t>E11176</t>
  </si>
  <si>
    <t>E11177</t>
  </si>
  <si>
    <t>E11178</t>
  </si>
  <si>
    <t>E11179</t>
  </si>
  <si>
    <t>E11180</t>
  </si>
  <si>
    <t>E11181</t>
  </si>
  <si>
    <t>E11182</t>
  </si>
  <si>
    <t>E11183</t>
  </si>
  <si>
    <t>E11184</t>
  </si>
  <si>
    <t>E11185</t>
  </si>
  <si>
    <t>E11186</t>
  </si>
  <si>
    <t>E11187</t>
  </si>
  <si>
    <t>E11188</t>
  </si>
  <si>
    <t>E11189</t>
  </si>
  <si>
    <t>E11190</t>
  </si>
  <si>
    <t>E11191</t>
  </si>
  <si>
    <t>E11192</t>
  </si>
  <si>
    <t>E11193</t>
  </si>
  <si>
    <t>E11194</t>
  </si>
  <si>
    <t>E11195</t>
  </si>
  <si>
    <t>E11196</t>
  </si>
  <si>
    <t>E11197</t>
  </si>
  <si>
    <t>E11198</t>
  </si>
  <si>
    <t>E11199</t>
  </si>
  <si>
    <t>E11200</t>
  </si>
  <si>
    <t>E11201</t>
  </si>
  <si>
    <t>E11202</t>
  </si>
  <si>
    <t>E11203</t>
  </si>
  <si>
    <t>E11204</t>
  </si>
  <si>
    <t>E11205</t>
  </si>
  <si>
    <t>E11206</t>
  </si>
  <si>
    <t>E11207</t>
  </si>
  <si>
    <t>E11208</t>
  </si>
  <si>
    <t>E11209</t>
  </si>
  <si>
    <t>E11210</t>
  </si>
  <si>
    <t>E11211</t>
  </si>
  <si>
    <t>E11212</t>
  </si>
  <si>
    <t>E11213</t>
  </si>
  <si>
    <t>E11214</t>
  </si>
  <si>
    <t>E11215</t>
  </si>
  <si>
    <t>E11216</t>
  </si>
  <si>
    <t>E11217</t>
  </si>
  <si>
    <t>E11218</t>
  </si>
  <si>
    <t>E11219</t>
  </si>
  <si>
    <t>E11220</t>
  </si>
  <si>
    <t>E11221</t>
  </si>
  <si>
    <t>E11222</t>
  </si>
  <si>
    <t>E11223</t>
  </si>
  <si>
    <t>E11224</t>
  </si>
  <si>
    <t>E11225</t>
  </si>
  <si>
    <t>E11226</t>
  </si>
  <si>
    <t>E11227</t>
  </si>
  <si>
    <t>E11228</t>
  </si>
  <si>
    <t>E11229</t>
  </si>
  <si>
    <t>E11230</t>
  </si>
  <si>
    <t>E11231</t>
  </si>
  <si>
    <t>E11232</t>
  </si>
  <si>
    <t>E11233</t>
  </si>
  <si>
    <t>E11234</t>
  </si>
  <si>
    <t>E11235</t>
  </si>
  <si>
    <t>E11236</t>
  </si>
  <si>
    <t>E11237</t>
  </si>
  <si>
    <t>E11238</t>
  </si>
  <si>
    <t>E11239</t>
  </si>
  <si>
    <t>E11240</t>
  </si>
  <si>
    <t>E11241</t>
  </si>
  <si>
    <t>E11242</t>
  </si>
  <si>
    <t>E11243</t>
  </si>
  <si>
    <t>E11244</t>
  </si>
  <si>
    <t>E11245</t>
  </si>
  <si>
    <t>E11246</t>
  </si>
  <si>
    <t>E11247</t>
  </si>
  <si>
    <t>E11248</t>
  </si>
  <si>
    <t>E11249</t>
  </si>
  <si>
    <t>E11250</t>
  </si>
  <si>
    <t>E11251</t>
  </si>
  <si>
    <t>E11252</t>
  </si>
  <si>
    <t>E11253</t>
  </si>
  <si>
    <t>E11254</t>
  </si>
  <si>
    <t>E11255</t>
  </si>
  <si>
    <t>E11256</t>
  </si>
  <si>
    <t>E11257</t>
  </si>
  <si>
    <t>E11258</t>
  </si>
  <si>
    <t>E11259</t>
  </si>
  <si>
    <t>E11260</t>
  </si>
  <si>
    <t>E11261</t>
  </si>
  <si>
    <t>E11262</t>
  </si>
  <si>
    <t>E11263</t>
  </si>
  <si>
    <t>E11264</t>
  </si>
  <si>
    <t>E11265</t>
  </si>
  <si>
    <t>E11266</t>
  </si>
  <si>
    <t>E11267</t>
  </si>
  <si>
    <t>E11268</t>
  </si>
  <si>
    <t>E11269</t>
  </si>
  <si>
    <t>E11270</t>
  </si>
  <si>
    <t>E11271</t>
  </si>
  <si>
    <t>E11272</t>
  </si>
  <si>
    <t>E11273</t>
  </si>
  <si>
    <t>E11274</t>
  </si>
  <si>
    <t>E11275</t>
  </si>
  <si>
    <t>E11276</t>
  </si>
  <si>
    <t>E11277</t>
  </si>
  <si>
    <t>E11278</t>
  </si>
  <si>
    <t>E11279</t>
  </si>
  <si>
    <t>E11280</t>
  </si>
  <si>
    <t>E11281</t>
  </si>
  <si>
    <t>E11282</t>
  </si>
  <si>
    <t>E11283</t>
  </si>
  <si>
    <t>E11284</t>
  </si>
  <si>
    <t>E11285</t>
  </si>
  <si>
    <t>E11286</t>
  </si>
  <si>
    <t>E11287</t>
  </si>
  <si>
    <t>E11288</t>
  </si>
  <si>
    <t>E11289</t>
  </si>
  <si>
    <t>E11290</t>
  </si>
  <si>
    <t>E11291</t>
  </si>
  <si>
    <t>E11292</t>
  </si>
  <si>
    <t>E11293</t>
  </si>
  <si>
    <t>E11294</t>
  </si>
  <si>
    <t>E11295</t>
  </si>
  <si>
    <t>E11296</t>
  </si>
  <si>
    <t>E11297</t>
  </si>
  <si>
    <t>E11298</t>
  </si>
  <si>
    <t>E11299</t>
  </si>
  <si>
    <t>E11300</t>
  </si>
  <si>
    <t>E11301</t>
  </si>
  <si>
    <t>E11302</t>
  </si>
  <si>
    <t>E11303</t>
  </si>
  <si>
    <t>E11304</t>
  </si>
  <si>
    <t>E11305</t>
  </si>
  <si>
    <t>E11306</t>
  </si>
  <si>
    <t>E11307</t>
  </si>
  <si>
    <t>E11308</t>
  </si>
  <si>
    <t>E11309</t>
  </si>
  <si>
    <t>E11310</t>
  </si>
  <si>
    <t>E11311</t>
  </si>
  <si>
    <t>E11312</t>
  </si>
  <si>
    <t>E11313</t>
  </si>
  <si>
    <t>E11314</t>
  </si>
  <si>
    <t>E11315</t>
  </si>
  <si>
    <t>E11316</t>
  </si>
  <si>
    <t>E11317</t>
  </si>
  <si>
    <t>E11318</t>
  </si>
  <si>
    <t>E11319</t>
  </si>
  <si>
    <t>E11320</t>
  </si>
  <si>
    <t>E11321</t>
  </si>
  <si>
    <t>E11322</t>
  </si>
  <si>
    <t>E11323</t>
  </si>
  <si>
    <t>E11324</t>
  </si>
  <si>
    <t>E11325</t>
  </si>
  <si>
    <t>E11326</t>
  </si>
  <si>
    <t>E11327</t>
  </si>
  <si>
    <t>E11328</t>
  </si>
  <si>
    <t>E11329</t>
  </si>
  <si>
    <t>E11330</t>
  </si>
  <si>
    <t>E11331</t>
  </si>
  <si>
    <t>E11332</t>
  </si>
  <si>
    <t>E11333</t>
  </si>
  <si>
    <t>E11334</t>
  </si>
  <si>
    <t>E11335</t>
  </si>
  <si>
    <t>E11336</t>
  </si>
  <si>
    <t>E11337</t>
  </si>
  <si>
    <t>E11338</t>
  </si>
  <si>
    <t>E11339</t>
  </si>
  <si>
    <t>E11340</t>
  </si>
  <si>
    <t>E11341</t>
  </si>
  <si>
    <t>E11342</t>
  </si>
  <si>
    <t>E11343</t>
  </si>
  <si>
    <t>E11344</t>
  </si>
  <si>
    <t>E11345</t>
  </si>
  <si>
    <t>E11346</t>
  </si>
  <si>
    <t>E11347</t>
  </si>
  <si>
    <t>E11348</t>
  </si>
  <si>
    <t>E11349</t>
  </si>
  <si>
    <t>E11350</t>
  </si>
  <si>
    <t>E11351</t>
  </si>
  <si>
    <t>E11352</t>
  </si>
  <si>
    <t>E11353</t>
  </si>
  <si>
    <t>E11354</t>
  </si>
  <si>
    <t>E11355</t>
  </si>
  <si>
    <t>E11356</t>
  </si>
  <si>
    <t>E11357</t>
  </si>
  <si>
    <t>E11358</t>
  </si>
  <si>
    <t>E11359</t>
  </si>
  <si>
    <t>E11360</t>
  </si>
  <si>
    <t>E11361</t>
  </si>
  <si>
    <t>E11362</t>
  </si>
  <si>
    <t>E11363</t>
  </si>
  <si>
    <t>E11364</t>
  </si>
  <si>
    <t>E11365</t>
  </si>
  <si>
    <t>E11366</t>
  </si>
  <si>
    <t>E11367</t>
  </si>
  <si>
    <t>E11368</t>
  </si>
  <si>
    <t>E11369</t>
  </si>
  <si>
    <t>E11370</t>
  </si>
  <si>
    <t>E11371</t>
  </si>
  <si>
    <t>E11372</t>
  </si>
  <si>
    <t>E11373</t>
  </si>
  <si>
    <t>E11374</t>
  </si>
  <si>
    <t>E11375</t>
  </si>
  <si>
    <t>E11376</t>
  </si>
  <si>
    <t>E11377</t>
  </si>
  <si>
    <t>E11378</t>
  </si>
  <si>
    <t>E11379</t>
  </si>
  <si>
    <t>E11380</t>
  </si>
  <si>
    <t>E11381</t>
  </si>
  <si>
    <t>E11382</t>
  </si>
  <si>
    <t>E11383</t>
  </si>
  <si>
    <t>E11384</t>
  </si>
  <si>
    <t>E11385</t>
  </si>
  <si>
    <t>E11386</t>
  </si>
  <si>
    <t>E11387</t>
  </si>
  <si>
    <t>E11388</t>
  </si>
  <si>
    <t>E11389</t>
  </si>
  <si>
    <t>E11390</t>
  </si>
  <si>
    <t>E11391</t>
  </si>
  <si>
    <t>E11392</t>
  </si>
  <si>
    <t>E11393</t>
  </si>
  <si>
    <t>E11394</t>
  </si>
  <si>
    <t>E11395</t>
  </si>
  <si>
    <t>E11396</t>
  </si>
  <si>
    <t>E11397</t>
  </si>
  <si>
    <t>E11398</t>
  </si>
  <si>
    <t>E11399</t>
  </si>
  <si>
    <t>E11400</t>
  </si>
  <si>
    <t>E11401</t>
  </si>
  <si>
    <t>E11402</t>
  </si>
  <si>
    <t>E11403</t>
  </si>
  <si>
    <t>E11404</t>
  </si>
  <si>
    <t>E11405</t>
  </si>
  <si>
    <t>E11406</t>
  </si>
  <si>
    <t>E11407</t>
  </si>
  <si>
    <t>E11408</t>
  </si>
  <si>
    <t>E11409</t>
  </si>
  <si>
    <t>E11410</t>
  </si>
  <si>
    <t>E11411</t>
  </si>
  <si>
    <t>E11412</t>
  </si>
  <si>
    <t>E11413</t>
  </si>
  <si>
    <t>E11414</t>
  </si>
  <si>
    <t>E11415</t>
  </si>
  <si>
    <t>E11416</t>
  </si>
  <si>
    <t>E11417</t>
  </si>
  <si>
    <t>E11418</t>
  </si>
  <si>
    <t>E11419</t>
  </si>
  <si>
    <t>E11420</t>
  </si>
  <si>
    <t>E11421</t>
  </si>
  <si>
    <t>E11422</t>
  </si>
  <si>
    <t>E11423</t>
  </si>
  <si>
    <t>E11424</t>
  </si>
  <si>
    <t>E11425</t>
  </si>
  <si>
    <t>E11426</t>
  </si>
  <si>
    <t>E11427</t>
  </si>
  <si>
    <t>E11428</t>
  </si>
  <si>
    <t>E11429</t>
  </si>
  <si>
    <t>E11430</t>
  </si>
  <si>
    <t>E11431</t>
  </si>
  <si>
    <t>E11432</t>
  </si>
  <si>
    <t>E11433</t>
  </si>
  <si>
    <t>E11434</t>
  </si>
  <si>
    <t>E11435</t>
  </si>
  <si>
    <t>E11436</t>
  </si>
  <si>
    <t>E11437</t>
  </si>
  <si>
    <t>E11438</t>
  </si>
  <si>
    <t>E11439</t>
  </si>
  <si>
    <t>E11440</t>
  </si>
  <si>
    <t>E11441</t>
  </si>
  <si>
    <t>E11442</t>
  </si>
  <si>
    <t>E11443</t>
  </si>
  <si>
    <t>E11444</t>
  </si>
  <si>
    <t>E11445</t>
  </si>
  <si>
    <t>E11446</t>
  </si>
  <si>
    <t>E11447</t>
  </si>
  <si>
    <t>E11448</t>
  </si>
  <si>
    <t>E11449</t>
  </si>
  <si>
    <t>E11450</t>
  </si>
  <si>
    <t>E11451</t>
  </si>
  <si>
    <t>E11452</t>
  </si>
  <si>
    <t>E11453</t>
  </si>
  <si>
    <t>E11454</t>
  </si>
  <si>
    <t>E11455</t>
  </si>
  <si>
    <t>E11456</t>
  </si>
  <si>
    <t>E11457</t>
  </si>
  <si>
    <t>E11458</t>
  </si>
  <si>
    <t>E11459</t>
  </si>
  <si>
    <t>E11460</t>
  </si>
  <si>
    <t>E11461</t>
  </si>
  <si>
    <t>E11462</t>
  </si>
  <si>
    <t>E11463</t>
  </si>
  <si>
    <t>E11464</t>
  </si>
  <si>
    <t>E11465</t>
  </si>
  <si>
    <t>E11466</t>
  </si>
  <si>
    <t>E11467</t>
  </si>
  <si>
    <t>E11468</t>
  </si>
  <si>
    <t>E11469</t>
  </si>
  <si>
    <t>E11470</t>
  </si>
  <si>
    <t>E11471</t>
  </si>
  <si>
    <t>E11472</t>
  </si>
  <si>
    <t>E11473</t>
  </si>
  <si>
    <t>E11474</t>
  </si>
  <si>
    <t>E11475</t>
  </si>
  <si>
    <t>E11476</t>
  </si>
  <si>
    <t>E11477</t>
  </si>
  <si>
    <t>E11478</t>
  </si>
  <si>
    <t>E11479</t>
  </si>
  <si>
    <t>E11480</t>
  </si>
  <si>
    <t>E11481</t>
  </si>
  <si>
    <t>E11482</t>
  </si>
  <si>
    <t>E11483</t>
  </si>
  <si>
    <t>E11484</t>
  </si>
  <si>
    <t>E11485</t>
  </si>
  <si>
    <t>E11486</t>
  </si>
  <si>
    <t>E11487</t>
  </si>
  <si>
    <t>E11488</t>
  </si>
  <si>
    <t>E11489</t>
  </si>
  <si>
    <t>E11490</t>
  </si>
  <si>
    <t>E11491</t>
  </si>
  <si>
    <t>E11492</t>
  </si>
  <si>
    <t>E11493</t>
  </si>
  <si>
    <t>E11494</t>
  </si>
  <si>
    <t>E11495</t>
  </si>
  <si>
    <t>E11496</t>
  </si>
  <si>
    <t>E11497</t>
  </si>
  <si>
    <t>E11498</t>
  </si>
  <si>
    <t>E11499</t>
  </si>
  <si>
    <t>E11500</t>
  </si>
  <si>
    <t>E11501</t>
  </si>
  <si>
    <t>E11502</t>
  </si>
  <si>
    <t>E11503</t>
  </si>
  <si>
    <t>E11504</t>
  </si>
  <si>
    <t>E11505</t>
  </si>
  <si>
    <t>E11506</t>
  </si>
  <si>
    <t>E11507</t>
  </si>
  <si>
    <t>E11508</t>
  </si>
  <si>
    <t>E11509</t>
  </si>
  <si>
    <t>E11510</t>
  </si>
  <si>
    <t>E11511</t>
  </si>
  <si>
    <t>E11512</t>
  </si>
  <si>
    <t>E11513</t>
  </si>
  <si>
    <t>E11514</t>
  </si>
  <si>
    <t>E11515</t>
  </si>
  <si>
    <t>E11516</t>
  </si>
  <si>
    <t>E11517</t>
  </si>
  <si>
    <t>E11518</t>
  </si>
  <si>
    <t>E11519</t>
  </si>
  <si>
    <t>E11520</t>
  </si>
  <si>
    <t>E11521</t>
  </si>
  <si>
    <t>E11522</t>
  </si>
  <si>
    <t>E11523</t>
  </si>
  <si>
    <t>E11524</t>
  </si>
  <si>
    <t>E11525</t>
  </si>
  <si>
    <t>E11526</t>
  </si>
  <si>
    <t>E11527</t>
  </si>
  <si>
    <t>E11528</t>
  </si>
  <si>
    <t>E11529</t>
  </si>
  <si>
    <t>E11530</t>
  </si>
  <si>
    <t>E11531</t>
  </si>
  <si>
    <t>E11532</t>
  </si>
  <si>
    <t>E11533</t>
  </si>
  <si>
    <t>E11534</t>
  </si>
  <si>
    <t>E11535</t>
  </si>
  <si>
    <t>E11536</t>
  </si>
  <si>
    <t>E11537</t>
  </si>
  <si>
    <t>E11538</t>
  </si>
  <si>
    <t>E11539</t>
  </si>
  <si>
    <t>E11540</t>
  </si>
  <si>
    <t>E11541</t>
  </si>
  <si>
    <t>E11542</t>
  </si>
  <si>
    <t>E11543</t>
  </si>
  <si>
    <t>E11544</t>
  </si>
  <si>
    <t>E11545</t>
  </si>
  <si>
    <t>E11546</t>
  </si>
  <si>
    <t>E11547</t>
  </si>
  <si>
    <t>E11548</t>
  </si>
  <si>
    <t>E11549</t>
  </si>
  <si>
    <t>E11550</t>
  </si>
  <si>
    <t>E11551</t>
  </si>
  <si>
    <t>E11552</t>
  </si>
  <si>
    <t>E11553</t>
  </si>
  <si>
    <t>E11554</t>
  </si>
  <si>
    <t>E11555</t>
  </si>
  <si>
    <t>E11556</t>
  </si>
  <si>
    <t>E11557</t>
  </si>
  <si>
    <t>E11558</t>
  </si>
  <si>
    <t>E11559</t>
  </si>
  <si>
    <t>E11560</t>
  </si>
  <si>
    <t>E11561</t>
  </si>
  <si>
    <t>E11562</t>
  </si>
  <si>
    <t>E11563</t>
  </si>
  <si>
    <t>E11564</t>
  </si>
  <si>
    <t>E11565</t>
  </si>
  <si>
    <t>E11566</t>
  </si>
  <si>
    <t>E11567</t>
  </si>
  <si>
    <t>E11568</t>
  </si>
  <si>
    <t>E11569</t>
  </si>
  <si>
    <t>E11570</t>
  </si>
  <si>
    <t>E11571</t>
  </si>
  <si>
    <t>E11572</t>
  </si>
  <si>
    <t>E11573</t>
  </si>
  <si>
    <t>E11574</t>
  </si>
  <si>
    <t>E11575</t>
  </si>
  <si>
    <t>E11576</t>
  </si>
  <si>
    <t>E11577</t>
  </si>
  <si>
    <t>E11578</t>
  </si>
  <si>
    <t>E11579</t>
  </si>
  <si>
    <t>E11580</t>
  </si>
  <si>
    <t>E11581</t>
  </si>
  <si>
    <t>E11582</t>
  </si>
  <si>
    <t>E11583</t>
  </si>
  <si>
    <t>E11584</t>
  </si>
  <si>
    <t>E11585</t>
  </si>
  <si>
    <t>E11586</t>
  </si>
  <si>
    <t>E11587</t>
  </si>
  <si>
    <t>E11588</t>
  </si>
  <si>
    <t>E11589</t>
  </si>
  <si>
    <t>E11590</t>
  </si>
  <si>
    <t>E11591</t>
  </si>
  <si>
    <t>E11592</t>
  </si>
  <si>
    <t>E11593</t>
  </si>
  <si>
    <t>E11594</t>
  </si>
  <si>
    <t>E11595</t>
  </si>
  <si>
    <t>E11596</t>
  </si>
  <si>
    <t>E11597</t>
  </si>
  <si>
    <t>E11598</t>
  </si>
  <si>
    <t>E11599</t>
  </si>
  <si>
    <t>E11600</t>
  </si>
  <si>
    <t>E11601</t>
  </si>
  <si>
    <t>E11602</t>
  </si>
  <si>
    <t>E11603</t>
  </si>
  <si>
    <t>E11604</t>
  </si>
  <si>
    <t>E11605</t>
  </si>
  <si>
    <t>E11606</t>
  </si>
  <si>
    <t>E11607</t>
  </si>
  <si>
    <t>E11608</t>
  </si>
  <si>
    <t>E11609</t>
  </si>
  <si>
    <t>E11610</t>
  </si>
  <si>
    <t>E11611</t>
  </si>
  <si>
    <t>E11612</t>
  </si>
  <si>
    <t>E11613</t>
  </si>
  <si>
    <t>E11614</t>
  </si>
  <si>
    <t>E11615</t>
  </si>
  <si>
    <t>E11616</t>
  </si>
  <si>
    <t>E11617</t>
  </si>
  <si>
    <t>E11618</t>
  </si>
  <si>
    <t>E11619</t>
  </si>
  <si>
    <t>E11620</t>
  </si>
  <si>
    <t>E11621</t>
  </si>
  <si>
    <t>E11622</t>
  </si>
  <si>
    <t>E11623</t>
  </si>
  <si>
    <t>E11624</t>
  </si>
  <si>
    <t>E11625</t>
  </si>
  <si>
    <t>E11626</t>
  </si>
  <si>
    <t>E11627</t>
  </si>
  <si>
    <t>E11628</t>
  </si>
  <si>
    <t>E11629</t>
  </si>
  <si>
    <t>E11630</t>
  </si>
  <si>
    <t>E11631</t>
  </si>
  <si>
    <t>E11632</t>
  </si>
  <si>
    <t>E11633</t>
  </si>
  <si>
    <t>E11634</t>
  </si>
  <si>
    <t>E11635</t>
  </si>
  <si>
    <t>E11636</t>
  </si>
  <si>
    <t>E11637</t>
  </si>
  <si>
    <t>E11638</t>
  </si>
  <si>
    <t>E11639</t>
  </si>
  <si>
    <t>E11640</t>
  </si>
  <si>
    <t>E11641</t>
  </si>
  <si>
    <t>E11642</t>
  </si>
  <si>
    <t>E11643</t>
  </si>
  <si>
    <t>E11644</t>
  </si>
  <si>
    <t>E11645</t>
  </si>
  <si>
    <t>E11646</t>
  </si>
  <si>
    <t>E11647</t>
  </si>
  <si>
    <t>E11648</t>
  </si>
  <si>
    <t>E11649</t>
  </si>
  <si>
    <t>E11650</t>
  </si>
  <si>
    <t>HR Workforce &amp; Attrition Analysis</t>
  </si>
  <si>
    <t>Headcount, turnover drivers &amp; retention risk | exits 2024-2025  |  Sample / simulated data for portfolio use</t>
  </si>
  <si>
    <t>BUSINESS PROBLEM</t>
  </si>
  <si>
    <t>Context</t>
  </si>
  <si>
    <t>A 1,650-employee services company saw resignations climb and wants to know who is leaving, why, and what it costs. HR needs a dashboard that management can filter by department, level and work mode.</t>
  </si>
  <si>
    <t>QUESTIONS THIS ANALYSIS ANSWERS</t>
  </si>
  <si>
    <t>Q1</t>
  </si>
  <si>
    <t>What is our attrition rate and how did exits trend in 2024 vs 2025?</t>
  </si>
  <si>
    <t>Q2</t>
  </si>
  <si>
    <t>Which departments, levels and tenure groups lose the most people?</t>
  </si>
  <si>
    <t>Q3</t>
  </si>
  <si>
    <t>Do overtime, pay and satisfaction explain who leaves?</t>
  </si>
  <si>
    <t>Q4</t>
  </si>
  <si>
    <t>What are the main exit reasons?</t>
  </si>
  <si>
    <t>Q5</t>
  </si>
  <si>
    <t>Where should HR act first?</t>
  </si>
  <si>
    <t>KEY INSIGHTS</t>
  </si>
  <si>
    <t>Insight 1</t>
  </si>
  <si>
    <t>297 of 1,650 employees left during 2024-2025 (attrition 18.0%); exits rose from 103 in 2024 to 194 in 2025.</t>
  </si>
  <si>
    <t>Insight 2</t>
  </si>
  <si>
    <t>Sales (29.9%) and Customer Support (27.1%) lose staff 2-3x faster than Finance (7.7%).</t>
  </si>
  <si>
    <t>Insight 3</t>
  </si>
  <si>
    <t>Employees working overtime leave at 31.0% vs 11.9% without overtime.</t>
  </si>
  <si>
    <t>Insight 4</t>
  </si>
  <si>
    <t>Satisfaction is the strongest signal: score 1 = 48.8% attrition, score 5 = 10.7%.</t>
  </si>
  <si>
    <t>Insight 5</t>
  </si>
  <si>
    <t>New joiners are most at risk: 30.6% of employees with under 1 year of tenure left vs 13.2% of 5+ year staff.</t>
  </si>
  <si>
    <t>Insight 6</t>
  </si>
  <si>
    <t>'Better pay' is the #1 exit reason (33.3% of leavers); leavers were paid less than stayers at every level except Manager.</t>
  </si>
  <si>
    <t>Insight 7</t>
  </si>
  <si>
    <t>Estimated replacement cost of leavers is about $8.54M (6 months of salary each).</t>
  </si>
  <si>
    <t>RECOMMENDATIONS</t>
  </si>
  <si>
    <t>Action 1</t>
  </si>
  <si>
    <t>Run a pay-equity review for employees more than 8% below their department/level median, starting with Customer Support and Sales.</t>
  </si>
  <si>
    <t>Action 2</t>
  </si>
  <si>
    <t>Cap recurring overtime and add staffing in Customer Support; track overtime hours monthly as an early-warning KPI.</t>
  </si>
  <si>
    <t>Action 3</t>
  </si>
  <si>
    <t>Strengthen onboarding (buddy program, 30-60-90 day check-ins) to cut first-year attrition.</t>
  </si>
  <si>
    <t>Action 4</t>
  </si>
  <si>
    <t>Use the quarterly satisfaction pulse to flag score 1-2 employees for a manager conversation.</t>
  </si>
  <si>
    <t>DATASET</t>
  </si>
  <si>
    <t>Rows / columns</t>
  </si>
  <si>
    <t>1,650 rows x 23 columns (sheet 'Data', Excel table 'tblData')</t>
  </si>
  <si>
    <t>Period</t>
  </si>
  <si>
    <t>Employees on record 2024-2025 (hire dates back to 2011); exits tracked Jan 2024 - Dec 2025</t>
  </si>
  <si>
    <t>Unique employee id</t>
  </si>
  <si>
    <t>Department / JobLevel</t>
  </si>
  <si>
    <t>Organisation unit and grade</t>
  </si>
  <si>
    <t>Gender, Age, AgeBand</t>
  </si>
  <si>
    <t>Demographics</t>
  </si>
  <si>
    <t>Onsite, Hybrid or Remote</t>
  </si>
  <si>
    <t>HireDate, TenureYears, TenureBand</t>
  </si>
  <si>
    <t>Hire date and years of service (to exit date or 31-Dec-2025)</t>
  </si>
  <si>
    <t>Monthly gross salary (USD)</t>
  </si>
  <si>
    <t>Regular overtime (Yes/No)</t>
  </si>
  <si>
    <t>Latest engagement survey score (1-5)</t>
  </si>
  <si>
    <t>Last appraisal (2-5)</t>
  </si>
  <si>
    <t>Status, ExitDate, ExitReason</t>
  </si>
  <si>
    <t>Active or Left, with exit date and stated reason</t>
  </si>
  <si>
    <t>Employees, Active, Left</t>
  </si>
  <si>
    <t>Counters used by the pivots (1/0)</t>
  </si>
  <si>
    <t>WORKBOOK GUIDE</t>
  </si>
  <si>
    <t>Dashboard</t>
  </si>
  <si>
    <t>KPI cards, pivot charts and slicers. Click any slicer on the left to filter every chart and KPI at once.</t>
  </si>
  <si>
    <t>Pivots</t>
  </si>
  <si>
    <t>The PivotTables that feed the dashboard (all share one pivot cache). Refresh: Data &gt; Refresh All.</t>
  </si>
  <si>
    <t>Data</t>
  </si>
  <si>
    <t>Clean, typed source table. Add rows to the table and press Refresh All to update everything.</t>
  </si>
  <si>
    <t>Tools</t>
  </si>
  <si>
    <t>Excel PivotTables, calculated fields, PivotCharts, Slicers, GETPIVOTDATA, conditional number formats.</t>
  </si>
  <si>
    <t>Prepared by</t>
  </si>
  <si>
    <t>Ahmed Abdulsalam | Data Analyst</t>
  </si>
  <si>
    <t>PivotTables feeding the dashboard (one shared pivot cache; Data &gt; Refresh All updates everything)</t>
  </si>
  <si>
    <t>KPI summary (feeds the KPI cards)</t>
  </si>
  <si>
    <t xml:space="preserve">Employees </t>
  </si>
  <si>
    <t xml:space="preserve">Leavers </t>
  </si>
  <si>
    <t xml:space="preserve">Attrition </t>
  </si>
  <si>
    <t xml:space="preserve">Avg Salary </t>
  </si>
  <si>
    <t xml:space="preserve">Avg Satisfaction </t>
  </si>
  <si>
    <t>Values</t>
  </si>
  <si>
    <t>Exits by month and year</t>
  </si>
  <si>
    <t>Grand Total</t>
  </si>
  <si>
    <t>Active vs left by department</t>
  </si>
  <si>
    <t>Leavers by exit reason</t>
  </si>
  <si>
    <t>Attrition rate by tenure</t>
  </si>
  <si>
    <t>Attrition rate by satisfaction</t>
  </si>
  <si>
    <t>Headcount, turnover drivers &amp; retention risk | exits 2024-2025</t>
  </si>
  <si>
    <t>Sample / simulated data</t>
  </si>
  <si>
    <t xml:space="preserve">  EMPLOYEES</t>
  </si>
  <si>
    <t>on record 2024-2025</t>
  </si>
  <si>
    <t xml:space="preserve">  LEAVERS</t>
  </si>
  <si>
    <t>exits in 2024-2025</t>
  </si>
  <si>
    <t xml:space="preserve">  ATTRITION RATE</t>
  </si>
  <si>
    <t>leavers / employees</t>
  </si>
  <si>
    <t xml:space="preserve">  AVG MONTHLY SALARY</t>
  </si>
  <si>
    <t>all employees</t>
  </si>
  <si>
    <t xml:space="preserve">  AVG SATISFACTION</t>
  </si>
  <si>
    <t>engagement survey</t>
  </si>
  <si>
    <t>Click any slicer to filter every chart and KPI. Source: sheet 'Data' (table tblData).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</si>
</sst>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5" formatCode="dd\-mmm\-yyyy"/>
    <numFmt numFmtId="166" formatCode="0.0"/>
    <numFmt numFmtId="167" formatCode="\$#,##0"/>
    <numFmt numFmtId="168" formatCode="0.0%"/>
    <numFmt numFmtId="169" formatCode="&quot;$&quot;#,##0"/>
    <numFmt numFmtId="170" formatCode="0.00&quot; / 5&quot;"/>
  </numFmts>
  <fonts count="20" x14ac:knownFonts="1">
    <font>
      <sz val="11"/>
      <color theme="1"/>
      <name val="Segoe UI"/>
      <family val="2"/>
      <scheme val="minor"/>
    </font>
    <font>
      <b/>
      <sz val="18"/>
      <color rgb="FFFFFFFF"/>
      <name val="Segoe UI"/>
    </font>
    <font>
      <i/>
      <sz val="10"/>
      <color rgb="FF5D6D7E"/>
      <name val="Segoe UI"/>
    </font>
    <font>
      <b/>
      <sz val="11"/>
      <color rgb="FF8B5CF6"/>
      <name val="Segoe UI"/>
    </font>
    <font>
      <b/>
      <sz val="10"/>
      <color rgb="FF1F2D3D"/>
      <name val="Segoe UI"/>
    </font>
    <font>
      <sz val="10"/>
      <color rgb="FF1F2D3D"/>
      <name val="Segoe UI"/>
    </font>
    <font>
      <b/>
      <sz val="12"/>
      <color theme="1"/>
      <name val="Segoe UI"/>
      <family val="2"/>
      <scheme val="minor"/>
    </font>
    <font>
      <b/>
      <sz val="11"/>
      <color rgb="FF8B5CF6"/>
      <name val="Segoe UI"/>
      <family val="2"/>
      <scheme val="minor"/>
    </font>
    <font>
      <sz val="9"/>
      <color theme="1"/>
      <name val="Segoe UI"/>
      <family val="2"/>
      <scheme val="minor"/>
    </font>
    <font>
      <b/>
      <sz val="22"/>
      <color rgb="FFF3F0FF"/>
      <name val="Segoe UI"/>
      <family val="2"/>
      <scheme val="minor"/>
    </font>
    <font>
      <sz val="10"/>
      <color rgb="FFA59CC9"/>
      <name val="Segoe UI"/>
      <family val="2"/>
      <scheme val="minor"/>
    </font>
    <font>
      <b/>
      <sz val="9"/>
      <color rgb="FFF3F0FF"/>
      <name val="Segoe UI"/>
      <family val="2"/>
      <scheme val="minor"/>
    </font>
    <font>
      <i/>
      <sz val="9"/>
      <color rgb="FFA59CC9"/>
      <name val="Segoe UI"/>
      <family val="2"/>
      <scheme val="minor"/>
    </font>
    <font>
      <b/>
      <sz val="8"/>
      <color rgb="FFA59CC9"/>
      <name val="Segoe UI"/>
      <family val="2"/>
      <scheme val="minor"/>
    </font>
    <font>
      <b/>
      <sz val="20"/>
      <color rgb="FF8B5CF6"/>
      <name val="Segoe UI"/>
      <family val="2"/>
      <scheme val="minor"/>
    </font>
    <font>
      <sz val="8"/>
      <color rgb="FFA59CC9"/>
      <name val="Segoe UI"/>
      <family val="2"/>
      <scheme val="minor"/>
    </font>
    <font>
      <b/>
      <sz val="20"/>
      <color rgb="FFEF4444"/>
      <name val="Segoe UI"/>
      <family val="2"/>
      <scheme val="minor"/>
    </font>
    <font>
      <b/>
      <sz val="20"/>
      <color rgb="FFFBBF24"/>
      <name val="Segoe UI"/>
      <family val="2"/>
      <scheme val="minor"/>
    </font>
    <font>
      <b/>
      <sz val="20"/>
      <color rgb="FF34D399"/>
      <name val="Segoe UI"/>
      <family val="2"/>
      <scheme val="minor"/>
    </font>
    <font>
      <i/>
      <sz val="8"/>
      <color rgb="FFA59CC9"/>
      <name val="Segoe UI"/>
      <family val="2"/>
      <scheme val="minor"/>
    </font>
  </fonts>
  <fills count="6">
    <fill>
      <patternFill patternType="none"/>
    </fill>
    <fill>
      <patternFill patternType="gray125"/>
    </fill>
    <fill>
      <patternFill patternType="solid">
        <fgColor rgb="FF8B5CF6"/>
      </patternFill>
    </fill>
    <fill>
      <patternFill patternType="solid">
        <fgColor rgb="FF12101C"/>
        <bgColor indexed="64"/>
      </patternFill>
    </fill>
    <fill>
      <patternFill patternType="solid">
        <fgColor rgb="FF8B5CF6"/>
        <bgColor indexed="64"/>
      </patternFill>
    </fill>
    <fill>
      <patternFill patternType="solid">
        <fgColor rgb="FF1E1A2E"/>
        <bgColor indexed="64"/>
      </patternFill>
    </fill>
  </fills>
  <borders count="19">
    <border>
      <left/>
      <right/>
      <top/>
      <bottom/>
      <diagonal/>
    </border>
    <border>
      <left/>
      <right/>
      <top/>
      <bottom style="medium">
        <color rgb="FF8B5CF6"/>
      </bottom>
      <diagonal/>
    </border>
    <border>
      <left style="thin">
        <color rgb="FF2E2945"/>
      </left>
      <right/>
      <top/>
      <bottom/>
      <diagonal/>
    </border>
    <border>
      <left style="thin">
        <color rgb="FF2E2945"/>
      </left>
      <right/>
      <top/>
      <bottom style="thin">
        <color rgb="FF2E2945"/>
      </bottom>
      <diagonal/>
    </border>
    <border>
      <left/>
      <right/>
      <top/>
      <bottom style="thin">
        <color rgb="FF2E2945"/>
      </bottom>
      <diagonal/>
    </border>
    <border>
      <left/>
      <right style="thin">
        <color rgb="FF2E2945"/>
      </right>
      <top/>
      <bottom/>
      <diagonal/>
    </border>
    <border>
      <left/>
      <right style="thin">
        <color rgb="FF2E2945"/>
      </right>
      <top/>
      <bottom style="thin">
        <color rgb="FF2E2945"/>
      </bottom>
      <diagonal/>
    </border>
    <border>
      <left style="thin">
        <color rgb="FF2E2945"/>
      </left>
      <right/>
      <top style="medium">
        <color rgb="FF8B5CF6"/>
      </top>
      <bottom/>
      <diagonal/>
    </border>
    <border>
      <left/>
      <right/>
      <top style="medium">
        <color rgb="FF8B5CF6"/>
      </top>
      <bottom/>
      <diagonal/>
    </border>
    <border>
      <left/>
      <right style="thin">
        <color rgb="FF2E2945"/>
      </right>
      <top style="medium">
        <color rgb="FF8B5CF6"/>
      </top>
      <bottom/>
      <diagonal/>
    </border>
    <border>
      <left style="thin">
        <color rgb="FF2E2945"/>
      </left>
      <right/>
      <top style="medium">
        <color rgb="FFEF4444"/>
      </top>
      <bottom/>
      <diagonal/>
    </border>
    <border>
      <left/>
      <right/>
      <top style="medium">
        <color rgb="FFEF4444"/>
      </top>
      <bottom/>
      <diagonal/>
    </border>
    <border>
      <left/>
      <right style="thin">
        <color rgb="FF2E2945"/>
      </right>
      <top style="medium">
        <color rgb="FFEF4444"/>
      </top>
      <bottom/>
      <diagonal/>
    </border>
    <border>
      <left style="thin">
        <color rgb="FF2E2945"/>
      </left>
      <right/>
      <top style="medium">
        <color rgb="FFFBBF24"/>
      </top>
      <bottom/>
      <diagonal/>
    </border>
    <border>
      <left/>
      <right/>
      <top style="medium">
        <color rgb="FFFBBF24"/>
      </top>
      <bottom/>
      <diagonal/>
    </border>
    <border>
      <left/>
      <right style="thin">
        <color rgb="FF2E2945"/>
      </right>
      <top style="medium">
        <color rgb="FFFBBF24"/>
      </top>
      <bottom/>
      <diagonal/>
    </border>
    <border>
      <left style="thin">
        <color rgb="FF2E2945"/>
      </left>
      <right/>
      <top style="medium">
        <color rgb="FF34D399"/>
      </top>
      <bottom/>
      <diagonal/>
    </border>
    <border>
      <left/>
      <right/>
      <top style="medium">
        <color rgb="FF34D399"/>
      </top>
      <bottom/>
      <diagonal/>
    </border>
    <border>
      <left/>
      <right style="thin">
        <color rgb="FF2E2945"/>
      </right>
      <top style="medium">
        <color rgb="FF34D399"/>
      </top>
      <bottom/>
      <diagonal/>
    </border>
  </borders>
  <cellStyleXfs count="1">
    <xf numFmtId="0" fontId="0" fillId="0" borderId="0"/>
  </cellStyleXfs>
  <cellXfs count="57">
    <xf numFmtId="0" fontId="0" fillId="0" borderId="0" xfId="0"/>
    <xf numFmtId="165" fontId="0" fillId="0" borderId="0" xfId="0" applyNumberFormat="1"/>
    <xf numFmtId="166" fontId="0" fillId="0" borderId="0" xfId="0" applyNumberFormat="1"/>
    <xf numFmtId="167" fontId="0" fillId="0" borderId="0" xfId="0" applyNumberFormat="1"/>
    <xf numFmtId="0" fontId="2" fillId="0" borderId="0" xfId="0" applyFont="1"/>
    <xf numFmtId="0" fontId="3" fillId="0" borderId="1" xfId="0" applyFont="1" applyBorder="1"/>
    <xf numFmtId="0" fontId="0" fillId="0" borderId="1" xfId="0" applyBorder="1"/>
    <xf numFmtId="0" fontId="4" fillId="0" borderId="0" xfId="0" applyFont="1" applyAlignment="1">
      <alignment vertical="top" wrapText="1"/>
    </xf>
    <xf numFmtId="0" fontId="5" fillId="0" borderId="0" xfId="0" applyFont="1" applyAlignment="1">
      <alignment vertical="top" wrapText="1"/>
    </xf>
    <xf numFmtId="0" fontId="1" fillId="2" borderId="0" xfId="0" applyFont="1" applyFill="1" applyAlignment="1">
      <alignment vertical="center" indent="1"/>
    </xf>
    <xf numFmtId="0" fontId="0" fillId="2" borderId="0" xfId="0" applyFill="1"/>
    <xf numFmtId="0" fontId="6" fillId="0" borderId="0" xfId="0" applyFont="1"/>
    <xf numFmtId="0" fontId="7" fillId="0" borderId="0" xfId="0" applyFont="1"/>
    <xf numFmtId="3" fontId="0" fillId="0" borderId="0" xfId="0" applyNumberFormat="1"/>
    <xf numFmtId="168" fontId="0" fillId="0" borderId="0" xfId="0" applyNumberFormat="1"/>
    <xf numFmtId="169" fontId="0" fillId="0" borderId="0" xfId="0" applyNumberFormat="1"/>
    <xf numFmtId="2" fontId="0" fillId="0" borderId="0" xfId="0" applyNumberFormat="1"/>
    <xf numFmtId="0" fontId="0" fillId="0" borderId="0" xfId="0" pivotButton="1"/>
    <xf numFmtId="0" fontId="0" fillId="0" borderId="0" xfId="0" applyFont="1"/>
    <xf numFmtId="0" fontId="8" fillId="0" borderId="0" xfId="0" applyFont="1"/>
    <xf numFmtId="0" fontId="8" fillId="3" borderId="0" xfId="0" applyFont="1" applyFill="1"/>
    <xf numFmtId="0" fontId="9" fillId="3" borderId="0" xfId="0" applyFont="1" applyFill="1"/>
    <xf numFmtId="0" fontId="10" fillId="3" borderId="0" xfId="0" applyFont="1" applyFill="1"/>
    <xf numFmtId="0" fontId="8" fillId="4" borderId="0" xfId="0" applyFont="1" applyFill="1"/>
    <xf numFmtId="0" fontId="11" fillId="3" borderId="0" xfId="0" applyFont="1" applyFill="1" applyAlignment="1">
      <alignment horizontal="right"/>
    </xf>
    <xf numFmtId="0" fontId="12" fillId="3" borderId="0" xfId="0" applyFont="1" applyFill="1" applyAlignment="1">
      <alignment horizontal="right"/>
    </xf>
    <xf numFmtId="0" fontId="8" fillId="5" borderId="8" xfId="0" applyFont="1" applyFill="1" applyBorder="1"/>
    <xf numFmtId="0" fontId="8" fillId="5" borderId="9" xfId="0" applyFont="1" applyFill="1" applyBorder="1"/>
    <xf numFmtId="0" fontId="13" fillId="5" borderId="7" xfId="0" applyFont="1" applyFill="1" applyBorder="1"/>
    <xf numFmtId="3" fontId="14" fillId="5" borderId="2" xfId="0" applyNumberFormat="1" applyFont="1" applyFill="1" applyBorder="1" applyAlignment="1">
      <alignment horizontal="left" vertical="center" indent="1"/>
    </xf>
    <xf numFmtId="3" fontId="14" fillId="5" borderId="0" xfId="0" applyNumberFormat="1" applyFont="1" applyFill="1" applyBorder="1" applyAlignment="1">
      <alignment horizontal="left" vertical="center" indent="1"/>
    </xf>
    <xf numFmtId="3" fontId="14" fillId="5" borderId="5" xfId="0" applyNumberFormat="1" applyFont="1" applyFill="1" applyBorder="1" applyAlignment="1">
      <alignment horizontal="left" vertical="center" indent="1"/>
    </xf>
    <xf numFmtId="0" fontId="15" fillId="5" borderId="3" xfId="0" applyFont="1" applyFill="1" applyBorder="1" applyAlignment="1">
      <alignment horizontal="left" indent="1"/>
    </xf>
    <xf numFmtId="0" fontId="15" fillId="5" borderId="4" xfId="0" applyFont="1" applyFill="1" applyBorder="1" applyAlignment="1">
      <alignment horizontal="left" indent="1"/>
    </xf>
    <xf numFmtId="0" fontId="15" fillId="5" borderId="6" xfId="0" applyFont="1" applyFill="1" applyBorder="1" applyAlignment="1">
      <alignment horizontal="left" indent="1"/>
    </xf>
    <xf numFmtId="0" fontId="8" fillId="5" borderId="11" xfId="0" applyFont="1" applyFill="1" applyBorder="1"/>
    <xf numFmtId="0" fontId="8" fillId="5" borderId="12" xfId="0" applyFont="1" applyFill="1" applyBorder="1"/>
    <xf numFmtId="0" fontId="13" fillId="5" borderId="10" xfId="0" applyFont="1" applyFill="1" applyBorder="1"/>
    <xf numFmtId="3" fontId="16" fillId="5" borderId="2" xfId="0" applyNumberFormat="1" applyFont="1" applyFill="1" applyBorder="1" applyAlignment="1">
      <alignment horizontal="left" vertical="center" indent="1"/>
    </xf>
    <xf numFmtId="3" fontId="16" fillId="5" borderId="0" xfId="0" applyNumberFormat="1" applyFont="1" applyFill="1" applyBorder="1" applyAlignment="1">
      <alignment horizontal="left" vertical="center" indent="1"/>
    </xf>
    <xf numFmtId="3" fontId="16" fillId="5" borderId="5" xfId="0" applyNumberFormat="1" applyFont="1" applyFill="1" applyBorder="1" applyAlignment="1">
      <alignment horizontal="left" vertical="center" indent="1"/>
    </xf>
    <xf numFmtId="168" fontId="16" fillId="5" borderId="2" xfId="0" applyNumberFormat="1" applyFont="1" applyFill="1" applyBorder="1" applyAlignment="1">
      <alignment horizontal="left" vertical="center" indent="1"/>
    </xf>
    <xf numFmtId="168" fontId="16" fillId="5" borderId="0" xfId="0" applyNumberFormat="1" applyFont="1" applyFill="1" applyBorder="1" applyAlignment="1">
      <alignment horizontal="left" vertical="center" indent="1"/>
    </xf>
    <xf numFmtId="168" fontId="16" fillId="5" borderId="5" xfId="0" applyNumberFormat="1" applyFont="1" applyFill="1" applyBorder="1" applyAlignment="1">
      <alignment horizontal="left" vertical="center" indent="1"/>
    </xf>
    <xf numFmtId="0" fontId="8" fillId="5" borderId="14" xfId="0" applyFont="1" applyFill="1" applyBorder="1"/>
    <xf numFmtId="0" fontId="8" fillId="5" borderId="15" xfId="0" applyFont="1" applyFill="1" applyBorder="1"/>
    <xf numFmtId="0" fontId="13" fillId="5" borderId="13" xfId="0" applyFont="1" applyFill="1" applyBorder="1"/>
    <xf numFmtId="169" fontId="17" fillId="5" borderId="2" xfId="0" applyNumberFormat="1" applyFont="1" applyFill="1" applyBorder="1" applyAlignment="1">
      <alignment horizontal="left" vertical="center" indent="1"/>
    </xf>
    <xf numFmtId="169" fontId="17" fillId="5" borderId="0" xfId="0" applyNumberFormat="1" applyFont="1" applyFill="1" applyBorder="1" applyAlignment="1">
      <alignment horizontal="left" vertical="center" indent="1"/>
    </xf>
    <xf numFmtId="169" fontId="17" fillId="5" borderId="5" xfId="0" applyNumberFormat="1" applyFont="1" applyFill="1" applyBorder="1" applyAlignment="1">
      <alignment horizontal="left" vertical="center" indent="1"/>
    </xf>
    <xf numFmtId="0" fontId="8" fillId="5" borderId="17" xfId="0" applyFont="1" applyFill="1" applyBorder="1"/>
    <xf numFmtId="0" fontId="8" fillId="5" borderId="18" xfId="0" applyFont="1" applyFill="1" applyBorder="1"/>
    <xf numFmtId="0" fontId="13" fillId="5" borderId="16" xfId="0" applyFont="1" applyFill="1" applyBorder="1"/>
    <xf numFmtId="170" fontId="18" fillId="5" borderId="2" xfId="0" applyNumberFormat="1" applyFont="1" applyFill="1" applyBorder="1" applyAlignment="1">
      <alignment horizontal="left" vertical="center" indent="1"/>
    </xf>
    <xf numFmtId="170" fontId="18" fillId="5" borderId="0" xfId="0" applyNumberFormat="1" applyFont="1" applyFill="1" applyBorder="1" applyAlignment="1">
      <alignment horizontal="left" vertical="center" indent="1"/>
    </xf>
    <xf numFmtId="170" fontId="18" fillId="5" borderId="5" xfId="0" applyNumberFormat="1" applyFont="1" applyFill="1" applyBorder="1" applyAlignment="1">
      <alignment horizontal="left" vertical="center" indent="1"/>
    </xf>
    <xf numFmtId="0" fontId="19"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[HR_Attrition_Dashboard.xlsx]Pivots!ptExits</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Monthly Exits: 2024 vs 2025</a:t>
            </a:r>
          </a:p>
        </c:rich>
      </c:tx>
      <c:layout>
        <c:manualLayout>
          <c:xMode val="edge"/>
          <c:yMode val="edge"/>
          <c:x val="2.2038567493112948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solidFill>
            <a:srgbClr val="22D3EE">
              <a:alpha val="55000"/>
            </a:srgbClr>
          </a:solidFill>
          <a:ln w="25400">
            <a:solidFill>
              <a:srgbClr val="22D3EE"/>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B5CF6">
              <a:alpha val="55000"/>
            </a:srgbClr>
          </a:solidFill>
          <a:ln w="25400">
            <a:solidFill>
              <a:srgbClr val="8B5CF6"/>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Pivots!$F$5:$F$6</c:f>
              <c:strCache>
                <c:ptCount val="1"/>
                <c:pt idx="0">
                  <c:v>2024</c:v>
                </c:pt>
              </c:strCache>
            </c:strRef>
          </c:tx>
          <c:spPr>
            <a:solidFill>
              <a:srgbClr val="22D3EE">
                <a:alpha val="55000"/>
              </a:srgbClr>
            </a:solidFill>
            <a:ln w="25400">
              <a:solidFill>
                <a:srgbClr val="22D3EE"/>
              </a:solidFill>
            </a:ln>
            <a:effectLst/>
          </c:spPr>
          <c:cat>
            <c:strRef>
              <c:f>Pivots!$E$7:$E$19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Pivots!$F$7:$F$19</c:f>
              <c:numCache>
                <c:formatCode>#,##0</c:formatCode>
                <c:ptCount val="12"/>
                <c:pt idx="0">
                  <c:v>11</c:v>
                </c:pt>
                <c:pt idx="1">
                  <c:v>7</c:v>
                </c:pt>
                <c:pt idx="2">
                  <c:v>5</c:v>
                </c:pt>
                <c:pt idx="3">
                  <c:v>8</c:v>
                </c:pt>
                <c:pt idx="4">
                  <c:v>4</c:v>
                </c:pt>
                <c:pt idx="5">
                  <c:v>10</c:v>
                </c:pt>
                <c:pt idx="6">
                  <c:v>16</c:v>
                </c:pt>
                <c:pt idx="7">
                  <c:v>10</c:v>
                </c:pt>
                <c:pt idx="8">
                  <c:v>15</c:v>
                </c:pt>
                <c:pt idx="9">
                  <c:v>5</c:v>
                </c:pt>
                <c:pt idx="10">
                  <c:v>4</c:v>
                </c:pt>
                <c:pt idx="11">
                  <c:v>8</c:v>
                </c:pt>
              </c:numCache>
            </c:numRef>
          </c:val>
          <c:extLst>
            <c:ext xmlns:c16="http://schemas.microsoft.com/office/drawing/2014/chart" uri="{C3380CC4-5D6E-409C-BE32-E72D297353CC}">
              <c16:uniqueId val="{00000001-0C4F-444E-BAA3-0018DB99C591}"/>
            </c:ext>
          </c:extLst>
        </c:ser>
        <c:ser>
          <c:idx val="1"/>
          <c:order val="1"/>
          <c:tx>
            <c:strRef>
              <c:f>Pivots!$G$5:$G$6</c:f>
              <c:strCache>
                <c:ptCount val="1"/>
                <c:pt idx="0">
                  <c:v>2025</c:v>
                </c:pt>
              </c:strCache>
            </c:strRef>
          </c:tx>
          <c:spPr>
            <a:solidFill>
              <a:srgbClr val="8B5CF6">
                <a:alpha val="55000"/>
              </a:srgbClr>
            </a:solidFill>
            <a:ln w="25400">
              <a:solidFill>
                <a:srgbClr val="8B5CF6"/>
              </a:solidFill>
            </a:ln>
            <a:effectLst/>
          </c:spPr>
          <c:cat>
            <c:strRef>
              <c:f>Pivots!$E$7:$E$19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Pivots!$G$7:$G$19</c:f>
              <c:numCache>
                <c:formatCode>#,##0</c:formatCode>
                <c:ptCount val="12"/>
                <c:pt idx="0">
                  <c:v>17</c:v>
                </c:pt>
                <c:pt idx="1">
                  <c:v>9</c:v>
                </c:pt>
                <c:pt idx="2">
                  <c:v>5</c:v>
                </c:pt>
                <c:pt idx="3">
                  <c:v>15</c:v>
                </c:pt>
                <c:pt idx="4">
                  <c:v>17</c:v>
                </c:pt>
                <c:pt idx="5">
                  <c:v>9</c:v>
                </c:pt>
                <c:pt idx="6">
                  <c:v>14</c:v>
                </c:pt>
                <c:pt idx="7">
                  <c:v>20</c:v>
                </c:pt>
                <c:pt idx="8">
                  <c:v>16</c:v>
                </c:pt>
                <c:pt idx="9">
                  <c:v>17</c:v>
                </c:pt>
                <c:pt idx="10">
                  <c:v>31</c:v>
                </c:pt>
                <c:pt idx="11">
                  <c:v>24</c:v>
                </c:pt>
              </c:numCache>
            </c:numRef>
          </c:val>
          <c:extLst>
            <c:ext xmlns:c16="http://schemas.microsoft.com/office/drawing/2014/chart" uri="{C3380CC4-5D6E-409C-BE32-E72D297353CC}">
              <c16:uniqueId val="{00000002-0C4F-444E-BAA3-0018DB99C591}"/>
            </c:ext>
          </c:extLst>
        </c:ser>
        <c:dLbls>
          <c:showLegendKey val="0"/>
          <c:showVal val="0"/>
          <c:showCatName val="0"/>
          <c:showSerName val="0"/>
          <c:showPercent val="0"/>
          <c:showBubbleSize val="0"/>
        </c:dLbls>
        <c:axId val="345668464"/>
        <c:axId val="328494752"/>
      </c:areaChart>
      <c:catAx>
        <c:axId val="345668464"/>
        <c:scaling>
          <c:orientation val="minMax"/>
        </c:scaling>
        <c:delete val="0"/>
        <c:axPos val="b"/>
        <c:numFmt formatCode="General" sourceLinked="1"/>
        <c:majorTickMark val="out"/>
        <c:minorTickMark val="none"/>
        <c:tickLblPos val="nextTo"/>
        <c:spPr>
          <a:noFill/>
          <a:ln w="9525" cap="flat" cmpd="sng" algn="ctr">
            <a:solidFill>
              <a:srgbClr val="3A3F4B"/>
            </a:solidFill>
            <a:round/>
          </a:ln>
          <a:effec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328494752"/>
        <c:crosses val="autoZero"/>
        <c:auto val="1"/>
        <c:lblAlgn val="ctr"/>
        <c:lblOffset val="100"/>
        <c:noMultiLvlLbl val="0"/>
      </c:catAx>
      <c:valAx>
        <c:axId val="328494752"/>
        <c:scaling>
          <c:orientation val="minMax"/>
        </c:scaling>
        <c:delete val="0"/>
        <c:axPos val="l"/>
        <c:majorGridlines>
          <c:spPr>
            <a:ln w="9525" cap="flat" cmpd="sng" algn="ctr">
              <a:solidFill>
                <a:srgbClr val="3A3F4B"/>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345668464"/>
        <c:crosses val="autoZero"/>
        <c:crossBetween val="midCat"/>
      </c:valAx>
      <c:spPr>
        <a:noFill/>
        <a:ln>
          <a:noFill/>
        </a:ln>
        <a:effectLst/>
        <a:extLst>
          <a:ext uri="{909E8E84-426E-40DD-AFC4-6F175D3DCCD1}">
            <a14:hiddenFill xmlns:a14="http://schemas.microsoft.com/office/drawing/2010/main">
              <a:noFill/>
            </a14:hiddenFill>
          </a:ext>
        </a:ex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E1A2E"/>
    </a:solidFill>
    <a:ln w="9525" cap="flat" cmpd="sng" algn="ctr">
      <a:solidFill>
        <a:srgbClr val="2E2945"/>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[HR_Attrition_Dashboard.xlsx]Pivots!ptDeptStatus</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Workforce Status by Department</a:t>
            </a:r>
          </a:p>
        </c:rich>
      </c:tx>
      <c:layout>
        <c:manualLayout>
          <c:xMode val="edge"/>
          <c:yMode val="edge"/>
          <c:x val="4.0404040404040407E-2"/>
          <c:y val="2.3529411764705882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solidFill>
            <a:srgbClr val="8B5CF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472B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Pivots!$K$5:$K$6</c:f>
              <c:strCache>
                <c:ptCount val="1"/>
                <c:pt idx="0">
                  <c:v>Active</c:v>
                </c:pt>
              </c:strCache>
            </c:strRef>
          </c:tx>
          <c:spPr>
            <a:solidFill>
              <a:srgbClr val="8B5CF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Pivots!$J$7:$J$13</c:f>
              <c:strCache>
                <c:ptCount val="7"/>
                <c:pt idx="0">
                  <c:v>Customer Support</c:v>
                </c:pt>
                <c:pt idx="1">
                  <c:v>Engineering</c:v>
                </c:pt>
                <c:pt idx="2">
                  <c:v>Finance</c:v>
                </c:pt>
                <c:pt idx="3">
                  <c:v>HR</c:v>
                </c:pt>
                <c:pt idx="4">
                  <c:v>Marketing</c:v>
                </c:pt>
                <c:pt idx="5">
                  <c:v>Operations</c:v>
                </c:pt>
                <c:pt idx="6">
                  <c:v>Sales</c:v>
                </c:pt>
              </c:strCache>
            </c:strRef>
          </c:cat>
          <c:val>
            <c:numRef>
              <c:f>Pivots!$K$7:$K$13</c:f>
              <c:numCache>
                <c:formatCode>#,##0</c:formatCode>
                <c:ptCount val="7"/>
                <c:pt idx="0">
                  <c:v>231</c:v>
                </c:pt>
                <c:pt idx="1">
                  <c:v>246</c:v>
                </c:pt>
                <c:pt idx="2">
                  <c:v>120</c:v>
                </c:pt>
                <c:pt idx="3">
                  <c:v>114</c:v>
                </c:pt>
                <c:pt idx="4">
                  <c:v>123</c:v>
                </c:pt>
                <c:pt idx="5">
                  <c:v>296</c:v>
                </c:pt>
                <c:pt idx="6">
                  <c:v>223</c:v>
                </c:pt>
              </c:numCache>
            </c:numRef>
          </c:val>
          <c:extLst>
            <c:ext xmlns:c16="http://schemas.microsoft.com/office/drawing/2014/chart" uri="{C3380CC4-5D6E-409C-BE32-E72D297353CC}">
              <c16:uniqueId val="{00000001-6133-4E5B-9744-A466B1676896}"/>
            </c:ext>
          </c:extLst>
        </c:ser>
        <c:ser>
          <c:idx val="1"/>
          <c:order val="1"/>
          <c:tx>
            <c:strRef>
              <c:f>Pivots!$L$5:$L$6</c:f>
              <c:strCache>
                <c:ptCount val="1"/>
                <c:pt idx="0">
                  <c:v>Left</c:v>
                </c:pt>
              </c:strCache>
            </c:strRef>
          </c:tx>
          <c:spPr>
            <a:solidFill>
              <a:srgbClr val="F472B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FFFFFF"/>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Pivots!$J$7:$J$13</c:f>
              <c:strCache>
                <c:ptCount val="7"/>
                <c:pt idx="0">
                  <c:v>Customer Support</c:v>
                </c:pt>
                <c:pt idx="1">
                  <c:v>Engineering</c:v>
                </c:pt>
                <c:pt idx="2">
                  <c:v>Finance</c:v>
                </c:pt>
                <c:pt idx="3">
                  <c:v>HR</c:v>
                </c:pt>
                <c:pt idx="4">
                  <c:v>Marketing</c:v>
                </c:pt>
                <c:pt idx="5">
                  <c:v>Operations</c:v>
                </c:pt>
                <c:pt idx="6">
                  <c:v>Sales</c:v>
                </c:pt>
              </c:strCache>
            </c:strRef>
          </c:cat>
          <c:val>
            <c:numRef>
              <c:f>Pivots!$L$7:$L$13</c:f>
              <c:numCache>
                <c:formatCode>#,##0</c:formatCode>
                <c:ptCount val="7"/>
                <c:pt idx="0">
                  <c:v>86</c:v>
                </c:pt>
                <c:pt idx="1">
                  <c:v>29</c:v>
                </c:pt>
                <c:pt idx="2">
                  <c:v>10</c:v>
                </c:pt>
                <c:pt idx="3">
                  <c:v>10</c:v>
                </c:pt>
                <c:pt idx="4">
                  <c:v>19</c:v>
                </c:pt>
                <c:pt idx="5">
                  <c:v>48</c:v>
                </c:pt>
                <c:pt idx="6">
                  <c:v>95</c:v>
                </c:pt>
              </c:numCache>
            </c:numRef>
          </c:val>
          <c:extLst>
            <c:ext xmlns:c16="http://schemas.microsoft.com/office/drawing/2014/chart" uri="{C3380CC4-5D6E-409C-BE32-E72D297353CC}">
              <c16:uniqueId val="{00000002-6133-4E5B-9744-A466B1676896}"/>
            </c:ext>
          </c:extLst>
        </c:ser>
        <c:dLbls>
          <c:showLegendKey val="0"/>
          <c:showVal val="0"/>
          <c:showCatName val="0"/>
          <c:showSerName val="0"/>
          <c:showPercent val="0"/>
          <c:showBubbleSize val="0"/>
        </c:dLbls>
        <c:gapWidth val="40"/>
        <c:overlap val="100"/>
        <c:axId val="330294240"/>
        <c:axId val="328499552"/>
      </c:barChart>
      <c:catAx>
        <c:axId val="330294240"/>
        <c:scaling>
          <c:orientation val="maxMin"/>
        </c:scaling>
        <c:delete val="0"/>
        <c:axPos val="l"/>
        <c:numFmt formatCode="General" sourceLinked="1"/>
        <c:majorTickMark val="none"/>
        <c:minorTickMark val="none"/>
        <c:tickLblPos val="nextTo"/>
        <c:spPr>
          <a:noFill/>
          <a:ln w="9525" cap="flat" cmpd="sng" algn="ctr">
            <a:solidFill>
              <a:srgbClr val="3A3F4B"/>
            </a:solidFill>
            <a:round/>
          </a:ln>
          <a:effec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328499552"/>
        <c:crosses val="autoZero"/>
        <c:auto val="1"/>
        <c:lblAlgn val="ctr"/>
        <c:lblOffset val="100"/>
        <c:noMultiLvlLbl val="0"/>
      </c:catAx>
      <c:valAx>
        <c:axId val="328499552"/>
        <c:scaling>
          <c:orientation val="minMax"/>
        </c:scaling>
        <c:delete val="0"/>
        <c:axPos val="t"/>
        <c:majorGridlines>
          <c:spPr>
            <a:ln w="9525" cap="flat" cmpd="sng" algn="ctr">
              <a:solidFill>
                <a:srgbClr val="3A3F4B"/>
              </a:solidFill>
              <a:round/>
            </a:ln>
            <a:effectLst/>
          </c:spPr>
        </c:majorGridlines>
        <c:numFmt formatCode="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330294240"/>
        <c:crosses val="autoZero"/>
        <c:crossBetween val="between"/>
      </c:valAx>
      <c:spPr>
        <a:noFill/>
        <a:ln>
          <a:noFill/>
        </a:ln>
        <a:effectLst/>
        <a:extLst>
          <a:ext uri="{909E8E84-426E-40DD-AFC4-6F175D3DCCD1}">
            <a14:hiddenFill xmlns:a14="http://schemas.microsoft.com/office/drawing/2010/main">
              <a:noFill/>
            </a14:hiddenFill>
          </a:ext>
        </a:ex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2E"/>
    </a:solidFill>
    <a:ln w="9525" cap="flat" cmpd="sng" algn="ctr">
      <a:solidFill>
        <a:srgbClr val="2E2945"/>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[HR_Attrition_Dashboard.xlsx]Pivots!ptReason</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Exit Reasons</a:t>
            </a:r>
          </a:p>
        </c:rich>
      </c:tx>
      <c:layout>
        <c:manualLayout>
          <c:xMode val="edge"/>
          <c:yMode val="edge"/>
          <c:x val="4.2780748663101602E-2"/>
          <c:y val="2.222222222222222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solidFill>
            <a:schemeClr val="accent1"/>
          </a:solidFill>
          <a:ln w="19050">
            <a:solidFill>
              <a:srgbClr val="1E1A2E"/>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panose="020B0502040204020203"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Pivots!$O$5</c:f>
              <c:strCache>
                <c:ptCount val="1"/>
                <c:pt idx="0">
                  <c:v>Total</c:v>
                </c:pt>
              </c:strCache>
            </c:strRef>
          </c:tx>
          <c:spPr>
            <a:ln w="19050">
              <a:solidFill>
                <a:srgbClr val="1E1A2E"/>
              </a:solidFill>
            </a:ln>
          </c:spPr>
          <c:dPt>
            <c:idx val="0"/>
            <c:bubble3D val="0"/>
            <c:spPr>
              <a:solidFill>
                <a:schemeClr val="accent1"/>
              </a:solidFill>
              <a:ln w="19050">
                <a:solidFill>
                  <a:srgbClr val="1E1A2E"/>
                </a:solidFill>
              </a:ln>
              <a:effectLst/>
            </c:spPr>
          </c:dPt>
          <c:dPt>
            <c:idx val="1"/>
            <c:bubble3D val="0"/>
            <c:spPr>
              <a:solidFill>
                <a:schemeClr val="accent2"/>
              </a:solidFill>
              <a:ln w="19050">
                <a:solidFill>
                  <a:srgbClr val="1E1A2E"/>
                </a:solidFill>
              </a:ln>
              <a:effectLst/>
            </c:spPr>
          </c:dPt>
          <c:dPt>
            <c:idx val="2"/>
            <c:bubble3D val="0"/>
            <c:spPr>
              <a:solidFill>
                <a:schemeClr val="accent3"/>
              </a:solidFill>
              <a:ln w="19050">
                <a:solidFill>
                  <a:srgbClr val="1E1A2E"/>
                </a:solidFill>
              </a:ln>
              <a:effectLst/>
            </c:spPr>
          </c:dPt>
          <c:dPt>
            <c:idx val="3"/>
            <c:bubble3D val="0"/>
            <c:spPr>
              <a:solidFill>
                <a:schemeClr val="accent4"/>
              </a:solidFill>
              <a:ln w="19050">
                <a:solidFill>
                  <a:srgbClr val="1E1A2E"/>
                </a:solidFill>
              </a:ln>
              <a:effectLst/>
            </c:spPr>
          </c:dPt>
          <c:dPt>
            <c:idx val="4"/>
            <c:bubble3D val="0"/>
            <c:spPr>
              <a:solidFill>
                <a:schemeClr val="accent5"/>
              </a:solidFill>
              <a:ln w="19050">
                <a:solidFill>
                  <a:srgbClr val="1E1A2E"/>
                </a:solidFill>
              </a:ln>
              <a:effectLst/>
            </c:spPr>
          </c:dPt>
          <c:dPt>
            <c:idx val="5"/>
            <c:bubble3D val="0"/>
            <c:spPr>
              <a:solidFill>
                <a:schemeClr val="accent6"/>
              </a:solidFill>
              <a:ln w="19050">
                <a:solidFill>
                  <a:srgbClr val="1E1A2E"/>
                </a:solidFill>
              </a:ln>
              <a:effectLst/>
            </c:spPr>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FFFFFF"/>
                    </a:solidFill>
                    <a:latin typeface="Segoe UI" panose="020B0502040204020203"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Pivots!$N$6:$N$12</c:f>
              <c:strCache>
                <c:ptCount val="6"/>
                <c:pt idx="0">
                  <c:v>Better pay</c:v>
                </c:pt>
                <c:pt idx="1">
                  <c:v>Work-life balance</c:v>
                </c:pt>
                <c:pt idx="2">
                  <c:v>Career growth</c:v>
                </c:pt>
                <c:pt idx="3">
                  <c:v>Manager relationship</c:v>
                </c:pt>
                <c:pt idx="4">
                  <c:v>Relocation</c:v>
                </c:pt>
                <c:pt idx="5">
                  <c:v>Other</c:v>
                </c:pt>
              </c:strCache>
            </c:strRef>
          </c:cat>
          <c:val>
            <c:numRef>
              <c:f>Pivots!$O$6:$O$12</c:f>
              <c:numCache>
                <c:formatCode>#,##0</c:formatCode>
                <c:ptCount val="6"/>
                <c:pt idx="0">
                  <c:v>99</c:v>
                </c:pt>
                <c:pt idx="1">
                  <c:v>67</c:v>
                </c:pt>
                <c:pt idx="2">
                  <c:v>59</c:v>
                </c:pt>
                <c:pt idx="3">
                  <c:v>37</c:v>
                </c:pt>
                <c:pt idx="4">
                  <c:v>19</c:v>
                </c:pt>
                <c:pt idx="5">
                  <c:v>16</c:v>
                </c:pt>
              </c:numCache>
            </c:numRef>
          </c:val>
          <c:extLst>
            <c:ext xmlns:c16="http://schemas.microsoft.com/office/drawing/2014/chart" uri="{C3380CC4-5D6E-409C-BE32-E72D297353CC}">
              <c16:uniqueId val="{00000001-0B97-4BB0-AE95-D7FB50B4B5FB}"/>
            </c:ext>
          </c:extLst>
        </c:ser>
        <c:dLbls>
          <c:showLegendKey val="0"/>
          <c:showVal val="0"/>
          <c:showCatName val="0"/>
          <c:showSerName val="0"/>
          <c:showPercent val="0"/>
          <c:showBubbleSize val="0"/>
          <c:showLeaderLines val="0"/>
        </c:dLbls>
        <c:firstSliceAng val="0"/>
      </c:pieChart>
      <c:spPr>
        <a:noFill/>
        <a:ln>
          <a:noFill/>
        </a:ln>
        <a:effectLst/>
        <a:extLst>
          <a:ext uri="{909E8E84-426E-40DD-AFC4-6F175D3DCCD1}">
            <a14:hiddenFill xmlns:a14="http://schemas.microsoft.com/office/drawing/2010/main">
              <a:noFill/>
            </a14:hiddenFill>
          </a:ext>
        </a:ex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2E"/>
    </a:solidFill>
    <a:ln w="9525" cap="flat" cmpd="sng" algn="ctr">
      <a:solidFill>
        <a:srgbClr val="2E2945"/>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[HR_Attrition_Dashboard.xlsx]Pivots!ptTenure</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Attrition by Tenure</a:t>
            </a:r>
          </a:p>
        </c:rich>
      </c:tx>
      <c:layout>
        <c:manualLayout>
          <c:xMode val="edge"/>
          <c:yMode val="edge"/>
          <c:x val="4.5454545454545456E-2"/>
          <c:y val="2.222222222222222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solidFill>
            <a:srgbClr val="FBBF24"/>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Pivots!$R$5</c:f>
              <c:strCache>
                <c:ptCount val="1"/>
                <c:pt idx="0">
                  <c:v>Total</c:v>
                </c:pt>
              </c:strCache>
            </c:strRef>
          </c:tx>
          <c:spPr>
            <a:solidFill>
              <a:srgbClr val="FBBF24"/>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Pivots!$Q$6:$Q$10</c:f>
              <c:strCache>
                <c:ptCount val="4"/>
                <c:pt idx="0">
                  <c:v>0-1 yr</c:v>
                </c:pt>
                <c:pt idx="1">
                  <c:v>1-3 yrs</c:v>
                </c:pt>
                <c:pt idx="2">
                  <c:v>3-5 yrs</c:v>
                </c:pt>
                <c:pt idx="3">
                  <c:v>5+ yrs</c:v>
                </c:pt>
              </c:strCache>
            </c:strRef>
          </c:cat>
          <c:val>
            <c:numRef>
              <c:f>Pivots!$R$6:$R$10</c:f>
              <c:numCache>
                <c:formatCode>0.0%</c:formatCode>
                <c:ptCount val="4"/>
                <c:pt idx="0">
                  <c:v>0.30592105263157893</c:v>
                </c:pt>
                <c:pt idx="1">
                  <c:v>0.18765432098765433</c:v>
                </c:pt>
                <c:pt idx="2">
                  <c:v>0.14469453376205788</c:v>
                </c:pt>
                <c:pt idx="3">
                  <c:v>0.13174603174603175</c:v>
                </c:pt>
              </c:numCache>
            </c:numRef>
          </c:val>
          <c:extLst>
            <c:ext xmlns:c16="http://schemas.microsoft.com/office/drawing/2014/chart" uri="{C3380CC4-5D6E-409C-BE32-E72D297353CC}">
              <c16:uniqueId val="{00000001-12F2-4F1C-BB3D-15CF13A1FF43}"/>
            </c:ext>
          </c:extLst>
        </c:ser>
        <c:dLbls>
          <c:showLegendKey val="0"/>
          <c:showVal val="0"/>
          <c:showCatName val="0"/>
          <c:showSerName val="0"/>
          <c:showPercent val="0"/>
          <c:showBubbleSize val="0"/>
        </c:dLbls>
        <c:gapWidth val="60"/>
        <c:overlap val="-10"/>
        <c:axId val="360915648"/>
        <c:axId val="328501952"/>
      </c:barChart>
      <c:catAx>
        <c:axId val="360915648"/>
        <c:scaling>
          <c:orientation val="minMax"/>
        </c:scaling>
        <c:delete val="0"/>
        <c:axPos val="b"/>
        <c:numFmt formatCode="General" sourceLinked="1"/>
        <c:majorTickMark val="none"/>
        <c:minorTickMark val="none"/>
        <c:tickLblPos val="nextTo"/>
        <c:spPr>
          <a:noFill/>
          <a:ln w="9525" cap="flat" cmpd="sng" algn="ctr">
            <a:solidFill>
              <a:srgbClr val="3A3F4B"/>
            </a:solidFill>
            <a:round/>
          </a:ln>
          <a:effec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328501952"/>
        <c:crosses val="autoZero"/>
        <c:auto val="1"/>
        <c:lblAlgn val="ctr"/>
        <c:lblOffset val="100"/>
        <c:noMultiLvlLbl val="0"/>
      </c:catAx>
      <c:valAx>
        <c:axId val="328501952"/>
        <c:scaling>
          <c:orientation val="minMax"/>
        </c:scaling>
        <c:delete val="1"/>
        <c:axPos val="l"/>
        <c:numFmt formatCode="0.0%" sourceLinked="1"/>
        <c:majorTickMark val="none"/>
        <c:minorTickMark val="none"/>
        <c:tickLblPos val="nextTo"/>
        <c:crossAx val="360915648"/>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2E"/>
    </a:solidFill>
    <a:ln w="9525" cap="flat" cmpd="sng" algn="ctr">
      <a:solidFill>
        <a:srgbClr val="2E2945"/>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[HR_Attrition_Dashboard.xlsx]Pivots!ptSat</c:name>
    <c:fmtId val="0"/>
  </c:pivotSource>
  <c:chart>
    <c:title>
      <c:tx>
        <c:rich>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r>
              <a:rPr lang="en-US" sz="1100" b="1">
                <a:solidFill>
                  <a:srgbClr val="F5F5F4"/>
                </a:solidFill>
              </a:rPr>
              <a:t>Attrition by Satisfaction (1-5)</a:t>
            </a:r>
          </a:p>
        </c:rich>
      </c:tx>
      <c:layout>
        <c:manualLayout>
          <c:xMode val="edge"/>
          <c:yMode val="edge"/>
          <c:x val="4.2780748663101602E-2"/>
          <c:y val="2.2222222222222223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rgbClr val="F5F5F4"/>
              </a:solidFill>
              <a:latin typeface="Segoe UI" panose="020B0502040204020203" pitchFamily="34" charset="0"/>
              <a:ea typeface="+mn-ea"/>
              <a:cs typeface="+mn-cs"/>
            </a:defRPr>
          </a:pPr>
          <a:endParaRPr lang="en-US"/>
        </a:p>
      </c:txPr>
    </c:title>
    <c:autoTitleDeleted val="0"/>
    <c:pivotFmts>
      <c:pivotFmt>
        <c:idx val="0"/>
        <c:spPr>
          <a:ln w="31750" cap="rnd">
            <a:solidFill>
              <a:srgbClr val="F472B6"/>
            </a:solidFill>
            <a:round/>
          </a:ln>
          <a:effectLst/>
        </c:spPr>
        <c:marker>
          <c:symbol val="circle"/>
          <c:size val="5"/>
          <c:spPr>
            <a:solidFill>
              <a:srgbClr val="F472B6"/>
            </a:solidFill>
            <a:ln w="31750">
              <a:solidFill>
                <a:srgbClr val="F472B6"/>
              </a:solidFill>
              <a:prstDash val="solid"/>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Pivots!$U$5</c:f>
              <c:strCache>
                <c:ptCount val="1"/>
                <c:pt idx="0">
                  <c:v>Total</c:v>
                </c:pt>
              </c:strCache>
            </c:strRef>
          </c:tx>
          <c:spPr>
            <a:ln w="31750" cap="rnd">
              <a:solidFill>
                <a:srgbClr val="F472B6"/>
              </a:solidFill>
              <a:round/>
            </a:ln>
            <a:effectLst/>
          </c:spPr>
          <c:marker>
            <c:symbol val="circle"/>
            <c:size val="5"/>
            <c:spPr>
              <a:solidFill>
                <a:srgbClr val="F472B6"/>
              </a:solidFill>
              <a:ln w="31750">
                <a:solidFill>
                  <a:srgbClr val="F472B6"/>
                </a:solidFill>
                <a:prstDash val="solid"/>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D6D3D1"/>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Pivots!$T$6:$T$11</c:f>
              <c:strCache>
                <c:ptCount val="5"/>
                <c:pt idx="0">
                  <c:v>1</c:v>
                </c:pt>
                <c:pt idx="1">
                  <c:v>2</c:v>
                </c:pt>
                <c:pt idx="2">
                  <c:v>3</c:v>
                </c:pt>
                <c:pt idx="3">
                  <c:v>4</c:v>
                </c:pt>
                <c:pt idx="4">
                  <c:v>5</c:v>
                </c:pt>
              </c:strCache>
            </c:strRef>
          </c:cat>
          <c:val>
            <c:numRef>
              <c:f>Pivots!$U$6:$U$11</c:f>
              <c:numCache>
                <c:formatCode>0.0%</c:formatCode>
                <c:ptCount val="5"/>
                <c:pt idx="0">
                  <c:v>0.48780487804878048</c:v>
                </c:pt>
                <c:pt idx="1">
                  <c:v>0.31275720164609055</c:v>
                </c:pt>
                <c:pt idx="2">
                  <c:v>0.19552238805970149</c:v>
                </c:pt>
                <c:pt idx="3">
                  <c:v>9.7713097713097719E-2</c:v>
                </c:pt>
                <c:pt idx="4">
                  <c:v>0.10697674418604651</c:v>
                </c:pt>
              </c:numCache>
            </c:numRef>
          </c:val>
          <c:smooth val="0"/>
          <c:extLst>
            <c:ext xmlns:c16="http://schemas.microsoft.com/office/drawing/2014/chart" uri="{C3380CC4-5D6E-409C-BE32-E72D297353CC}">
              <c16:uniqueId val="{00000001-ABD7-48D0-8E09-EC0EC094610D}"/>
            </c:ext>
          </c:extLst>
        </c:ser>
        <c:dLbls>
          <c:showLegendKey val="0"/>
          <c:showVal val="0"/>
          <c:showCatName val="0"/>
          <c:showSerName val="0"/>
          <c:showPercent val="0"/>
          <c:showBubbleSize val="0"/>
        </c:dLbls>
        <c:marker val="1"/>
        <c:smooth val="0"/>
        <c:axId val="361623248"/>
        <c:axId val="328503392"/>
      </c:lineChart>
      <c:catAx>
        <c:axId val="361623248"/>
        <c:scaling>
          <c:orientation val="minMax"/>
        </c:scaling>
        <c:delete val="0"/>
        <c:axPos val="b"/>
        <c:numFmt formatCode="General" sourceLinked="1"/>
        <c:majorTickMark val="none"/>
        <c:minorTickMark val="none"/>
        <c:tickLblPos val="nextTo"/>
        <c:spPr>
          <a:noFill/>
          <a:ln w="9525" cap="flat" cmpd="sng" algn="ctr">
            <a:solidFill>
              <a:srgbClr val="3A3F4B"/>
            </a:solidFill>
            <a:round/>
          </a:ln>
          <a:effec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328503392"/>
        <c:crosses val="autoZero"/>
        <c:auto val="1"/>
        <c:lblAlgn val="ctr"/>
        <c:lblOffset val="100"/>
        <c:noMultiLvlLbl val="0"/>
      </c:catAx>
      <c:valAx>
        <c:axId val="328503392"/>
        <c:scaling>
          <c:orientation val="minMax"/>
        </c:scaling>
        <c:delete val="0"/>
        <c:axPos val="l"/>
        <c:majorGridlines>
          <c:spPr>
            <a:ln w="9525" cap="flat" cmpd="sng" algn="ctr">
              <a:solidFill>
                <a:srgbClr val="3A3F4B"/>
              </a:solidFill>
              <a:round/>
            </a:ln>
            <a:effectLst/>
          </c:spPr>
        </c:majorGridlines>
        <c:numFmt formatCode="0.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sz="800" b="0" i="0" u="none" strike="noStrike" kern="1200" baseline="0">
                <a:solidFill>
                  <a:srgbClr val="D6D3D1"/>
                </a:solidFill>
                <a:latin typeface="Segoe UI" panose="020B0502040204020203" pitchFamily="34" charset="0"/>
                <a:ea typeface="+mn-ea"/>
                <a:cs typeface="+mn-cs"/>
              </a:defRPr>
            </a:pPr>
            <a:endParaRPr lang="en-US"/>
          </a:p>
        </c:txPr>
        <c:crossAx val="361623248"/>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A2E"/>
    </a:solidFill>
    <a:ln w="9525" cap="flat" cmpd="sng" algn="ctr">
      <a:solidFill>
        <a:srgbClr val="2E2945"/>
      </a:solidFill>
      <a:round/>
    </a:ln>
    <a:effectLst/>
  </c:spPr>
  <c:txPr>
    <a:bodyPr/>
    <a:lstStyle/>
    <a:p>
      <a:pPr>
        <a:defRPr sz="800">
          <a:solidFill>
            <a:srgbClr val="D6D3D1"/>
          </a:solidFill>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0</xdr:colOff>
      <xdr:row>11</xdr:row>
      <xdr:rowOff>0</xdr:rowOff>
    </xdr:from>
    <xdr:to>
      <xdr:col>47</xdr:col>
      <xdr:colOff>0</xdr:colOff>
      <xdr:row>28</xdr:row>
      <xdr:rowOff>0</xdr:rowOff>
    </xdr:to>
    <xdr:graphicFrame macro="">
      <xdr:nvGraphicFramePr>
        <xdr:cNvPr id="2" name="ch_ptExits">
          <a:extLst>
            <a:ext uri="{FF2B5EF4-FFF2-40B4-BE49-F238E27FC236}">
              <a16:creationId xmlns:a16="http://schemas.microsoft.com/office/drawing/2014/main" id="{F999C625-F061-54D9-87EB-8B67167DB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48</xdr:col>
      <xdr:colOff>0</xdr:colOff>
      <xdr:row>11</xdr:row>
      <xdr:rowOff>0</xdr:rowOff>
    </xdr:from>
    <xdr:to>
      <xdr:col>66</xdr:col>
      <xdr:colOff>0</xdr:colOff>
      <xdr:row>28</xdr:row>
      <xdr:rowOff>0</xdr:rowOff>
    </xdr:to>
    <xdr:graphicFrame macro="">
      <xdr:nvGraphicFramePr>
        <xdr:cNvPr id="3" name="ch_ptDeptStatus">
          <a:extLst>
            <a:ext uri="{FF2B5EF4-FFF2-40B4-BE49-F238E27FC236}">
              <a16:creationId xmlns:a16="http://schemas.microsoft.com/office/drawing/2014/main" id="{E631245A-F105-659B-9C74-AF5C024DE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29</xdr:row>
      <xdr:rowOff>0</xdr:rowOff>
    </xdr:from>
    <xdr:to>
      <xdr:col>31</xdr:col>
      <xdr:colOff>0</xdr:colOff>
      <xdr:row>47</xdr:row>
      <xdr:rowOff>0</xdr:rowOff>
    </xdr:to>
    <xdr:graphicFrame macro="">
      <xdr:nvGraphicFramePr>
        <xdr:cNvPr id="4" name="ch_ptReason">
          <a:extLst>
            <a:ext uri="{FF2B5EF4-FFF2-40B4-BE49-F238E27FC236}">
              <a16:creationId xmlns:a16="http://schemas.microsoft.com/office/drawing/2014/main" id="{BC7A5732-BAEF-2DE6-6218-716C180FA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0</xdr:colOff>
      <xdr:row>29</xdr:row>
      <xdr:rowOff>0</xdr:rowOff>
    </xdr:from>
    <xdr:to>
      <xdr:col>48</xdr:col>
      <xdr:colOff>0</xdr:colOff>
      <xdr:row>47</xdr:row>
      <xdr:rowOff>0</xdr:rowOff>
    </xdr:to>
    <xdr:graphicFrame macro="">
      <xdr:nvGraphicFramePr>
        <xdr:cNvPr id="5" name="ch_ptTenure">
          <a:extLst>
            <a:ext uri="{FF2B5EF4-FFF2-40B4-BE49-F238E27FC236}">
              <a16:creationId xmlns:a16="http://schemas.microsoft.com/office/drawing/2014/main" id="{1E721AE0-B14B-CF47-D683-EBC6435DF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49</xdr:col>
      <xdr:colOff>0</xdr:colOff>
      <xdr:row>29</xdr:row>
      <xdr:rowOff>0</xdr:rowOff>
    </xdr:from>
    <xdr:to>
      <xdr:col>66</xdr:col>
      <xdr:colOff>0</xdr:colOff>
      <xdr:row>47</xdr:row>
      <xdr:rowOff>0</xdr:rowOff>
    </xdr:to>
    <xdr:graphicFrame macro="">
      <xdr:nvGraphicFramePr>
        <xdr:cNvPr id="6" name="ch_ptSat">
          <a:extLst>
            <a:ext uri="{FF2B5EF4-FFF2-40B4-BE49-F238E27FC236}">
              <a16:creationId xmlns:a16="http://schemas.microsoft.com/office/drawing/2014/main" id="{9ACA95C9-022B-2BC5-C2AC-C29B24926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76200</xdr:colOff>
      <xdr:row>5</xdr:row>
      <xdr:rowOff>0</xdr:rowOff>
    </xdr:from>
    <xdr:to>
      <xdr:col>29</xdr:col>
      <xdr:colOff>1190</xdr:colOff>
      <xdr:row>10</xdr:row>
      <xdr:rowOff>0</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CB915F11-739B-7276-9924-4E2C2FA3985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87867" y="952500"/>
              <a:ext cx="5851656"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77390</xdr:colOff>
      <xdr:row>5</xdr:row>
      <xdr:rowOff>0</xdr:rowOff>
    </xdr:from>
    <xdr:to>
      <xdr:col>45</xdr:col>
      <xdr:colOff>34527</xdr:colOff>
      <xdr:row>10</xdr:row>
      <xdr:rowOff>0</xdr:rowOff>
    </xdr:to>
    <mc:AlternateContent xmlns:mc="http://schemas.openxmlformats.org/markup-compatibility/2006">
      <mc:Choice xmlns:a14="http://schemas.microsoft.com/office/drawing/2010/main" Requires="a14">
        <xdr:graphicFrame macro="">
          <xdr:nvGraphicFramePr>
            <xdr:cNvPr id="8" name="JobLevel">
              <a:extLst>
                <a:ext uri="{FF2B5EF4-FFF2-40B4-BE49-F238E27FC236}">
                  <a16:creationId xmlns:a16="http://schemas.microsoft.com/office/drawing/2014/main" id="{36EBB4E6-8A60-2EF5-8152-5743E6FA6DC9}"/>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dr:sp macro="" textlink="">
          <xdr:nvSpPr>
            <xdr:cNvPr id="0" name=""/>
            <xdr:cNvSpPr>
              <a:spLocks noTextEdit="1"/>
            </xdr:cNvSpPr>
          </xdr:nvSpPr>
          <xdr:spPr>
            <a:xfrm>
              <a:off x="6215723" y="952500"/>
              <a:ext cx="3343804"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110728</xdr:colOff>
      <xdr:row>5</xdr:row>
      <xdr:rowOff>0</xdr:rowOff>
    </xdr:from>
    <xdr:to>
      <xdr:col>57</xdr:col>
      <xdr:colOff>78581</xdr:colOff>
      <xdr:row>10</xdr:row>
      <xdr:rowOff>0</xdr:rowOff>
    </xdr:to>
    <mc:AlternateContent xmlns:mc="http://schemas.openxmlformats.org/markup-compatibility/2006">
      <mc:Choice xmlns:a14="http://schemas.microsoft.com/office/drawing/2010/main" Requires="a14">
        <xdr:graphicFrame macro="">
          <xdr:nvGraphicFramePr>
            <xdr:cNvPr id="9" name="WorkMode">
              <a:extLst>
                <a:ext uri="{FF2B5EF4-FFF2-40B4-BE49-F238E27FC236}">
                  <a16:creationId xmlns:a16="http://schemas.microsoft.com/office/drawing/2014/main" id="{C9B05B8F-AD43-9AEF-97EA-17A51E592CC8}"/>
                </a:ext>
              </a:extLst>
            </xdr:cNvPr>
            <xdr:cNvGraphicFramePr/>
          </xdr:nvGraphicFramePr>
          <xdr:xfrm>
            <a:off x="0" y="0"/>
            <a:ext cx="0" cy="0"/>
          </xdr:xfrm>
          <a:graphic>
            <a:graphicData uri="http://schemas.microsoft.com/office/drawing/2010/slicer">
              <sle:slicer xmlns:sle="http://schemas.microsoft.com/office/drawing/2010/slicer" name="WorkMode"/>
            </a:graphicData>
          </a:graphic>
        </xdr:graphicFrame>
      </mc:Choice>
      <mc:Fallback>
        <xdr:sp macro="" textlink="">
          <xdr:nvSpPr>
            <xdr:cNvPr id="0" name=""/>
            <xdr:cNvSpPr>
              <a:spLocks noTextEdit="1"/>
            </xdr:cNvSpPr>
          </xdr:nvSpPr>
          <xdr:spPr>
            <a:xfrm>
              <a:off x="9635728" y="952500"/>
              <a:ext cx="2507853"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57</xdr:col>
      <xdr:colOff>154781</xdr:colOff>
      <xdr:row>5</xdr:row>
      <xdr:rowOff>0</xdr:rowOff>
    </xdr:from>
    <xdr:to>
      <xdr:col>65</xdr:col>
      <xdr:colOff>133349</xdr:colOff>
      <xdr:row>10</xdr:row>
      <xdr:rowOff>0</xdr:rowOff>
    </xdr:to>
    <mc:AlternateContent xmlns:mc="http://schemas.openxmlformats.org/markup-compatibility/2006">
      <mc:Choice xmlns:a14="http://schemas.microsoft.com/office/drawing/2010/main" Requires="a14">
        <xdr:graphicFrame macro="">
          <xdr:nvGraphicFramePr>
            <xdr:cNvPr id="10" name="Overtime">
              <a:extLst>
                <a:ext uri="{FF2B5EF4-FFF2-40B4-BE49-F238E27FC236}">
                  <a16:creationId xmlns:a16="http://schemas.microsoft.com/office/drawing/2014/main" id="{F1182B91-8586-47EA-0BDD-8FEAA50FBB3F}"/>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2219781" y="952500"/>
              <a:ext cx="1671901"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9.878734027778" createdVersion="5" refreshedVersion="8" minRefreshableVersion="3" recordCount="1650" xr:uid="{2F097DC2-ADF4-4D2A-AB38-B7248CAABDBA}">
  <cacheSource type="worksheet">
    <worksheetSource name="tblData"/>
  </cacheSource>
  <cacheFields count="24">
    <cacheField name="EmployeeID" numFmtId="0">
      <sharedItems/>
    </cacheField>
    <cacheField name="Department" numFmtId="0">
      <sharedItems count="7">
        <s v="Customer Support"/>
        <s v="Operations"/>
        <s v="Finance"/>
        <s v="Engineering"/>
        <s v="Marketing"/>
        <s v="Sales"/>
        <s v="HR"/>
      </sharedItems>
    </cacheField>
    <cacheField name="JobLevel" numFmtId="0">
      <sharedItems count="4">
        <s v="Junior"/>
        <s v="Mid"/>
        <s v="Senior"/>
        <s v="Manager"/>
      </sharedItems>
    </cacheField>
    <cacheField name="Gender" numFmtId="0">
      <sharedItems/>
    </cacheField>
    <cacheField name="Age" numFmtId="0">
      <sharedItems containsSemiMixedTypes="0" containsString="0" containsNumber="1" containsInteger="1" minValue="21" maxValue="59"/>
    </cacheField>
    <cacheField name="AgeBand" numFmtId="0">
      <sharedItems/>
    </cacheField>
    <cacheField name="WorkMode" numFmtId="0">
      <sharedItems count="3">
        <s v="Hybrid"/>
        <s v="Onsite"/>
        <s v="Remote"/>
      </sharedItems>
    </cacheField>
    <cacheField name="HireDate" numFmtId="165">
      <sharedItems containsSemiMixedTypes="0" containsNonDate="0" containsDate="1" containsString="0" minDate="2011-02-15T00:00:00" maxDate="2025-12-15T00:00:00"/>
    </cacheField>
    <cacheField name="TenureYears" numFmtId="166">
      <sharedItems containsSemiMixedTypes="0" containsString="0" containsNumber="1" minValue="0" maxValue="14.9"/>
    </cacheField>
    <cacheField name="TenureBand" numFmtId="0">
      <sharedItems count="4">
        <s v="1-3 yrs"/>
        <s v="5+ yrs"/>
        <s v="3-5 yrs"/>
        <s v="0-1 yr"/>
      </sharedItems>
    </cacheField>
    <cacheField name="MonthlySalary" numFmtId="167">
      <sharedItems containsSemiMixedTypes="0" containsString="0" containsNumber="1" containsInteger="1" minValue="2050" maxValue="18600"/>
    </cacheField>
    <cacheField name="Overtime" numFmtId="0">
      <sharedItems count="2">
        <s v="No"/>
        <s v="Yes"/>
      </sharedItems>
    </cacheField>
    <cacheField name="Satisfaction" numFmtId="0">
      <sharedItems containsSemiMixedTypes="0" containsString="0" containsNumber="1" containsInteger="1" minValue="1" maxValue="5" count="5">
        <n v="4"/>
        <n v="3"/>
        <n v="5"/>
        <n v="1"/>
        <n v="2"/>
      </sharedItems>
    </cacheField>
    <cacheField name="PerformanceRating" numFmtId="0">
      <sharedItems containsSemiMixedTypes="0" containsString="0" containsNumber="1" containsInteger="1" minValue="2" maxValue="5"/>
    </cacheField>
    <cacheField name="TrainingHours" numFmtId="0">
      <sharedItems containsSemiMixedTypes="0" containsString="0" containsNumber="1" containsInteger="1" minValue="0" maxValue="52"/>
    </cacheField>
    <cacheField name="Status" numFmtId="0">
      <sharedItems count="2">
        <s v="Left"/>
        <s v="Active"/>
      </sharedItems>
    </cacheField>
    <cacheField name="ExitDate" numFmtId="165">
      <sharedItems containsNonDate="0" containsDate="1" containsString="0" containsBlank="1" minDate="2024-01-06T00:00:00" maxDate="2025-12-28T00:00:00"/>
    </cacheField>
    <cacheField name="ExitYear" numFmtId="0">
      <sharedItems containsBlank="1" count="3">
        <s v="2024"/>
        <s v="2025"/>
        <m/>
      </sharedItems>
    </cacheField>
    <cacheField name="ExitMonth" numFmtId="0">
      <sharedItems containsBlank="1" count="13">
        <s v="Jun"/>
        <s v="Aug"/>
        <m/>
        <s v="Mar"/>
        <s v="Jul"/>
        <s v="Dec"/>
        <s v="Feb"/>
        <s v="Jan"/>
        <s v="Apr"/>
        <s v="May"/>
        <s v="Nov"/>
        <s v="Oct"/>
        <s v="Sep"/>
      </sharedItems>
    </cacheField>
    <cacheField name="ExitReason" numFmtId="0">
      <sharedItems containsBlank="1" count="7">
        <s v="Better pay"/>
        <s v="Career growth"/>
        <m/>
        <s v="Work-life balance"/>
        <s v="Other"/>
        <s v="Manager relationship"/>
        <s v="Relocation"/>
      </sharedItems>
    </cacheField>
    <cacheField name="Employees" numFmtId="0">
      <sharedItems containsSemiMixedTypes="0" containsString="0" containsNumber="1" containsInteger="1" minValue="1" maxValue="1"/>
    </cacheField>
    <cacheField name="Active" numFmtId="0">
      <sharedItems containsSemiMixedTypes="0" containsString="0" containsNumber="1" containsInteger="1" minValue="0" maxValue="1"/>
    </cacheField>
    <cacheField name="Left" numFmtId="0">
      <sharedItems containsSemiMixedTypes="0" containsString="0" containsNumber="1" containsInteger="1" minValue="0" maxValue="1"/>
    </cacheField>
    <cacheField name="AttritionRate" numFmtId="0" formula="Left/Employees" databaseField="0"/>
  </cacheFields>
  <extLst>
    <ext xmlns:x14="http://schemas.microsoft.com/office/spreadsheetml/2009/9/main" uri="{725AE2AE-9491-48be-B2B4-4EB974FC3084}">
      <x14:pivotCacheDefinition pivotCacheId="874552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0">
  <r>
    <s v="E10001"/>
    <x v="0"/>
    <x v="0"/>
    <s v="Female"/>
    <n v="28"/>
    <s v="26-35"/>
    <x v="0"/>
    <d v="2021-07-26T00:00:00"/>
    <n v="2.9"/>
    <x v="0"/>
    <n v="2850"/>
    <x v="0"/>
    <x v="0"/>
    <n v="4"/>
    <n v="32"/>
    <x v="0"/>
    <d v="2024-06-28T00:00:00"/>
    <x v="0"/>
    <x v="0"/>
    <x v="0"/>
    <n v="1"/>
    <n v="0"/>
    <n v="1"/>
  </r>
  <r>
    <s v="E10002"/>
    <x v="1"/>
    <x v="1"/>
    <s v="Male"/>
    <n v="33"/>
    <s v="26-35"/>
    <x v="1"/>
    <d v="2018-10-14T00:00:00"/>
    <n v="6.8"/>
    <x v="1"/>
    <n v="4200"/>
    <x v="0"/>
    <x v="1"/>
    <n v="3"/>
    <n v="24"/>
    <x v="0"/>
    <d v="2025-08-01T00:00:00"/>
    <x v="1"/>
    <x v="1"/>
    <x v="1"/>
    <n v="1"/>
    <n v="0"/>
    <n v="1"/>
  </r>
  <r>
    <s v="E10003"/>
    <x v="2"/>
    <x v="2"/>
    <s v="Female"/>
    <n v="40"/>
    <s v="36-45"/>
    <x v="0"/>
    <d v="2013-03-19T00:00:00"/>
    <n v="12.8"/>
    <x v="1"/>
    <n v="9850"/>
    <x v="0"/>
    <x v="2"/>
    <n v="4"/>
    <n v="28"/>
    <x v="1"/>
    <m/>
    <x v="2"/>
    <x v="2"/>
    <x v="2"/>
    <n v="1"/>
    <n v="1"/>
    <n v="0"/>
  </r>
  <r>
    <s v="E10004"/>
    <x v="3"/>
    <x v="1"/>
    <s v="Male"/>
    <n v="29"/>
    <s v="26-35"/>
    <x v="0"/>
    <d v="2024-08-19T00:00:00"/>
    <n v="1.4"/>
    <x v="0"/>
    <n v="7300"/>
    <x v="0"/>
    <x v="1"/>
    <n v="3"/>
    <n v="38"/>
    <x v="1"/>
    <m/>
    <x v="2"/>
    <x v="2"/>
    <x v="2"/>
    <n v="1"/>
    <n v="1"/>
    <n v="0"/>
  </r>
  <r>
    <s v="E10005"/>
    <x v="0"/>
    <x v="1"/>
    <s v="Female"/>
    <n v="26"/>
    <s v="26-35"/>
    <x v="0"/>
    <d v="2022-03-07T00:00:00"/>
    <n v="3.8"/>
    <x v="2"/>
    <n v="3350"/>
    <x v="0"/>
    <x v="2"/>
    <n v="4"/>
    <n v="15"/>
    <x v="1"/>
    <m/>
    <x v="2"/>
    <x v="2"/>
    <x v="2"/>
    <n v="1"/>
    <n v="1"/>
    <n v="0"/>
  </r>
  <r>
    <s v="E10006"/>
    <x v="1"/>
    <x v="0"/>
    <s v="Female"/>
    <n v="32"/>
    <s v="26-35"/>
    <x v="2"/>
    <d v="2019-07-27T00:00:00"/>
    <n v="6.4"/>
    <x v="1"/>
    <n v="3550"/>
    <x v="0"/>
    <x v="1"/>
    <n v="4"/>
    <n v="23"/>
    <x v="1"/>
    <m/>
    <x v="2"/>
    <x v="2"/>
    <x v="2"/>
    <n v="1"/>
    <n v="1"/>
    <n v="0"/>
  </r>
  <r>
    <s v="E10007"/>
    <x v="1"/>
    <x v="1"/>
    <s v="Female"/>
    <n v="31"/>
    <s v="26-35"/>
    <x v="0"/>
    <d v="2019-07-18T00:00:00"/>
    <n v="6.5"/>
    <x v="1"/>
    <n v="4300"/>
    <x v="0"/>
    <x v="2"/>
    <n v="3"/>
    <n v="10"/>
    <x v="1"/>
    <m/>
    <x v="2"/>
    <x v="2"/>
    <x v="2"/>
    <n v="1"/>
    <n v="1"/>
    <n v="0"/>
  </r>
  <r>
    <s v="E10008"/>
    <x v="4"/>
    <x v="2"/>
    <s v="Male"/>
    <n v="32"/>
    <s v="26-35"/>
    <x v="1"/>
    <d v="2018-07-18T00:00:00"/>
    <n v="7.5"/>
    <x v="1"/>
    <n v="6550"/>
    <x v="0"/>
    <x v="0"/>
    <n v="3"/>
    <n v="27"/>
    <x v="1"/>
    <m/>
    <x v="2"/>
    <x v="2"/>
    <x v="2"/>
    <n v="1"/>
    <n v="1"/>
    <n v="0"/>
  </r>
  <r>
    <s v="E10009"/>
    <x v="0"/>
    <x v="1"/>
    <s v="Female"/>
    <n v="24"/>
    <s v="20-25"/>
    <x v="0"/>
    <d v="2023-09-18T00:00:00"/>
    <n v="1.5"/>
    <x v="0"/>
    <n v="3800"/>
    <x v="1"/>
    <x v="3"/>
    <n v="4"/>
    <n v="36"/>
    <x v="0"/>
    <d v="2025-03-26T00:00:00"/>
    <x v="1"/>
    <x v="3"/>
    <x v="3"/>
    <n v="1"/>
    <n v="0"/>
    <n v="1"/>
  </r>
  <r>
    <s v="E10010"/>
    <x v="4"/>
    <x v="1"/>
    <s v="Female"/>
    <n v="34"/>
    <s v="26-35"/>
    <x v="1"/>
    <d v="2024-01-20T00:00:00"/>
    <n v="1.9"/>
    <x v="0"/>
    <n v="6600"/>
    <x v="0"/>
    <x v="4"/>
    <n v="3"/>
    <n v="25"/>
    <x v="1"/>
    <m/>
    <x v="2"/>
    <x v="2"/>
    <x v="2"/>
    <n v="1"/>
    <n v="1"/>
    <n v="0"/>
  </r>
  <r>
    <s v="E10011"/>
    <x v="0"/>
    <x v="2"/>
    <s v="Female"/>
    <n v="26"/>
    <s v="26-35"/>
    <x v="1"/>
    <d v="2022-12-17T00:00:00"/>
    <n v="3"/>
    <x v="0"/>
    <n v="6050"/>
    <x v="0"/>
    <x v="2"/>
    <n v="3"/>
    <n v="24"/>
    <x v="1"/>
    <m/>
    <x v="2"/>
    <x v="2"/>
    <x v="2"/>
    <n v="1"/>
    <n v="1"/>
    <n v="0"/>
  </r>
  <r>
    <s v="E10012"/>
    <x v="2"/>
    <x v="0"/>
    <s v="Female"/>
    <n v="24"/>
    <s v="20-25"/>
    <x v="0"/>
    <d v="2025-07-07T00:00:00"/>
    <n v="0.5"/>
    <x v="3"/>
    <n v="5050"/>
    <x v="0"/>
    <x v="1"/>
    <n v="5"/>
    <n v="18"/>
    <x v="1"/>
    <m/>
    <x v="2"/>
    <x v="2"/>
    <x v="2"/>
    <n v="1"/>
    <n v="1"/>
    <n v="0"/>
  </r>
  <r>
    <s v="E10013"/>
    <x v="1"/>
    <x v="2"/>
    <s v="Male"/>
    <n v="43"/>
    <s v="36-45"/>
    <x v="1"/>
    <d v="2023-01-21T00:00:00"/>
    <n v="2.9"/>
    <x v="0"/>
    <n v="6400"/>
    <x v="1"/>
    <x v="4"/>
    <n v="5"/>
    <n v="38"/>
    <x v="1"/>
    <m/>
    <x v="2"/>
    <x v="2"/>
    <x v="2"/>
    <n v="1"/>
    <n v="1"/>
    <n v="0"/>
  </r>
  <r>
    <s v="E10014"/>
    <x v="0"/>
    <x v="0"/>
    <s v="Female"/>
    <n v="22"/>
    <s v="20-25"/>
    <x v="0"/>
    <d v="2025-08-26T00:00:00"/>
    <n v="0.3"/>
    <x v="3"/>
    <n v="2650"/>
    <x v="0"/>
    <x v="4"/>
    <n v="5"/>
    <n v="30"/>
    <x v="1"/>
    <m/>
    <x v="2"/>
    <x v="2"/>
    <x v="2"/>
    <n v="1"/>
    <n v="1"/>
    <n v="0"/>
  </r>
  <r>
    <s v="E10015"/>
    <x v="1"/>
    <x v="2"/>
    <s v="Female"/>
    <n v="35"/>
    <s v="26-35"/>
    <x v="1"/>
    <d v="2023-05-03T00:00:00"/>
    <n v="2.7"/>
    <x v="0"/>
    <n v="6900"/>
    <x v="1"/>
    <x v="1"/>
    <n v="4"/>
    <n v="46"/>
    <x v="1"/>
    <m/>
    <x v="2"/>
    <x v="2"/>
    <x v="2"/>
    <n v="1"/>
    <n v="1"/>
    <n v="0"/>
  </r>
  <r>
    <s v="E10016"/>
    <x v="1"/>
    <x v="2"/>
    <s v="Male"/>
    <n v="42"/>
    <s v="36-45"/>
    <x v="1"/>
    <d v="2014-01-25T00:00:00"/>
    <n v="11.9"/>
    <x v="1"/>
    <n v="6200"/>
    <x v="0"/>
    <x v="1"/>
    <n v="3"/>
    <n v="24"/>
    <x v="1"/>
    <m/>
    <x v="2"/>
    <x v="2"/>
    <x v="2"/>
    <n v="1"/>
    <n v="1"/>
    <n v="0"/>
  </r>
  <r>
    <s v="E10017"/>
    <x v="5"/>
    <x v="0"/>
    <s v="Female"/>
    <n v="31"/>
    <s v="26-35"/>
    <x v="1"/>
    <d v="2024-02-28T00:00:00"/>
    <n v="1.8"/>
    <x v="0"/>
    <n v="4750"/>
    <x v="0"/>
    <x v="0"/>
    <n v="3"/>
    <n v="31"/>
    <x v="1"/>
    <m/>
    <x v="2"/>
    <x v="2"/>
    <x v="2"/>
    <n v="1"/>
    <n v="1"/>
    <n v="0"/>
  </r>
  <r>
    <s v="E10018"/>
    <x v="1"/>
    <x v="0"/>
    <s v="Female"/>
    <n v="25"/>
    <s v="20-25"/>
    <x v="1"/>
    <d v="2023-05-07T00:00:00"/>
    <n v="2.7"/>
    <x v="0"/>
    <n v="3200"/>
    <x v="0"/>
    <x v="1"/>
    <n v="5"/>
    <n v="42"/>
    <x v="1"/>
    <m/>
    <x v="2"/>
    <x v="2"/>
    <x v="2"/>
    <n v="1"/>
    <n v="1"/>
    <n v="0"/>
  </r>
  <r>
    <s v="E10019"/>
    <x v="6"/>
    <x v="2"/>
    <s v="Male"/>
    <n v="37"/>
    <s v="36-45"/>
    <x v="0"/>
    <d v="2018-11-30T00:00:00"/>
    <n v="7.1"/>
    <x v="1"/>
    <n v="6500"/>
    <x v="1"/>
    <x v="4"/>
    <n v="4"/>
    <n v="16"/>
    <x v="1"/>
    <m/>
    <x v="2"/>
    <x v="2"/>
    <x v="2"/>
    <n v="1"/>
    <n v="1"/>
    <n v="0"/>
  </r>
  <r>
    <s v="E10020"/>
    <x v="3"/>
    <x v="2"/>
    <s v="Male"/>
    <n v="32"/>
    <s v="26-35"/>
    <x v="1"/>
    <d v="2017-06-15T00:00:00"/>
    <n v="8.5"/>
    <x v="1"/>
    <n v="12100"/>
    <x v="0"/>
    <x v="0"/>
    <n v="4"/>
    <n v="9"/>
    <x v="1"/>
    <m/>
    <x v="2"/>
    <x v="2"/>
    <x v="2"/>
    <n v="1"/>
    <n v="1"/>
    <n v="0"/>
  </r>
  <r>
    <s v="E10021"/>
    <x v="5"/>
    <x v="1"/>
    <s v="Female"/>
    <n v="34"/>
    <s v="26-35"/>
    <x v="1"/>
    <d v="2024-02-13T00:00:00"/>
    <n v="1.9"/>
    <x v="0"/>
    <n v="5000"/>
    <x v="0"/>
    <x v="0"/>
    <n v="4"/>
    <n v="21"/>
    <x v="1"/>
    <m/>
    <x v="2"/>
    <x v="2"/>
    <x v="2"/>
    <n v="1"/>
    <n v="1"/>
    <n v="0"/>
  </r>
  <r>
    <s v="E10022"/>
    <x v="3"/>
    <x v="0"/>
    <s v="Female"/>
    <n v="26"/>
    <s v="26-35"/>
    <x v="2"/>
    <d v="2023-08-02T00:00:00"/>
    <n v="2.4"/>
    <x v="0"/>
    <n v="6150"/>
    <x v="1"/>
    <x v="4"/>
    <n v="5"/>
    <n v="25"/>
    <x v="1"/>
    <m/>
    <x v="2"/>
    <x v="2"/>
    <x v="2"/>
    <n v="1"/>
    <n v="1"/>
    <n v="0"/>
  </r>
  <r>
    <s v="E10023"/>
    <x v="3"/>
    <x v="2"/>
    <s v="Male"/>
    <n v="35"/>
    <s v="26-35"/>
    <x v="1"/>
    <d v="2019-01-21T00:00:00"/>
    <n v="6.9"/>
    <x v="1"/>
    <n v="10800"/>
    <x v="0"/>
    <x v="1"/>
    <n v="3"/>
    <n v="10"/>
    <x v="1"/>
    <m/>
    <x v="2"/>
    <x v="2"/>
    <x v="2"/>
    <n v="1"/>
    <n v="1"/>
    <n v="0"/>
  </r>
  <r>
    <s v="E10024"/>
    <x v="1"/>
    <x v="0"/>
    <s v="Male"/>
    <n v="21"/>
    <s v="20-25"/>
    <x v="0"/>
    <d v="2025-09-19T00:00:00"/>
    <n v="0.3"/>
    <x v="3"/>
    <n v="3300"/>
    <x v="0"/>
    <x v="4"/>
    <n v="4"/>
    <n v="15"/>
    <x v="1"/>
    <m/>
    <x v="2"/>
    <x v="2"/>
    <x v="2"/>
    <n v="1"/>
    <n v="1"/>
    <n v="0"/>
  </r>
  <r>
    <s v="E10025"/>
    <x v="5"/>
    <x v="0"/>
    <s v="Male"/>
    <n v="27"/>
    <s v="26-35"/>
    <x v="1"/>
    <d v="2021-05-18T00:00:00"/>
    <n v="4.5999999999999996"/>
    <x v="2"/>
    <n v="4250"/>
    <x v="0"/>
    <x v="1"/>
    <n v="5"/>
    <n v="32"/>
    <x v="1"/>
    <m/>
    <x v="2"/>
    <x v="2"/>
    <x v="2"/>
    <n v="1"/>
    <n v="1"/>
    <n v="0"/>
  </r>
  <r>
    <s v="E10026"/>
    <x v="1"/>
    <x v="2"/>
    <s v="Female"/>
    <n v="39"/>
    <s v="36-45"/>
    <x v="0"/>
    <d v="2013-03-14T00:00:00"/>
    <n v="12.8"/>
    <x v="1"/>
    <n v="5950"/>
    <x v="1"/>
    <x v="0"/>
    <n v="3"/>
    <n v="24"/>
    <x v="1"/>
    <m/>
    <x v="2"/>
    <x v="2"/>
    <x v="2"/>
    <n v="1"/>
    <n v="1"/>
    <n v="0"/>
  </r>
  <r>
    <s v="E10027"/>
    <x v="0"/>
    <x v="0"/>
    <s v="Female"/>
    <n v="26"/>
    <s v="26-35"/>
    <x v="1"/>
    <d v="2023-02-02T00:00:00"/>
    <n v="2.9"/>
    <x v="0"/>
    <n v="3200"/>
    <x v="0"/>
    <x v="2"/>
    <n v="3"/>
    <n v="15"/>
    <x v="1"/>
    <m/>
    <x v="2"/>
    <x v="2"/>
    <x v="2"/>
    <n v="1"/>
    <n v="1"/>
    <n v="0"/>
  </r>
  <r>
    <s v="E10028"/>
    <x v="1"/>
    <x v="2"/>
    <s v="Female"/>
    <n v="42"/>
    <s v="36-45"/>
    <x v="0"/>
    <d v="2012-04-08T00:00:00"/>
    <n v="13.7"/>
    <x v="1"/>
    <n v="5650"/>
    <x v="0"/>
    <x v="1"/>
    <n v="3"/>
    <n v="43"/>
    <x v="1"/>
    <m/>
    <x v="2"/>
    <x v="2"/>
    <x v="2"/>
    <n v="1"/>
    <n v="1"/>
    <n v="0"/>
  </r>
  <r>
    <s v="E10029"/>
    <x v="1"/>
    <x v="0"/>
    <s v="Female"/>
    <n v="29"/>
    <s v="26-35"/>
    <x v="1"/>
    <d v="2023-09-13T00:00:00"/>
    <n v="0.9"/>
    <x v="3"/>
    <n v="3150"/>
    <x v="1"/>
    <x v="4"/>
    <n v="3"/>
    <n v="18"/>
    <x v="0"/>
    <d v="2024-07-29T00:00:00"/>
    <x v="0"/>
    <x v="4"/>
    <x v="4"/>
    <n v="1"/>
    <n v="0"/>
    <n v="1"/>
  </r>
  <r>
    <s v="E10030"/>
    <x v="1"/>
    <x v="3"/>
    <s v="Male"/>
    <n v="47"/>
    <s v="46+"/>
    <x v="2"/>
    <d v="2019-01-08T00:00:00"/>
    <n v="7"/>
    <x v="1"/>
    <n v="8500"/>
    <x v="0"/>
    <x v="4"/>
    <n v="3"/>
    <n v="16"/>
    <x v="1"/>
    <m/>
    <x v="2"/>
    <x v="2"/>
    <x v="2"/>
    <n v="1"/>
    <n v="1"/>
    <n v="0"/>
  </r>
  <r>
    <s v="E10031"/>
    <x v="6"/>
    <x v="1"/>
    <s v="Male"/>
    <n v="31"/>
    <s v="26-35"/>
    <x v="0"/>
    <d v="2023-12-03T00:00:00"/>
    <n v="2.1"/>
    <x v="0"/>
    <n v="5550"/>
    <x v="0"/>
    <x v="1"/>
    <n v="4"/>
    <n v="33"/>
    <x v="1"/>
    <m/>
    <x v="2"/>
    <x v="2"/>
    <x v="2"/>
    <n v="1"/>
    <n v="1"/>
    <n v="0"/>
  </r>
  <r>
    <s v="E10032"/>
    <x v="6"/>
    <x v="1"/>
    <s v="Male"/>
    <n v="37"/>
    <s v="36-45"/>
    <x v="0"/>
    <d v="2019-05-13T00:00:00"/>
    <n v="6.6"/>
    <x v="1"/>
    <n v="4900"/>
    <x v="0"/>
    <x v="1"/>
    <n v="3"/>
    <n v="44"/>
    <x v="1"/>
    <m/>
    <x v="2"/>
    <x v="2"/>
    <x v="2"/>
    <n v="1"/>
    <n v="1"/>
    <n v="0"/>
  </r>
  <r>
    <s v="E10033"/>
    <x v="5"/>
    <x v="0"/>
    <s v="Male"/>
    <n v="21"/>
    <s v="20-25"/>
    <x v="1"/>
    <d v="2025-12-01T00:00:00"/>
    <n v="0"/>
    <x v="3"/>
    <n v="4250"/>
    <x v="1"/>
    <x v="1"/>
    <n v="3"/>
    <n v="18"/>
    <x v="0"/>
    <d v="2025-12-12T00:00:00"/>
    <x v="1"/>
    <x v="5"/>
    <x v="0"/>
    <n v="1"/>
    <n v="0"/>
    <n v="1"/>
  </r>
  <r>
    <s v="E10034"/>
    <x v="0"/>
    <x v="0"/>
    <s v="Male"/>
    <n v="29"/>
    <s v="26-35"/>
    <x v="1"/>
    <d v="2021-12-11T00:00:00"/>
    <n v="3.6"/>
    <x v="2"/>
    <n v="2600"/>
    <x v="1"/>
    <x v="1"/>
    <n v="3"/>
    <n v="12"/>
    <x v="0"/>
    <d v="2025-08-03T00:00:00"/>
    <x v="1"/>
    <x v="1"/>
    <x v="3"/>
    <n v="1"/>
    <n v="0"/>
    <n v="1"/>
  </r>
  <r>
    <s v="E10035"/>
    <x v="6"/>
    <x v="2"/>
    <s v="Male"/>
    <n v="37"/>
    <s v="36-45"/>
    <x v="0"/>
    <d v="2018-03-08T00:00:00"/>
    <n v="7.8"/>
    <x v="1"/>
    <n v="7700"/>
    <x v="1"/>
    <x v="1"/>
    <n v="5"/>
    <n v="37"/>
    <x v="1"/>
    <m/>
    <x v="2"/>
    <x v="2"/>
    <x v="2"/>
    <n v="1"/>
    <n v="1"/>
    <n v="0"/>
  </r>
  <r>
    <s v="E10036"/>
    <x v="1"/>
    <x v="2"/>
    <s v="Female"/>
    <n v="30"/>
    <s v="26-35"/>
    <x v="0"/>
    <d v="2023-12-19T00:00:00"/>
    <n v="1.6"/>
    <x v="0"/>
    <n v="4900"/>
    <x v="1"/>
    <x v="4"/>
    <n v="3"/>
    <n v="34"/>
    <x v="0"/>
    <d v="2025-07-24T00:00:00"/>
    <x v="1"/>
    <x v="4"/>
    <x v="0"/>
    <n v="1"/>
    <n v="0"/>
    <n v="1"/>
  </r>
  <r>
    <s v="E10037"/>
    <x v="3"/>
    <x v="1"/>
    <s v="Male"/>
    <n v="33"/>
    <s v="26-35"/>
    <x v="0"/>
    <d v="2017-10-05T00:00:00"/>
    <n v="8.1999999999999993"/>
    <x v="1"/>
    <n v="8350"/>
    <x v="0"/>
    <x v="0"/>
    <n v="3"/>
    <n v="27"/>
    <x v="1"/>
    <m/>
    <x v="2"/>
    <x v="2"/>
    <x v="2"/>
    <n v="1"/>
    <n v="1"/>
    <n v="0"/>
  </r>
  <r>
    <s v="E10038"/>
    <x v="3"/>
    <x v="1"/>
    <s v="Female"/>
    <n v="38"/>
    <s v="36-45"/>
    <x v="1"/>
    <d v="2017-12-03T00:00:00"/>
    <n v="6.3"/>
    <x v="1"/>
    <n v="7200"/>
    <x v="0"/>
    <x v="1"/>
    <n v="2"/>
    <n v="50"/>
    <x v="0"/>
    <d v="2024-03-15T00:00:00"/>
    <x v="0"/>
    <x v="3"/>
    <x v="0"/>
    <n v="1"/>
    <n v="0"/>
    <n v="1"/>
  </r>
  <r>
    <s v="E10039"/>
    <x v="5"/>
    <x v="0"/>
    <s v="Female"/>
    <n v="21"/>
    <s v="20-25"/>
    <x v="1"/>
    <d v="2025-11-28T00:00:00"/>
    <n v="0.1"/>
    <x v="3"/>
    <n v="3700"/>
    <x v="0"/>
    <x v="0"/>
    <n v="3"/>
    <n v="10"/>
    <x v="1"/>
    <m/>
    <x v="2"/>
    <x v="2"/>
    <x v="2"/>
    <n v="1"/>
    <n v="1"/>
    <n v="0"/>
  </r>
  <r>
    <s v="E10040"/>
    <x v="1"/>
    <x v="2"/>
    <s v="Female"/>
    <n v="46"/>
    <s v="46+"/>
    <x v="0"/>
    <d v="2014-04-16T00:00:00"/>
    <n v="11.7"/>
    <x v="1"/>
    <n v="6150"/>
    <x v="1"/>
    <x v="1"/>
    <n v="3"/>
    <n v="28"/>
    <x v="1"/>
    <m/>
    <x v="2"/>
    <x v="2"/>
    <x v="2"/>
    <n v="1"/>
    <n v="1"/>
    <n v="0"/>
  </r>
  <r>
    <s v="E10041"/>
    <x v="5"/>
    <x v="1"/>
    <s v="Male"/>
    <n v="35"/>
    <s v="26-35"/>
    <x v="1"/>
    <d v="2020-04-13T00:00:00"/>
    <n v="5.7"/>
    <x v="1"/>
    <n v="4550"/>
    <x v="0"/>
    <x v="2"/>
    <n v="3"/>
    <n v="38"/>
    <x v="1"/>
    <m/>
    <x v="2"/>
    <x v="2"/>
    <x v="2"/>
    <n v="1"/>
    <n v="1"/>
    <n v="0"/>
  </r>
  <r>
    <s v="E10042"/>
    <x v="5"/>
    <x v="1"/>
    <s v="Female"/>
    <n v="28"/>
    <s v="26-35"/>
    <x v="0"/>
    <d v="2022-05-21T00:00:00"/>
    <n v="3.6"/>
    <x v="2"/>
    <n v="5150"/>
    <x v="0"/>
    <x v="0"/>
    <n v="5"/>
    <n v="25"/>
    <x v="1"/>
    <m/>
    <x v="2"/>
    <x v="2"/>
    <x v="2"/>
    <n v="1"/>
    <n v="1"/>
    <n v="0"/>
  </r>
  <r>
    <s v="E10043"/>
    <x v="5"/>
    <x v="0"/>
    <s v="Male"/>
    <n v="23"/>
    <s v="20-25"/>
    <x v="1"/>
    <d v="2024-05-26T00:00:00"/>
    <n v="0.7"/>
    <x v="3"/>
    <n v="3500"/>
    <x v="1"/>
    <x v="1"/>
    <n v="2"/>
    <n v="40"/>
    <x v="0"/>
    <d v="2025-02-21T00:00:00"/>
    <x v="1"/>
    <x v="6"/>
    <x v="1"/>
    <n v="1"/>
    <n v="0"/>
    <n v="1"/>
  </r>
  <r>
    <s v="E10044"/>
    <x v="1"/>
    <x v="0"/>
    <s v="Male"/>
    <n v="34"/>
    <s v="26-35"/>
    <x v="0"/>
    <d v="2019-09-01T00:00:00"/>
    <n v="6.3"/>
    <x v="1"/>
    <n v="2600"/>
    <x v="0"/>
    <x v="0"/>
    <n v="3"/>
    <n v="8"/>
    <x v="1"/>
    <m/>
    <x v="2"/>
    <x v="2"/>
    <x v="2"/>
    <n v="1"/>
    <n v="1"/>
    <n v="0"/>
  </r>
  <r>
    <s v="E10045"/>
    <x v="5"/>
    <x v="1"/>
    <s v="Male"/>
    <n v="33"/>
    <s v="26-35"/>
    <x v="1"/>
    <d v="2021-06-01T00:00:00"/>
    <n v="3.7"/>
    <x v="2"/>
    <n v="4250"/>
    <x v="1"/>
    <x v="4"/>
    <n v="4"/>
    <n v="13"/>
    <x v="0"/>
    <d v="2025-02-09T00:00:00"/>
    <x v="1"/>
    <x v="6"/>
    <x v="0"/>
    <n v="1"/>
    <n v="0"/>
    <n v="1"/>
  </r>
  <r>
    <s v="E10046"/>
    <x v="5"/>
    <x v="1"/>
    <s v="Female"/>
    <n v="28"/>
    <s v="26-35"/>
    <x v="1"/>
    <d v="2022-04-25T00:00:00"/>
    <n v="1.7"/>
    <x v="0"/>
    <n v="4550"/>
    <x v="1"/>
    <x v="4"/>
    <n v="3"/>
    <n v="22"/>
    <x v="0"/>
    <d v="2024-01-17T00:00:00"/>
    <x v="0"/>
    <x v="7"/>
    <x v="0"/>
    <n v="1"/>
    <n v="0"/>
    <n v="1"/>
  </r>
  <r>
    <s v="E10047"/>
    <x v="5"/>
    <x v="2"/>
    <s v="Female"/>
    <n v="40"/>
    <s v="36-45"/>
    <x v="0"/>
    <d v="2012-04-07T00:00:00"/>
    <n v="13.7"/>
    <x v="1"/>
    <n v="8100"/>
    <x v="1"/>
    <x v="4"/>
    <n v="3"/>
    <n v="26"/>
    <x v="1"/>
    <m/>
    <x v="2"/>
    <x v="2"/>
    <x v="2"/>
    <n v="1"/>
    <n v="1"/>
    <n v="0"/>
  </r>
  <r>
    <s v="E10048"/>
    <x v="1"/>
    <x v="0"/>
    <s v="Female"/>
    <n v="29"/>
    <s v="26-35"/>
    <x v="1"/>
    <d v="2019-09-04T00:00:00"/>
    <n v="6.3"/>
    <x v="1"/>
    <n v="2550"/>
    <x v="0"/>
    <x v="0"/>
    <n v="3"/>
    <n v="18"/>
    <x v="1"/>
    <m/>
    <x v="2"/>
    <x v="2"/>
    <x v="2"/>
    <n v="1"/>
    <n v="1"/>
    <n v="0"/>
  </r>
  <r>
    <s v="E10049"/>
    <x v="3"/>
    <x v="3"/>
    <s v="Male"/>
    <n v="41"/>
    <s v="36-45"/>
    <x v="1"/>
    <d v="2023-08-09T00:00:00"/>
    <n v="2.4"/>
    <x v="0"/>
    <n v="17100"/>
    <x v="0"/>
    <x v="4"/>
    <n v="3"/>
    <n v="18"/>
    <x v="1"/>
    <m/>
    <x v="2"/>
    <x v="2"/>
    <x v="2"/>
    <n v="1"/>
    <n v="1"/>
    <n v="0"/>
  </r>
  <r>
    <s v="E10050"/>
    <x v="0"/>
    <x v="0"/>
    <s v="Female"/>
    <n v="21"/>
    <s v="20-25"/>
    <x v="1"/>
    <d v="2025-10-02T00:00:00"/>
    <n v="0.2"/>
    <x v="3"/>
    <n v="2750"/>
    <x v="0"/>
    <x v="0"/>
    <n v="3"/>
    <n v="22"/>
    <x v="1"/>
    <m/>
    <x v="2"/>
    <x v="2"/>
    <x v="2"/>
    <n v="1"/>
    <n v="1"/>
    <n v="0"/>
  </r>
  <r>
    <s v="E10051"/>
    <x v="4"/>
    <x v="0"/>
    <s v="Male"/>
    <n v="26"/>
    <s v="26-35"/>
    <x v="2"/>
    <d v="2022-05-24T00:00:00"/>
    <n v="3.6"/>
    <x v="2"/>
    <n v="4250"/>
    <x v="1"/>
    <x v="0"/>
    <n v="3"/>
    <n v="23"/>
    <x v="1"/>
    <m/>
    <x v="2"/>
    <x v="2"/>
    <x v="2"/>
    <n v="1"/>
    <n v="1"/>
    <n v="0"/>
  </r>
  <r>
    <s v="E10052"/>
    <x v="5"/>
    <x v="3"/>
    <s v="Male"/>
    <n v="43"/>
    <s v="36-45"/>
    <x v="1"/>
    <d v="2018-08-21T00:00:00"/>
    <n v="7"/>
    <x v="1"/>
    <n v="11300"/>
    <x v="0"/>
    <x v="1"/>
    <n v="3"/>
    <n v="13"/>
    <x v="0"/>
    <d v="2025-08-03T00:00:00"/>
    <x v="1"/>
    <x v="1"/>
    <x v="1"/>
    <n v="1"/>
    <n v="0"/>
    <n v="1"/>
  </r>
  <r>
    <s v="E10053"/>
    <x v="1"/>
    <x v="0"/>
    <s v="Male"/>
    <n v="28"/>
    <s v="26-35"/>
    <x v="1"/>
    <d v="2025-01-21T00:00:00"/>
    <n v="0.9"/>
    <x v="3"/>
    <n v="3750"/>
    <x v="0"/>
    <x v="2"/>
    <n v="3"/>
    <n v="21"/>
    <x v="1"/>
    <m/>
    <x v="2"/>
    <x v="2"/>
    <x v="2"/>
    <n v="1"/>
    <n v="1"/>
    <n v="0"/>
  </r>
  <r>
    <s v="E10054"/>
    <x v="3"/>
    <x v="0"/>
    <s v="Female"/>
    <n v="27"/>
    <s v="26-35"/>
    <x v="1"/>
    <d v="2022-08-17T00:00:00"/>
    <n v="3.4"/>
    <x v="2"/>
    <n v="6600"/>
    <x v="1"/>
    <x v="0"/>
    <n v="3"/>
    <n v="10"/>
    <x v="1"/>
    <m/>
    <x v="2"/>
    <x v="2"/>
    <x v="2"/>
    <n v="1"/>
    <n v="1"/>
    <n v="0"/>
  </r>
  <r>
    <s v="E10055"/>
    <x v="3"/>
    <x v="2"/>
    <s v="Male"/>
    <n v="32"/>
    <s v="26-35"/>
    <x v="2"/>
    <d v="2017-08-06T00:00:00"/>
    <n v="8.4"/>
    <x v="1"/>
    <n v="8800"/>
    <x v="0"/>
    <x v="0"/>
    <n v="3"/>
    <n v="28"/>
    <x v="1"/>
    <m/>
    <x v="2"/>
    <x v="2"/>
    <x v="2"/>
    <n v="1"/>
    <n v="1"/>
    <n v="0"/>
  </r>
  <r>
    <s v="E10056"/>
    <x v="0"/>
    <x v="0"/>
    <s v="Male"/>
    <n v="27"/>
    <s v="26-35"/>
    <x v="1"/>
    <d v="2024-01-03T00:00:00"/>
    <n v="2"/>
    <x v="0"/>
    <n v="3050"/>
    <x v="1"/>
    <x v="1"/>
    <n v="5"/>
    <n v="33"/>
    <x v="1"/>
    <m/>
    <x v="2"/>
    <x v="2"/>
    <x v="2"/>
    <n v="1"/>
    <n v="1"/>
    <n v="0"/>
  </r>
  <r>
    <s v="E10057"/>
    <x v="5"/>
    <x v="0"/>
    <s v="Male"/>
    <n v="29"/>
    <s v="26-35"/>
    <x v="1"/>
    <d v="2023-12-05T00:00:00"/>
    <n v="2.1"/>
    <x v="0"/>
    <n v="4400"/>
    <x v="0"/>
    <x v="0"/>
    <n v="3"/>
    <n v="39"/>
    <x v="1"/>
    <m/>
    <x v="2"/>
    <x v="2"/>
    <x v="2"/>
    <n v="1"/>
    <n v="1"/>
    <n v="0"/>
  </r>
  <r>
    <s v="E10058"/>
    <x v="0"/>
    <x v="1"/>
    <s v="Male"/>
    <n v="29"/>
    <s v="26-35"/>
    <x v="1"/>
    <d v="2019-08-11T00:00:00"/>
    <n v="6.4"/>
    <x v="1"/>
    <n v="3500"/>
    <x v="0"/>
    <x v="1"/>
    <n v="4"/>
    <n v="47"/>
    <x v="1"/>
    <m/>
    <x v="2"/>
    <x v="2"/>
    <x v="2"/>
    <n v="1"/>
    <n v="1"/>
    <n v="0"/>
  </r>
  <r>
    <s v="E10059"/>
    <x v="1"/>
    <x v="0"/>
    <s v="Female"/>
    <n v="23"/>
    <s v="20-25"/>
    <x v="1"/>
    <d v="2025-02-11T00:00:00"/>
    <n v="0.9"/>
    <x v="3"/>
    <n v="3500"/>
    <x v="1"/>
    <x v="1"/>
    <n v="3"/>
    <n v="32"/>
    <x v="1"/>
    <m/>
    <x v="2"/>
    <x v="2"/>
    <x v="2"/>
    <n v="1"/>
    <n v="1"/>
    <n v="0"/>
  </r>
  <r>
    <s v="E10060"/>
    <x v="4"/>
    <x v="2"/>
    <s v="Male"/>
    <n v="38"/>
    <s v="36-45"/>
    <x v="1"/>
    <d v="2022-08-09T00:00:00"/>
    <n v="3.4"/>
    <x v="2"/>
    <n v="7750"/>
    <x v="0"/>
    <x v="4"/>
    <n v="3"/>
    <n v="19"/>
    <x v="1"/>
    <m/>
    <x v="2"/>
    <x v="2"/>
    <x v="2"/>
    <n v="1"/>
    <n v="1"/>
    <n v="0"/>
  </r>
  <r>
    <s v="E10061"/>
    <x v="5"/>
    <x v="2"/>
    <s v="Male"/>
    <n v="39"/>
    <s v="36-45"/>
    <x v="0"/>
    <d v="2016-08-03T00:00:00"/>
    <n v="9.4"/>
    <x v="1"/>
    <n v="6600"/>
    <x v="1"/>
    <x v="0"/>
    <n v="3"/>
    <n v="21"/>
    <x v="1"/>
    <m/>
    <x v="2"/>
    <x v="2"/>
    <x v="2"/>
    <n v="1"/>
    <n v="1"/>
    <n v="0"/>
  </r>
  <r>
    <s v="E10062"/>
    <x v="1"/>
    <x v="2"/>
    <s v="Female"/>
    <n v="33"/>
    <s v="26-35"/>
    <x v="0"/>
    <d v="2020-12-01T00:00:00"/>
    <n v="5.0999999999999996"/>
    <x v="1"/>
    <n v="5200"/>
    <x v="0"/>
    <x v="2"/>
    <n v="2"/>
    <n v="27"/>
    <x v="1"/>
    <m/>
    <x v="2"/>
    <x v="2"/>
    <x v="2"/>
    <n v="1"/>
    <n v="1"/>
    <n v="0"/>
  </r>
  <r>
    <s v="E10063"/>
    <x v="0"/>
    <x v="0"/>
    <s v="Male"/>
    <n v="22"/>
    <s v="20-25"/>
    <x v="0"/>
    <d v="2025-07-30T00:00:00"/>
    <n v="0.4"/>
    <x v="3"/>
    <n v="3000"/>
    <x v="1"/>
    <x v="2"/>
    <n v="3"/>
    <n v="23"/>
    <x v="1"/>
    <m/>
    <x v="2"/>
    <x v="2"/>
    <x v="2"/>
    <n v="1"/>
    <n v="1"/>
    <n v="0"/>
  </r>
  <r>
    <s v="E10064"/>
    <x v="2"/>
    <x v="1"/>
    <s v="Female"/>
    <n v="34"/>
    <s v="26-35"/>
    <x v="0"/>
    <d v="2017-10-04T00:00:00"/>
    <n v="8.1999999999999993"/>
    <x v="1"/>
    <n v="5000"/>
    <x v="0"/>
    <x v="1"/>
    <n v="3"/>
    <n v="18"/>
    <x v="1"/>
    <m/>
    <x v="2"/>
    <x v="2"/>
    <x v="2"/>
    <n v="1"/>
    <n v="1"/>
    <n v="0"/>
  </r>
  <r>
    <s v="E10065"/>
    <x v="1"/>
    <x v="0"/>
    <s v="Male"/>
    <n v="25"/>
    <s v="20-25"/>
    <x v="1"/>
    <d v="2025-03-19T00:00:00"/>
    <n v="0.8"/>
    <x v="3"/>
    <n v="3500"/>
    <x v="0"/>
    <x v="0"/>
    <n v="3"/>
    <n v="25"/>
    <x v="1"/>
    <m/>
    <x v="2"/>
    <x v="2"/>
    <x v="2"/>
    <n v="1"/>
    <n v="1"/>
    <n v="0"/>
  </r>
  <r>
    <s v="E10066"/>
    <x v="5"/>
    <x v="1"/>
    <s v="Male"/>
    <n v="33"/>
    <s v="26-35"/>
    <x v="1"/>
    <d v="2020-05-02T00:00:00"/>
    <n v="5.7"/>
    <x v="1"/>
    <n v="4850"/>
    <x v="1"/>
    <x v="0"/>
    <n v="4"/>
    <n v="40"/>
    <x v="1"/>
    <m/>
    <x v="2"/>
    <x v="2"/>
    <x v="2"/>
    <n v="1"/>
    <n v="1"/>
    <n v="0"/>
  </r>
  <r>
    <s v="E10067"/>
    <x v="3"/>
    <x v="2"/>
    <s v="Female"/>
    <n v="41"/>
    <s v="36-45"/>
    <x v="1"/>
    <d v="2021-09-27T00:00:00"/>
    <n v="4.3"/>
    <x v="2"/>
    <n v="10550"/>
    <x v="0"/>
    <x v="1"/>
    <n v="3"/>
    <n v="34"/>
    <x v="1"/>
    <m/>
    <x v="2"/>
    <x v="2"/>
    <x v="2"/>
    <n v="1"/>
    <n v="1"/>
    <n v="0"/>
  </r>
  <r>
    <s v="E10068"/>
    <x v="1"/>
    <x v="0"/>
    <s v="Male"/>
    <n v="24"/>
    <s v="20-25"/>
    <x v="0"/>
    <d v="2024-08-23T00:00:00"/>
    <n v="1.4"/>
    <x v="0"/>
    <n v="3000"/>
    <x v="0"/>
    <x v="1"/>
    <n v="3"/>
    <n v="26"/>
    <x v="1"/>
    <m/>
    <x v="2"/>
    <x v="2"/>
    <x v="2"/>
    <n v="1"/>
    <n v="1"/>
    <n v="0"/>
  </r>
  <r>
    <s v="E10069"/>
    <x v="3"/>
    <x v="1"/>
    <s v="Male"/>
    <n v="39"/>
    <s v="36-45"/>
    <x v="0"/>
    <d v="2012-12-19T00:00:00"/>
    <n v="13"/>
    <x v="1"/>
    <n v="7850"/>
    <x v="0"/>
    <x v="3"/>
    <n v="4"/>
    <n v="31"/>
    <x v="1"/>
    <m/>
    <x v="2"/>
    <x v="2"/>
    <x v="2"/>
    <n v="1"/>
    <n v="1"/>
    <n v="0"/>
  </r>
  <r>
    <s v="E10070"/>
    <x v="0"/>
    <x v="1"/>
    <s v="Female"/>
    <n v="28"/>
    <s v="26-35"/>
    <x v="2"/>
    <d v="2020-10-21T00:00:00"/>
    <n v="5.2"/>
    <x v="1"/>
    <n v="4050"/>
    <x v="0"/>
    <x v="1"/>
    <n v="5"/>
    <n v="27"/>
    <x v="1"/>
    <m/>
    <x v="2"/>
    <x v="2"/>
    <x v="2"/>
    <n v="1"/>
    <n v="1"/>
    <n v="0"/>
  </r>
  <r>
    <s v="E10071"/>
    <x v="0"/>
    <x v="1"/>
    <s v="Female"/>
    <n v="28"/>
    <s v="26-35"/>
    <x v="0"/>
    <d v="2021-06-06T00:00:00"/>
    <n v="4.5999999999999996"/>
    <x v="2"/>
    <n v="3700"/>
    <x v="0"/>
    <x v="0"/>
    <n v="4"/>
    <n v="37"/>
    <x v="1"/>
    <m/>
    <x v="2"/>
    <x v="2"/>
    <x v="2"/>
    <n v="1"/>
    <n v="1"/>
    <n v="0"/>
  </r>
  <r>
    <s v="E10072"/>
    <x v="0"/>
    <x v="2"/>
    <s v="Female"/>
    <n v="37"/>
    <s v="36-45"/>
    <x v="0"/>
    <d v="2021-12-04T00:00:00"/>
    <n v="4.0999999999999996"/>
    <x v="2"/>
    <n v="5750"/>
    <x v="0"/>
    <x v="1"/>
    <n v="3"/>
    <n v="26"/>
    <x v="1"/>
    <m/>
    <x v="2"/>
    <x v="2"/>
    <x v="2"/>
    <n v="1"/>
    <n v="1"/>
    <n v="0"/>
  </r>
  <r>
    <s v="E10073"/>
    <x v="4"/>
    <x v="2"/>
    <s v="Male"/>
    <n v="34"/>
    <s v="26-35"/>
    <x v="1"/>
    <d v="2016-11-15T00:00:00"/>
    <n v="9.1"/>
    <x v="1"/>
    <n v="9300"/>
    <x v="0"/>
    <x v="1"/>
    <n v="4"/>
    <n v="0"/>
    <x v="1"/>
    <m/>
    <x v="2"/>
    <x v="2"/>
    <x v="2"/>
    <n v="1"/>
    <n v="1"/>
    <n v="0"/>
  </r>
  <r>
    <s v="E10074"/>
    <x v="0"/>
    <x v="0"/>
    <s v="Male"/>
    <n v="30"/>
    <s v="26-35"/>
    <x v="1"/>
    <d v="2023-02-21T00:00:00"/>
    <n v="2.9"/>
    <x v="0"/>
    <n v="2850"/>
    <x v="0"/>
    <x v="4"/>
    <n v="3"/>
    <n v="15"/>
    <x v="1"/>
    <m/>
    <x v="2"/>
    <x v="2"/>
    <x v="2"/>
    <n v="1"/>
    <n v="1"/>
    <n v="0"/>
  </r>
  <r>
    <s v="E10075"/>
    <x v="3"/>
    <x v="0"/>
    <s v="Male"/>
    <n v="30"/>
    <s v="26-35"/>
    <x v="1"/>
    <d v="2024-02-05T00:00:00"/>
    <n v="1.9"/>
    <x v="0"/>
    <n v="6900"/>
    <x v="0"/>
    <x v="0"/>
    <n v="2"/>
    <n v="32"/>
    <x v="1"/>
    <m/>
    <x v="2"/>
    <x v="2"/>
    <x v="2"/>
    <n v="1"/>
    <n v="1"/>
    <n v="0"/>
  </r>
  <r>
    <s v="E10076"/>
    <x v="3"/>
    <x v="0"/>
    <s v="Male"/>
    <n v="31"/>
    <s v="26-35"/>
    <x v="0"/>
    <d v="2022-06-03T00:00:00"/>
    <n v="3.6"/>
    <x v="2"/>
    <n v="5750"/>
    <x v="0"/>
    <x v="0"/>
    <n v="2"/>
    <n v="23"/>
    <x v="1"/>
    <m/>
    <x v="2"/>
    <x v="2"/>
    <x v="2"/>
    <n v="1"/>
    <n v="1"/>
    <n v="0"/>
  </r>
  <r>
    <s v="E10077"/>
    <x v="3"/>
    <x v="0"/>
    <s v="Female"/>
    <n v="28"/>
    <s v="26-35"/>
    <x v="1"/>
    <d v="2022-06-10T00:00:00"/>
    <n v="3.6"/>
    <x v="2"/>
    <n v="6800"/>
    <x v="0"/>
    <x v="4"/>
    <n v="3"/>
    <n v="42"/>
    <x v="1"/>
    <m/>
    <x v="2"/>
    <x v="2"/>
    <x v="2"/>
    <n v="1"/>
    <n v="1"/>
    <n v="0"/>
  </r>
  <r>
    <s v="E10078"/>
    <x v="1"/>
    <x v="0"/>
    <s v="Female"/>
    <n v="31"/>
    <s v="26-35"/>
    <x v="1"/>
    <d v="2018-08-25T00:00:00"/>
    <n v="7.4"/>
    <x v="1"/>
    <n v="3400"/>
    <x v="0"/>
    <x v="1"/>
    <n v="3"/>
    <n v="36"/>
    <x v="1"/>
    <m/>
    <x v="2"/>
    <x v="2"/>
    <x v="2"/>
    <n v="1"/>
    <n v="1"/>
    <n v="0"/>
  </r>
  <r>
    <s v="E10079"/>
    <x v="2"/>
    <x v="1"/>
    <s v="Female"/>
    <n v="30"/>
    <s v="26-35"/>
    <x v="1"/>
    <d v="2019-09-16T00:00:00"/>
    <n v="6.3"/>
    <x v="1"/>
    <n v="6300"/>
    <x v="0"/>
    <x v="0"/>
    <n v="4"/>
    <n v="13"/>
    <x v="1"/>
    <m/>
    <x v="2"/>
    <x v="2"/>
    <x v="2"/>
    <n v="1"/>
    <n v="1"/>
    <n v="0"/>
  </r>
  <r>
    <s v="E10080"/>
    <x v="1"/>
    <x v="2"/>
    <s v="Male"/>
    <n v="32"/>
    <s v="26-35"/>
    <x v="2"/>
    <d v="2023-09-06T00:00:00"/>
    <n v="2.2999999999999998"/>
    <x v="0"/>
    <n v="6600"/>
    <x v="0"/>
    <x v="0"/>
    <n v="4"/>
    <n v="28"/>
    <x v="1"/>
    <m/>
    <x v="2"/>
    <x v="2"/>
    <x v="2"/>
    <n v="1"/>
    <n v="1"/>
    <n v="0"/>
  </r>
  <r>
    <s v="E10081"/>
    <x v="0"/>
    <x v="2"/>
    <s v="Female"/>
    <n v="39"/>
    <s v="36-45"/>
    <x v="2"/>
    <d v="2015-03-04T00:00:00"/>
    <n v="10.8"/>
    <x v="1"/>
    <n v="5850"/>
    <x v="0"/>
    <x v="0"/>
    <n v="4"/>
    <n v="30"/>
    <x v="1"/>
    <m/>
    <x v="2"/>
    <x v="2"/>
    <x v="2"/>
    <n v="1"/>
    <n v="1"/>
    <n v="0"/>
  </r>
  <r>
    <s v="E10082"/>
    <x v="1"/>
    <x v="0"/>
    <s v="Male"/>
    <n v="28"/>
    <s v="26-35"/>
    <x v="1"/>
    <d v="2024-03-14T00:00:00"/>
    <n v="1.8"/>
    <x v="0"/>
    <n v="3900"/>
    <x v="0"/>
    <x v="4"/>
    <n v="4"/>
    <n v="27"/>
    <x v="1"/>
    <m/>
    <x v="2"/>
    <x v="2"/>
    <x v="2"/>
    <n v="1"/>
    <n v="1"/>
    <n v="0"/>
  </r>
  <r>
    <s v="E10083"/>
    <x v="3"/>
    <x v="1"/>
    <s v="Female"/>
    <n v="33"/>
    <s v="26-35"/>
    <x v="0"/>
    <d v="2017-07-06T00:00:00"/>
    <n v="8.5"/>
    <x v="1"/>
    <n v="8500"/>
    <x v="1"/>
    <x v="1"/>
    <n v="3"/>
    <n v="49"/>
    <x v="1"/>
    <m/>
    <x v="2"/>
    <x v="2"/>
    <x v="2"/>
    <n v="1"/>
    <n v="1"/>
    <n v="0"/>
  </r>
  <r>
    <s v="E10084"/>
    <x v="5"/>
    <x v="2"/>
    <s v="Male"/>
    <n v="37"/>
    <s v="36-45"/>
    <x v="0"/>
    <d v="2017-12-23T00:00:00"/>
    <n v="8"/>
    <x v="1"/>
    <n v="7300"/>
    <x v="1"/>
    <x v="1"/>
    <n v="3"/>
    <n v="17"/>
    <x v="1"/>
    <m/>
    <x v="2"/>
    <x v="2"/>
    <x v="2"/>
    <n v="1"/>
    <n v="1"/>
    <n v="0"/>
  </r>
  <r>
    <s v="E10085"/>
    <x v="3"/>
    <x v="3"/>
    <s v="Female"/>
    <n v="36"/>
    <s v="36-45"/>
    <x v="1"/>
    <d v="2017-05-26T00:00:00"/>
    <n v="8.6"/>
    <x v="1"/>
    <n v="14450"/>
    <x v="0"/>
    <x v="0"/>
    <n v="5"/>
    <n v="32"/>
    <x v="1"/>
    <m/>
    <x v="2"/>
    <x v="2"/>
    <x v="2"/>
    <n v="1"/>
    <n v="1"/>
    <n v="0"/>
  </r>
  <r>
    <s v="E10086"/>
    <x v="1"/>
    <x v="1"/>
    <s v="Male"/>
    <n v="30"/>
    <s v="26-35"/>
    <x v="1"/>
    <d v="2020-03-19T00:00:00"/>
    <n v="5.8"/>
    <x v="1"/>
    <n v="4450"/>
    <x v="1"/>
    <x v="1"/>
    <n v="3"/>
    <n v="34"/>
    <x v="1"/>
    <m/>
    <x v="2"/>
    <x v="2"/>
    <x v="2"/>
    <n v="1"/>
    <n v="1"/>
    <n v="0"/>
  </r>
  <r>
    <s v="E10087"/>
    <x v="4"/>
    <x v="2"/>
    <s v="Male"/>
    <n v="37"/>
    <s v="36-45"/>
    <x v="2"/>
    <d v="2019-04-26T00:00:00"/>
    <n v="6.7"/>
    <x v="1"/>
    <n v="7500"/>
    <x v="0"/>
    <x v="1"/>
    <n v="4"/>
    <n v="44"/>
    <x v="1"/>
    <m/>
    <x v="2"/>
    <x v="2"/>
    <x v="2"/>
    <n v="1"/>
    <n v="1"/>
    <n v="0"/>
  </r>
  <r>
    <s v="E10088"/>
    <x v="1"/>
    <x v="1"/>
    <s v="Male"/>
    <n v="32"/>
    <s v="26-35"/>
    <x v="1"/>
    <d v="2020-07-12T00:00:00"/>
    <n v="5.5"/>
    <x v="1"/>
    <n v="4050"/>
    <x v="0"/>
    <x v="0"/>
    <n v="3"/>
    <n v="30"/>
    <x v="1"/>
    <m/>
    <x v="2"/>
    <x v="2"/>
    <x v="2"/>
    <n v="1"/>
    <n v="1"/>
    <n v="0"/>
  </r>
  <r>
    <s v="E10089"/>
    <x v="4"/>
    <x v="1"/>
    <s v="Female"/>
    <n v="33"/>
    <s v="26-35"/>
    <x v="2"/>
    <d v="2020-02-23T00:00:00"/>
    <n v="4.5"/>
    <x v="2"/>
    <n v="4900"/>
    <x v="1"/>
    <x v="4"/>
    <n v="3"/>
    <n v="28"/>
    <x v="0"/>
    <d v="2024-08-24T00:00:00"/>
    <x v="0"/>
    <x v="1"/>
    <x v="5"/>
    <n v="1"/>
    <n v="0"/>
    <n v="1"/>
  </r>
  <r>
    <s v="E10090"/>
    <x v="5"/>
    <x v="0"/>
    <s v="Female"/>
    <n v="35"/>
    <s v="26-35"/>
    <x v="2"/>
    <d v="2015-08-23T00:00:00"/>
    <n v="8.6999999999999993"/>
    <x v="1"/>
    <n v="3450"/>
    <x v="1"/>
    <x v="1"/>
    <n v="3"/>
    <n v="22"/>
    <x v="0"/>
    <d v="2024-04-25T00:00:00"/>
    <x v="0"/>
    <x v="8"/>
    <x v="0"/>
    <n v="1"/>
    <n v="0"/>
    <n v="1"/>
  </r>
  <r>
    <s v="E10091"/>
    <x v="5"/>
    <x v="0"/>
    <s v="Female"/>
    <n v="27"/>
    <s v="26-35"/>
    <x v="1"/>
    <d v="2023-12-29T00:00:00"/>
    <n v="2"/>
    <x v="0"/>
    <n v="4350"/>
    <x v="0"/>
    <x v="1"/>
    <n v="4"/>
    <n v="27"/>
    <x v="1"/>
    <m/>
    <x v="2"/>
    <x v="2"/>
    <x v="2"/>
    <n v="1"/>
    <n v="1"/>
    <n v="0"/>
  </r>
  <r>
    <s v="E10092"/>
    <x v="1"/>
    <x v="0"/>
    <s v="Male"/>
    <n v="27"/>
    <s v="26-35"/>
    <x v="1"/>
    <d v="2021-06-02T00:00:00"/>
    <n v="4.5999999999999996"/>
    <x v="2"/>
    <n v="3800"/>
    <x v="0"/>
    <x v="4"/>
    <n v="2"/>
    <n v="19"/>
    <x v="1"/>
    <m/>
    <x v="2"/>
    <x v="2"/>
    <x v="2"/>
    <n v="1"/>
    <n v="1"/>
    <n v="0"/>
  </r>
  <r>
    <s v="E10093"/>
    <x v="5"/>
    <x v="1"/>
    <s v="Female"/>
    <n v="33"/>
    <s v="26-35"/>
    <x v="1"/>
    <d v="2024-06-14T00:00:00"/>
    <n v="1.5"/>
    <x v="0"/>
    <n v="5250"/>
    <x v="0"/>
    <x v="1"/>
    <n v="3"/>
    <n v="22"/>
    <x v="1"/>
    <m/>
    <x v="2"/>
    <x v="2"/>
    <x v="2"/>
    <n v="1"/>
    <n v="1"/>
    <n v="0"/>
  </r>
  <r>
    <s v="E10094"/>
    <x v="1"/>
    <x v="0"/>
    <s v="Male"/>
    <n v="24"/>
    <s v="20-25"/>
    <x v="0"/>
    <d v="2024-03-01T00:00:00"/>
    <n v="1.8"/>
    <x v="0"/>
    <n v="3550"/>
    <x v="1"/>
    <x v="1"/>
    <n v="3"/>
    <n v="10"/>
    <x v="1"/>
    <m/>
    <x v="2"/>
    <x v="2"/>
    <x v="2"/>
    <n v="1"/>
    <n v="1"/>
    <n v="0"/>
  </r>
  <r>
    <s v="E10095"/>
    <x v="5"/>
    <x v="1"/>
    <s v="Male"/>
    <n v="32"/>
    <s v="26-35"/>
    <x v="1"/>
    <d v="2024-04-22T00:00:00"/>
    <n v="1.7"/>
    <x v="0"/>
    <n v="6100"/>
    <x v="0"/>
    <x v="1"/>
    <n v="4"/>
    <n v="41"/>
    <x v="1"/>
    <m/>
    <x v="2"/>
    <x v="2"/>
    <x v="2"/>
    <n v="1"/>
    <n v="1"/>
    <n v="0"/>
  </r>
  <r>
    <s v="E10096"/>
    <x v="4"/>
    <x v="2"/>
    <s v="Female"/>
    <n v="43"/>
    <s v="36-45"/>
    <x v="1"/>
    <d v="2014-09-29T00:00:00"/>
    <n v="11.3"/>
    <x v="1"/>
    <n v="9500"/>
    <x v="0"/>
    <x v="4"/>
    <n v="3"/>
    <n v="24"/>
    <x v="1"/>
    <m/>
    <x v="2"/>
    <x v="2"/>
    <x v="2"/>
    <n v="1"/>
    <n v="1"/>
    <n v="0"/>
  </r>
  <r>
    <s v="E10097"/>
    <x v="2"/>
    <x v="1"/>
    <s v="Male"/>
    <n v="25"/>
    <s v="20-25"/>
    <x v="1"/>
    <d v="2025-04-12T00:00:00"/>
    <n v="0.7"/>
    <x v="3"/>
    <n v="7750"/>
    <x v="0"/>
    <x v="0"/>
    <n v="3"/>
    <n v="22"/>
    <x v="1"/>
    <m/>
    <x v="2"/>
    <x v="2"/>
    <x v="2"/>
    <n v="1"/>
    <n v="1"/>
    <n v="0"/>
  </r>
  <r>
    <s v="E10098"/>
    <x v="1"/>
    <x v="0"/>
    <s v="Male"/>
    <n v="27"/>
    <s v="26-35"/>
    <x v="0"/>
    <d v="2022-08-30T00:00:00"/>
    <n v="3.3"/>
    <x v="2"/>
    <n v="4000"/>
    <x v="0"/>
    <x v="1"/>
    <n v="4"/>
    <n v="20"/>
    <x v="1"/>
    <m/>
    <x v="2"/>
    <x v="2"/>
    <x v="2"/>
    <n v="1"/>
    <n v="1"/>
    <n v="0"/>
  </r>
  <r>
    <s v="E10099"/>
    <x v="5"/>
    <x v="1"/>
    <s v="Male"/>
    <n v="29"/>
    <s v="26-35"/>
    <x v="2"/>
    <d v="2022-07-12T00:00:00"/>
    <n v="3.5"/>
    <x v="2"/>
    <n v="4750"/>
    <x v="0"/>
    <x v="1"/>
    <n v="5"/>
    <n v="25"/>
    <x v="1"/>
    <m/>
    <x v="2"/>
    <x v="2"/>
    <x v="2"/>
    <n v="1"/>
    <n v="1"/>
    <n v="0"/>
  </r>
  <r>
    <s v="E10100"/>
    <x v="2"/>
    <x v="0"/>
    <s v="Male"/>
    <n v="25"/>
    <s v="20-25"/>
    <x v="1"/>
    <d v="2023-12-03T00:00:00"/>
    <n v="2.1"/>
    <x v="0"/>
    <n v="4750"/>
    <x v="0"/>
    <x v="1"/>
    <n v="3"/>
    <n v="22"/>
    <x v="1"/>
    <m/>
    <x v="2"/>
    <x v="2"/>
    <x v="2"/>
    <n v="1"/>
    <n v="1"/>
    <n v="0"/>
  </r>
  <r>
    <s v="E10101"/>
    <x v="6"/>
    <x v="0"/>
    <s v="Male"/>
    <n v="22"/>
    <s v="20-25"/>
    <x v="0"/>
    <d v="2025-09-19T00:00:00"/>
    <n v="0.3"/>
    <x v="3"/>
    <n v="4100"/>
    <x v="0"/>
    <x v="2"/>
    <n v="4"/>
    <n v="31"/>
    <x v="1"/>
    <m/>
    <x v="2"/>
    <x v="2"/>
    <x v="2"/>
    <n v="1"/>
    <n v="1"/>
    <n v="0"/>
  </r>
  <r>
    <s v="E10102"/>
    <x v="1"/>
    <x v="0"/>
    <s v="Male"/>
    <n v="21"/>
    <s v="20-25"/>
    <x v="1"/>
    <d v="2025-10-29T00:00:00"/>
    <n v="0.2"/>
    <x v="3"/>
    <n v="3550"/>
    <x v="0"/>
    <x v="0"/>
    <n v="3"/>
    <n v="33"/>
    <x v="1"/>
    <m/>
    <x v="2"/>
    <x v="2"/>
    <x v="2"/>
    <n v="1"/>
    <n v="1"/>
    <n v="0"/>
  </r>
  <r>
    <s v="E10103"/>
    <x v="0"/>
    <x v="1"/>
    <s v="Male"/>
    <n v="34"/>
    <s v="26-35"/>
    <x v="0"/>
    <d v="2023-07-27T00:00:00"/>
    <n v="2.4"/>
    <x v="0"/>
    <n v="3650"/>
    <x v="1"/>
    <x v="0"/>
    <n v="3"/>
    <n v="32"/>
    <x v="1"/>
    <m/>
    <x v="2"/>
    <x v="2"/>
    <x v="2"/>
    <n v="1"/>
    <n v="1"/>
    <n v="0"/>
  </r>
  <r>
    <s v="E10104"/>
    <x v="1"/>
    <x v="1"/>
    <s v="Male"/>
    <n v="30"/>
    <s v="26-35"/>
    <x v="1"/>
    <d v="2023-03-31T00:00:00"/>
    <n v="2.8"/>
    <x v="0"/>
    <n v="3900"/>
    <x v="0"/>
    <x v="3"/>
    <n v="4"/>
    <n v="10"/>
    <x v="1"/>
    <m/>
    <x v="2"/>
    <x v="2"/>
    <x v="2"/>
    <n v="1"/>
    <n v="1"/>
    <n v="0"/>
  </r>
  <r>
    <s v="E10105"/>
    <x v="2"/>
    <x v="0"/>
    <s v="Male"/>
    <n v="39"/>
    <s v="36-45"/>
    <x v="1"/>
    <d v="2021-12-12T00:00:00"/>
    <n v="3.4"/>
    <x v="2"/>
    <n v="5550"/>
    <x v="1"/>
    <x v="1"/>
    <n v="3"/>
    <n v="3"/>
    <x v="0"/>
    <d v="2025-05-15T00:00:00"/>
    <x v="1"/>
    <x v="9"/>
    <x v="3"/>
    <n v="1"/>
    <n v="0"/>
    <n v="1"/>
  </r>
  <r>
    <s v="E10106"/>
    <x v="5"/>
    <x v="1"/>
    <s v="Female"/>
    <n v="37"/>
    <s v="36-45"/>
    <x v="0"/>
    <d v="2020-07-22T00:00:00"/>
    <n v="5.4"/>
    <x v="1"/>
    <n v="5500"/>
    <x v="0"/>
    <x v="2"/>
    <n v="4"/>
    <n v="24"/>
    <x v="1"/>
    <m/>
    <x v="2"/>
    <x v="2"/>
    <x v="2"/>
    <n v="1"/>
    <n v="1"/>
    <n v="0"/>
  </r>
  <r>
    <s v="E10107"/>
    <x v="5"/>
    <x v="3"/>
    <s v="Male"/>
    <n v="35"/>
    <s v="26-35"/>
    <x v="1"/>
    <d v="2017-08-17T00:00:00"/>
    <n v="8.4"/>
    <x v="1"/>
    <n v="11100"/>
    <x v="0"/>
    <x v="0"/>
    <n v="3"/>
    <n v="36"/>
    <x v="1"/>
    <m/>
    <x v="2"/>
    <x v="2"/>
    <x v="2"/>
    <n v="1"/>
    <n v="1"/>
    <n v="0"/>
  </r>
  <r>
    <s v="E10108"/>
    <x v="0"/>
    <x v="3"/>
    <s v="Female"/>
    <n v="38"/>
    <s v="36-45"/>
    <x v="1"/>
    <d v="2017-05-23T00:00:00"/>
    <n v="8.6"/>
    <x v="1"/>
    <n v="7250"/>
    <x v="0"/>
    <x v="0"/>
    <n v="3"/>
    <n v="8"/>
    <x v="1"/>
    <m/>
    <x v="2"/>
    <x v="2"/>
    <x v="2"/>
    <n v="1"/>
    <n v="1"/>
    <n v="0"/>
  </r>
  <r>
    <s v="E10109"/>
    <x v="4"/>
    <x v="3"/>
    <s v="Female"/>
    <n v="48"/>
    <s v="46+"/>
    <x v="0"/>
    <d v="2022-08-17T00:00:00"/>
    <n v="3.4"/>
    <x v="2"/>
    <n v="10300"/>
    <x v="0"/>
    <x v="2"/>
    <n v="3"/>
    <n v="21"/>
    <x v="1"/>
    <m/>
    <x v="2"/>
    <x v="2"/>
    <x v="2"/>
    <n v="1"/>
    <n v="1"/>
    <n v="0"/>
  </r>
  <r>
    <s v="E10110"/>
    <x v="3"/>
    <x v="0"/>
    <s v="Female"/>
    <n v="28"/>
    <s v="26-35"/>
    <x v="1"/>
    <d v="2024-04-08T00:00:00"/>
    <n v="1.7"/>
    <x v="0"/>
    <n v="8250"/>
    <x v="0"/>
    <x v="2"/>
    <n v="2"/>
    <n v="23"/>
    <x v="1"/>
    <m/>
    <x v="2"/>
    <x v="2"/>
    <x v="2"/>
    <n v="1"/>
    <n v="1"/>
    <n v="0"/>
  </r>
  <r>
    <s v="E10111"/>
    <x v="6"/>
    <x v="2"/>
    <s v="Male"/>
    <n v="30"/>
    <s v="26-35"/>
    <x v="1"/>
    <d v="2020-11-13T00:00:00"/>
    <n v="5.0999999999999996"/>
    <x v="1"/>
    <n v="7800"/>
    <x v="0"/>
    <x v="2"/>
    <n v="3"/>
    <n v="42"/>
    <x v="1"/>
    <m/>
    <x v="2"/>
    <x v="2"/>
    <x v="2"/>
    <n v="1"/>
    <n v="1"/>
    <n v="0"/>
  </r>
  <r>
    <s v="E10112"/>
    <x v="6"/>
    <x v="0"/>
    <s v="Female"/>
    <n v="21"/>
    <s v="20-25"/>
    <x v="2"/>
    <d v="2025-09-14T00:00:00"/>
    <n v="0.3"/>
    <x v="3"/>
    <n v="3800"/>
    <x v="1"/>
    <x v="1"/>
    <n v="3"/>
    <n v="34"/>
    <x v="1"/>
    <m/>
    <x v="2"/>
    <x v="2"/>
    <x v="2"/>
    <n v="1"/>
    <n v="1"/>
    <n v="0"/>
  </r>
  <r>
    <s v="E10113"/>
    <x v="1"/>
    <x v="1"/>
    <s v="Male"/>
    <n v="32"/>
    <s v="26-35"/>
    <x v="1"/>
    <d v="2017-10-09T00:00:00"/>
    <n v="8.1999999999999993"/>
    <x v="1"/>
    <n v="4200"/>
    <x v="0"/>
    <x v="0"/>
    <n v="3"/>
    <n v="12"/>
    <x v="1"/>
    <m/>
    <x v="2"/>
    <x v="2"/>
    <x v="2"/>
    <n v="1"/>
    <n v="1"/>
    <n v="0"/>
  </r>
  <r>
    <s v="E10114"/>
    <x v="0"/>
    <x v="2"/>
    <s v="Female"/>
    <n v="34"/>
    <s v="26-35"/>
    <x v="0"/>
    <d v="2020-12-30T00:00:00"/>
    <n v="5"/>
    <x v="2"/>
    <n v="4950"/>
    <x v="1"/>
    <x v="4"/>
    <n v="3"/>
    <n v="36"/>
    <x v="1"/>
    <m/>
    <x v="2"/>
    <x v="2"/>
    <x v="2"/>
    <n v="1"/>
    <n v="1"/>
    <n v="0"/>
  </r>
  <r>
    <s v="E10115"/>
    <x v="3"/>
    <x v="2"/>
    <s v="Male"/>
    <n v="28"/>
    <s v="26-35"/>
    <x v="1"/>
    <d v="2022-08-15T00:00:00"/>
    <n v="3.4"/>
    <x v="2"/>
    <n v="10450"/>
    <x v="0"/>
    <x v="0"/>
    <n v="3"/>
    <n v="18"/>
    <x v="1"/>
    <m/>
    <x v="2"/>
    <x v="2"/>
    <x v="2"/>
    <n v="1"/>
    <n v="1"/>
    <n v="0"/>
  </r>
  <r>
    <s v="E10116"/>
    <x v="4"/>
    <x v="3"/>
    <s v="Female"/>
    <n v="42"/>
    <s v="36-45"/>
    <x v="0"/>
    <d v="2022-09-15T00:00:00"/>
    <n v="3.3"/>
    <x v="2"/>
    <n v="13400"/>
    <x v="0"/>
    <x v="1"/>
    <n v="3"/>
    <n v="38"/>
    <x v="1"/>
    <m/>
    <x v="2"/>
    <x v="2"/>
    <x v="2"/>
    <n v="1"/>
    <n v="1"/>
    <n v="0"/>
  </r>
  <r>
    <s v="E10117"/>
    <x v="4"/>
    <x v="1"/>
    <s v="Male"/>
    <n v="38"/>
    <s v="36-45"/>
    <x v="2"/>
    <d v="2014-11-16T00:00:00"/>
    <n v="10"/>
    <x v="1"/>
    <n v="5100"/>
    <x v="1"/>
    <x v="1"/>
    <n v="3"/>
    <n v="31"/>
    <x v="0"/>
    <d v="2024-11-16T00:00:00"/>
    <x v="0"/>
    <x v="10"/>
    <x v="5"/>
    <n v="1"/>
    <n v="0"/>
    <n v="1"/>
  </r>
  <r>
    <s v="E10118"/>
    <x v="5"/>
    <x v="0"/>
    <s v="Female"/>
    <n v="23"/>
    <s v="20-25"/>
    <x v="0"/>
    <d v="2024-07-14T00:00:00"/>
    <n v="1.5"/>
    <x v="0"/>
    <n v="4350"/>
    <x v="0"/>
    <x v="0"/>
    <n v="3"/>
    <n v="16"/>
    <x v="1"/>
    <m/>
    <x v="2"/>
    <x v="2"/>
    <x v="2"/>
    <n v="1"/>
    <n v="1"/>
    <n v="0"/>
  </r>
  <r>
    <s v="E10119"/>
    <x v="6"/>
    <x v="0"/>
    <s v="Male"/>
    <n v="26"/>
    <s v="26-35"/>
    <x v="2"/>
    <d v="2024-04-24T00:00:00"/>
    <n v="1.7"/>
    <x v="0"/>
    <n v="3600"/>
    <x v="0"/>
    <x v="1"/>
    <n v="4"/>
    <n v="29"/>
    <x v="1"/>
    <m/>
    <x v="2"/>
    <x v="2"/>
    <x v="2"/>
    <n v="1"/>
    <n v="1"/>
    <n v="0"/>
  </r>
  <r>
    <s v="E10120"/>
    <x v="1"/>
    <x v="3"/>
    <s v="Female"/>
    <n v="41"/>
    <s v="36-45"/>
    <x v="1"/>
    <d v="2016-06-05T00:00:00"/>
    <n v="9.6"/>
    <x v="1"/>
    <n v="8950"/>
    <x v="1"/>
    <x v="4"/>
    <n v="4"/>
    <n v="36"/>
    <x v="1"/>
    <m/>
    <x v="2"/>
    <x v="2"/>
    <x v="2"/>
    <n v="1"/>
    <n v="1"/>
    <n v="0"/>
  </r>
  <r>
    <s v="E10121"/>
    <x v="0"/>
    <x v="0"/>
    <s v="Female"/>
    <n v="32"/>
    <s v="26-35"/>
    <x v="0"/>
    <d v="2018-08-16T00:00:00"/>
    <n v="6.7"/>
    <x v="1"/>
    <n v="2350"/>
    <x v="1"/>
    <x v="0"/>
    <n v="3"/>
    <n v="22"/>
    <x v="0"/>
    <d v="2025-04-27T00:00:00"/>
    <x v="1"/>
    <x v="8"/>
    <x v="0"/>
    <n v="1"/>
    <n v="0"/>
    <n v="1"/>
  </r>
  <r>
    <s v="E10122"/>
    <x v="0"/>
    <x v="0"/>
    <s v="Male"/>
    <n v="34"/>
    <s v="26-35"/>
    <x v="0"/>
    <d v="2021-08-09T00:00:00"/>
    <n v="3.7"/>
    <x v="2"/>
    <n v="2350"/>
    <x v="1"/>
    <x v="3"/>
    <n v="3"/>
    <n v="29"/>
    <x v="0"/>
    <d v="2025-04-13T00:00:00"/>
    <x v="1"/>
    <x v="8"/>
    <x v="0"/>
    <n v="1"/>
    <n v="0"/>
    <n v="1"/>
  </r>
  <r>
    <s v="E10123"/>
    <x v="6"/>
    <x v="2"/>
    <s v="Male"/>
    <n v="36"/>
    <s v="36-45"/>
    <x v="1"/>
    <d v="2014-12-29T00:00:00"/>
    <n v="11"/>
    <x v="1"/>
    <n v="7700"/>
    <x v="0"/>
    <x v="4"/>
    <n v="3"/>
    <n v="34"/>
    <x v="1"/>
    <m/>
    <x v="2"/>
    <x v="2"/>
    <x v="2"/>
    <n v="1"/>
    <n v="1"/>
    <n v="0"/>
  </r>
  <r>
    <s v="E10124"/>
    <x v="0"/>
    <x v="1"/>
    <s v="Female"/>
    <n v="34"/>
    <s v="26-35"/>
    <x v="0"/>
    <d v="2021-04-15T00:00:00"/>
    <n v="4.7"/>
    <x v="2"/>
    <n v="2650"/>
    <x v="0"/>
    <x v="0"/>
    <n v="3"/>
    <n v="11"/>
    <x v="1"/>
    <m/>
    <x v="2"/>
    <x v="2"/>
    <x v="2"/>
    <n v="1"/>
    <n v="1"/>
    <n v="0"/>
  </r>
  <r>
    <s v="E10125"/>
    <x v="1"/>
    <x v="0"/>
    <s v="Male"/>
    <n v="25"/>
    <s v="20-25"/>
    <x v="1"/>
    <d v="2023-01-23T00:00:00"/>
    <n v="2.9"/>
    <x v="0"/>
    <n v="3700"/>
    <x v="0"/>
    <x v="4"/>
    <n v="3"/>
    <n v="10"/>
    <x v="1"/>
    <m/>
    <x v="2"/>
    <x v="2"/>
    <x v="2"/>
    <n v="1"/>
    <n v="1"/>
    <n v="0"/>
  </r>
  <r>
    <s v="E10126"/>
    <x v="5"/>
    <x v="0"/>
    <s v="Female"/>
    <n v="25"/>
    <s v="20-25"/>
    <x v="1"/>
    <d v="2024-09-29T00:00:00"/>
    <n v="1.3"/>
    <x v="0"/>
    <n v="4050"/>
    <x v="0"/>
    <x v="4"/>
    <n v="4"/>
    <n v="26"/>
    <x v="1"/>
    <m/>
    <x v="2"/>
    <x v="2"/>
    <x v="2"/>
    <n v="1"/>
    <n v="1"/>
    <n v="0"/>
  </r>
  <r>
    <s v="E10127"/>
    <x v="1"/>
    <x v="1"/>
    <s v="Male"/>
    <n v="33"/>
    <s v="26-35"/>
    <x v="1"/>
    <d v="2021-03-13T00:00:00"/>
    <n v="2.8"/>
    <x v="0"/>
    <n v="3950"/>
    <x v="1"/>
    <x v="1"/>
    <n v="5"/>
    <n v="13"/>
    <x v="0"/>
    <d v="2024-01-13T00:00:00"/>
    <x v="0"/>
    <x v="7"/>
    <x v="3"/>
    <n v="1"/>
    <n v="0"/>
    <n v="1"/>
  </r>
  <r>
    <s v="E10128"/>
    <x v="3"/>
    <x v="0"/>
    <s v="Female"/>
    <n v="24"/>
    <s v="20-25"/>
    <x v="1"/>
    <d v="2025-04-19T00:00:00"/>
    <n v="0.7"/>
    <x v="3"/>
    <n v="5800"/>
    <x v="0"/>
    <x v="1"/>
    <n v="5"/>
    <n v="25"/>
    <x v="1"/>
    <m/>
    <x v="2"/>
    <x v="2"/>
    <x v="2"/>
    <n v="1"/>
    <n v="1"/>
    <n v="0"/>
  </r>
  <r>
    <s v="E10129"/>
    <x v="1"/>
    <x v="2"/>
    <s v="Female"/>
    <n v="40"/>
    <s v="36-45"/>
    <x v="0"/>
    <d v="2020-04-09T00:00:00"/>
    <n v="5.7"/>
    <x v="1"/>
    <n v="6200"/>
    <x v="1"/>
    <x v="4"/>
    <n v="2"/>
    <n v="30"/>
    <x v="1"/>
    <m/>
    <x v="2"/>
    <x v="2"/>
    <x v="2"/>
    <n v="1"/>
    <n v="1"/>
    <n v="0"/>
  </r>
  <r>
    <s v="E10130"/>
    <x v="0"/>
    <x v="0"/>
    <s v="Male"/>
    <n v="29"/>
    <s v="26-35"/>
    <x v="0"/>
    <d v="2021-12-25T00:00:00"/>
    <n v="4"/>
    <x v="2"/>
    <n v="3100"/>
    <x v="0"/>
    <x v="4"/>
    <n v="2"/>
    <n v="20"/>
    <x v="1"/>
    <m/>
    <x v="2"/>
    <x v="2"/>
    <x v="2"/>
    <n v="1"/>
    <n v="1"/>
    <n v="0"/>
  </r>
  <r>
    <s v="E10131"/>
    <x v="3"/>
    <x v="2"/>
    <s v="Male"/>
    <n v="43"/>
    <s v="36-45"/>
    <x v="1"/>
    <d v="2019-10-22T00:00:00"/>
    <n v="6.2"/>
    <x v="1"/>
    <n v="12500"/>
    <x v="1"/>
    <x v="0"/>
    <n v="3"/>
    <n v="40"/>
    <x v="1"/>
    <m/>
    <x v="2"/>
    <x v="2"/>
    <x v="2"/>
    <n v="1"/>
    <n v="1"/>
    <n v="0"/>
  </r>
  <r>
    <s v="E10132"/>
    <x v="1"/>
    <x v="0"/>
    <s v="Female"/>
    <n v="21"/>
    <s v="20-25"/>
    <x v="1"/>
    <d v="2025-11-10T00:00:00"/>
    <n v="0.1"/>
    <x v="3"/>
    <n v="3400"/>
    <x v="1"/>
    <x v="1"/>
    <n v="3"/>
    <n v="36"/>
    <x v="1"/>
    <m/>
    <x v="2"/>
    <x v="2"/>
    <x v="2"/>
    <n v="1"/>
    <n v="1"/>
    <n v="0"/>
  </r>
  <r>
    <s v="E10133"/>
    <x v="0"/>
    <x v="0"/>
    <s v="Male"/>
    <n v="26"/>
    <s v="26-35"/>
    <x v="0"/>
    <d v="2025-04-17T00:00:00"/>
    <n v="0.7"/>
    <x v="3"/>
    <n v="2800"/>
    <x v="0"/>
    <x v="2"/>
    <n v="3"/>
    <n v="31"/>
    <x v="1"/>
    <m/>
    <x v="2"/>
    <x v="2"/>
    <x v="2"/>
    <n v="1"/>
    <n v="1"/>
    <n v="0"/>
  </r>
  <r>
    <s v="E10134"/>
    <x v="0"/>
    <x v="1"/>
    <s v="Male"/>
    <n v="25"/>
    <s v="20-25"/>
    <x v="1"/>
    <d v="2024-05-31T00:00:00"/>
    <n v="1.6"/>
    <x v="0"/>
    <n v="3600"/>
    <x v="0"/>
    <x v="0"/>
    <n v="4"/>
    <n v="7"/>
    <x v="1"/>
    <m/>
    <x v="2"/>
    <x v="2"/>
    <x v="2"/>
    <n v="1"/>
    <n v="1"/>
    <n v="0"/>
  </r>
  <r>
    <s v="E10135"/>
    <x v="1"/>
    <x v="3"/>
    <s v="Female"/>
    <n v="41"/>
    <s v="36-45"/>
    <x v="1"/>
    <d v="2020-05-04T00:00:00"/>
    <n v="5.7"/>
    <x v="1"/>
    <n v="8400"/>
    <x v="0"/>
    <x v="1"/>
    <n v="3"/>
    <n v="1"/>
    <x v="1"/>
    <m/>
    <x v="2"/>
    <x v="2"/>
    <x v="2"/>
    <n v="1"/>
    <n v="1"/>
    <n v="0"/>
  </r>
  <r>
    <s v="E10136"/>
    <x v="1"/>
    <x v="0"/>
    <s v="Male"/>
    <n v="27"/>
    <s v="26-35"/>
    <x v="1"/>
    <d v="2023-06-16T00:00:00"/>
    <n v="2.5"/>
    <x v="0"/>
    <n v="2950"/>
    <x v="0"/>
    <x v="0"/>
    <n v="3"/>
    <n v="16"/>
    <x v="1"/>
    <m/>
    <x v="2"/>
    <x v="2"/>
    <x v="2"/>
    <n v="1"/>
    <n v="1"/>
    <n v="0"/>
  </r>
  <r>
    <s v="E10137"/>
    <x v="6"/>
    <x v="2"/>
    <s v="Male"/>
    <n v="32"/>
    <s v="26-35"/>
    <x v="1"/>
    <d v="2019-05-03T00:00:00"/>
    <n v="6.7"/>
    <x v="1"/>
    <n v="6450"/>
    <x v="0"/>
    <x v="0"/>
    <n v="3"/>
    <n v="36"/>
    <x v="1"/>
    <m/>
    <x v="2"/>
    <x v="2"/>
    <x v="2"/>
    <n v="1"/>
    <n v="1"/>
    <n v="0"/>
  </r>
  <r>
    <s v="E10138"/>
    <x v="5"/>
    <x v="2"/>
    <s v="Female"/>
    <n v="44"/>
    <s v="36-45"/>
    <x v="1"/>
    <d v="2020-05-10T00:00:00"/>
    <n v="5.6"/>
    <x v="1"/>
    <n v="7700"/>
    <x v="0"/>
    <x v="1"/>
    <n v="3"/>
    <n v="22"/>
    <x v="1"/>
    <m/>
    <x v="2"/>
    <x v="2"/>
    <x v="2"/>
    <n v="1"/>
    <n v="1"/>
    <n v="0"/>
  </r>
  <r>
    <s v="E10139"/>
    <x v="4"/>
    <x v="1"/>
    <s v="Male"/>
    <n v="36"/>
    <s v="36-45"/>
    <x v="1"/>
    <d v="2021-04-03T00:00:00"/>
    <n v="4.7"/>
    <x v="2"/>
    <n v="5500"/>
    <x v="0"/>
    <x v="0"/>
    <n v="3"/>
    <n v="36"/>
    <x v="1"/>
    <m/>
    <x v="2"/>
    <x v="2"/>
    <x v="2"/>
    <n v="1"/>
    <n v="1"/>
    <n v="0"/>
  </r>
  <r>
    <s v="E10140"/>
    <x v="2"/>
    <x v="1"/>
    <s v="Male"/>
    <n v="33"/>
    <s v="26-35"/>
    <x v="1"/>
    <d v="2020-01-24T00:00:00"/>
    <n v="5.7"/>
    <x v="1"/>
    <n v="6550"/>
    <x v="0"/>
    <x v="2"/>
    <n v="2"/>
    <n v="14"/>
    <x v="0"/>
    <d v="2025-10-21T00:00:00"/>
    <x v="1"/>
    <x v="11"/>
    <x v="1"/>
    <n v="1"/>
    <n v="0"/>
    <n v="1"/>
  </r>
  <r>
    <s v="E10141"/>
    <x v="2"/>
    <x v="1"/>
    <s v="Female"/>
    <n v="32"/>
    <s v="26-35"/>
    <x v="1"/>
    <d v="2019-01-11T00:00:00"/>
    <n v="7"/>
    <x v="1"/>
    <n v="6500"/>
    <x v="1"/>
    <x v="1"/>
    <n v="2"/>
    <n v="15"/>
    <x v="1"/>
    <m/>
    <x v="2"/>
    <x v="2"/>
    <x v="2"/>
    <n v="1"/>
    <n v="1"/>
    <n v="0"/>
  </r>
  <r>
    <s v="E10142"/>
    <x v="6"/>
    <x v="0"/>
    <s v="Female"/>
    <n v="27"/>
    <s v="26-35"/>
    <x v="2"/>
    <d v="2023-05-08T00:00:00"/>
    <n v="1.5"/>
    <x v="0"/>
    <n v="4050"/>
    <x v="0"/>
    <x v="0"/>
    <n v="3"/>
    <n v="38"/>
    <x v="0"/>
    <d v="2024-11-19T00:00:00"/>
    <x v="0"/>
    <x v="10"/>
    <x v="5"/>
    <n v="1"/>
    <n v="0"/>
    <n v="1"/>
  </r>
  <r>
    <s v="E10143"/>
    <x v="0"/>
    <x v="2"/>
    <s v="Male"/>
    <n v="43"/>
    <s v="36-45"/>
    <x v="1"/>
    <d v="2016-01-31T00:00:00"/>
    <n v="9.9"/>
    <x v="1"/>
    <n v="5400"/>
    <x v="0"/>
    <x v="0"/>
    <n v="3"/>
    <n v="24"/>
    <x v="1"/>
    <m/>
    <x v="2"/>
    <x v="2"/>
    <x v="2"/>
    <n v="1"/>
    <n v="1"/>
    <n v="0"/>
  </r>
  <r>
    <s v="E10144"/>
    <x v="6"/>
    <x v="1"/>
    <s v="Male"/>
    <n v="25"/>
    <s v="20-25"/>
    <x v="0"/>
    <d v="2023-04-20T00:00:00"/>
    <n v="2.7"/>
    <x v="0"/>
    <n v="5400"/>
    <x v="0"/>
    <x v="1"/>
    <n v="2"/>
    <n v="22"/>
    <x v="1"/>
    <m/>
    <x v="2"/>
    <x v="2"/>
    <x v="2"/>
    <n v="1"/>
    <n v="1"/>
    <n v="0"/>
  </r>
  <r>
    <s v="E10145"/>
    <x v="0"/>
    <x v="1"/>
    <s v="Male"/>
    <n v="30"/>
    <s v="26-35"/>
    <x v="0"/>
    <d v="2021-08-11T00:00:00"/>
    <n v="4.4000000000000004"/>
    <x v="2"/>
    <n v="3250"/>
    <x v="0"/>
    <x v="1"/>
    <n v="3"/>
    <n v="39"/>
    <x v="1"/>
    <m/>
    <x v="2"/>
    <x v="2"/>
    <x v="2"/>
    <n v="1"/>
    <n v="1"/>
    <n v="0"/>
  </r>
  <r>
    <s v="E10146"/>
    <x v="6"/>
    <x v="1"/>
    <s v="Female"/>
    <n v="37"/>
    <s v="36-45"/>
    <x v="1"/>
    <d v="2017-06-14T00:00:00"/>
    <n v="8.5"/>
    <x v="1"/>
    <n v="4600"/>
    <x v="0"/>
    <x v="1"/>
    <n v="3"/>
    <n v="21"/>
    <x v="1"/>
    <m/>
    <x v="2"/>
    <x v="2"/>
    <x v="2"/>
    <n v="1"/>
    <n v="1"/>
    <n v="0"/>
  </r>
  <r>
    <s v="E10147"/>
    <x v="0"/>
    <x v="2"/>
    <s v="Female"/>
    <n v="49"/>
    <s v="46+"/>
    <x v="1"/>
    <d v="2020-06-29T00:00:00"/>
    <n v="5.5"/>
    <x v="1"/>
    <n v="5200"/>
    <x v="0"/>
    <x v="2"/>
    <n v="3"/>
    <n v="15"/>
    <x v="1"/>
    <m/>
    <x v="2"/>
    <x v="2"/>
    <x v="2"/>
    <n v="1"/>
    <n v="1"/>
    <n v="0"/>
  </r>
  <r>
    <s v="E10148"/>
    <x v="0"/>
    <x v="1"/>
    <s v="Female"/>
    <n v="34"/>
    <s v="26-35"/>
    <x v="0"/>
    <d v="2018-08-22T00:00:00"/>
    <n v="7.4"/>
    <x v="1"/>
    <n v="3250"/>
    <x v="0"/>
    <x v="0"/>
    <n v="3"/>
    <n v="18"/>
    <x v="1"/>
    <m/>
    <x v="2"/>
    <x v="2"/>
    <x v="2"/>
    <n v="1"/>
    <n v="1"/>
    <n v="0"/>
  </r>
  <r>
    <s v="E10149"/>
    <x v="1"/>
    <x v="0"/>
    <s v="Male"/>
    <n v="22"/>
    <s v="20-25"/>
    <x v="0"/>
    <d v="2025-05-22T00:00:00"/>
    <n v="0.6"/>
    <x v="3"/>
    <n v="3250"/>
    <x v="0"/>
    <x v="1"/>
    <n v="2"/>
    <n v="20"/>
    <x v="1"/>
    <m/>
    <x v="2"/>
    <x v="2"/>
    <x v="2"/>
    <n v="1"/>
    <n v="1"/>
    <n v="0"/>
  </r>
  <r>
    <s v="E10150"/>
    <x v="3"/>
    <x v="0"/>
    <s v="Male"/>
    <n v="21"/>
    <s v="20-25"/>
    <x v="0"/>
    <d v="2025-12-03T00:00:00"/>
    <n v="0.1"/>
    <x v="3"/>
    <n v="4750"/>
    <x v="0"/>
    <x v="2"/>
    <n v="3"/>
    <n v="39"/>
    <x v="1"/>
    <m/>
    <x v="2"/>
    <x v="2"/>
    <x v="2"/>
    <n v="1"/>
    <n v="1"/>
    <n v="0"/>
  </r>
  <r>
    <s v="E10151"/>
    <x v="5"/>
    <x v="1"/>
    <s v="Male"/>
    <n v="38"/>
    <s v="36-45"/>
    <x v="1"/>
    <d v="2022-12-02T00:00:00"/>
    <n v="3.1"/>
    <x v="2"/>
    <n v="4750"/>
    <x v="0"/>
    <x v="1"/>
    <n v="4"/>
    <n v="43"/>
    <x v="1"/>
    <m/>
    <x v="2"/>
    <x v="2"/>
    <x v="2"/>
    <n v="1"/>
    <n v="1"/>
    <n v="0"/>
  </r>
  <r>
    <s v="E10152"/>
    <x v="0"/>
    <x v="0"/>
    <s v="Female"/>
    <n v="25"/>
    <s v="20-25"/>
    <x v="2"/>
    <d v="2023-12-01T00:00:00"/>
    <n v="1.1000000000000001"/>
    <x v="0"/>
    <n v="2550"/>
    <x v="0"/>
    <x v="1"/>
    <n v="3"/>
    <n v="21"/>
    <x v="0"/>
    <d v="2025-01-15T00:00:00"/>
    <x v="1"/>
    <x v="7"/>
    <x v="0"/>
    <n v="1"/>
    <n v="0"/>
    <n v="1"/>
  </r>
  <r>
    <s v="E10153"/>
    <x v="3"/>
    <x v="0"/>
    <s v="Male"/>
    <n v="28"/>
    <s v="26-35"/>
    <x v="1"/>
    <d v="2023-11-14T00:00:00"/>
    <n v="2.1"/>
    <x v="0"/>
    <n v="7150"/>
    <x v="0"/>
    <x v="2"/>
    <n v="3"/>
    <n v="20"/>
    <x v="1"/>
    <m/>
    <x v="2"/>
    <x v="2"/>
    <x v="2"/>
    <n v="1"/>
    <n v="1"/>
    <n v="0"/>
  </r>
  <r>
    <s v="E10154"/>
    <x v="3"/>
    <x v="1"/>
    <s v="Male"/>
    <n v="37"/>
    <s v="36-45"/>
    <x v="1"/>
    <d v="2020-05-08T00:00:00"/>
    <n v="5.6"/>
    <x v="1"/>
    <n v="7550"/>
    <x v="0"/>
    <x v="0"/>
    <n v="3"/>
    <n v="23"/>
    <x v="1"/>
    <m/>
    <x v="2"/>
    <x v="2"/>
    <x v="2"/>
    <n v="1"/>
    <n v="1"/>
    <n v="0"/>
  </r>
  <r>
    <s v="E10155"/>
    <x v="1"/>
    <x v="1"/>
    <s v="Male"/>
    <n v="36"/>
    <s v="36-45"/>
    <x v="0"/>
    <d v="2022-08-01T00:00:00"/>
    <n v="3.4"/>
    <x v="2"/>
    <n v="4700"/>
    <x v="0"/>
    <x v="1"/>
    <n v="4"/>
    <n v="7"/>
    <x v="1"/>
    <m/>
    <x v="2"/>
    <x v="2"/>
    <x v="2"/>
    <n v="1"/>
    <n v="1"/>
    <n v="0"/>
  </r>
  <r>
    <s v="E10156"/>
    <x v="1"/>
    <x v="3"/>
    <s v="Male"/>
    <n v="46"/>
    <s v="46+"/>
    <x v="1"/>
    <d v="2012-07-14T00:00:00"/>
    <n v="13.5"/>
    <x v="1"/>
    <n v="7950"/>
    <x v="0"/>
    <x v="0"/>
    <n v="3"/>
    <n v="31"/>
    <x v="1"/>
    <m/>
    <x v="2"/>
    <x v="2"/>
    <x v="2"/>
    <n v="1"/>
    <n v="1"/>
    <n v="0"/>
  </r>
  <r>
    <s v="E10157"/>
    <x v="3"/>
    <x v="1"/>
    <s v="Male"/>
    <n v="35"/>
    <s v="26-35"/>
    <x v="0"/>
    <d v="2014-12-14T00:00:00"/>
    <n v="11"/>
    <x v="1"/>
    <n v="9150"/>
    <x v="0"/>
    <x v="1"/>
    <n v="2"/>
    <n v="34"/>
    <x v="1"/>
    <m/>
    <x v="2"/>
    <x v="2"/>
    <x v="2"/>
    <n v="1"/>
    <n v="1"/>
    <n v="0"/>
  </r>
  <r>
    <s v="E10158"/>
    <x v="4"/>
    <x v="2"/>
    <s v="Male"/>
    <n v="33"/>
    <s v="26-35"/>
    <x v="0"/>
    <d v="2016-11-13T00:00:00"/>
    <n v="9.1"/>
    <x v="1"/>
    <n v="7600"/>
    <x v="0"/>
    <x v="0"/>
    <n v="5"/>
    <n v="35"/>
    <x v="1"/>
    <m/>
    <x v="2"/>
    <x v="2"/>
    <x v="2"/>
    <n v="1"/>
    <n v="1"/>
    <n v="0"/>
  </r>
  <r>
    <s v="E10159"/>
    <x v="0"/>
    <x v="0"/>
    <s v="Female"/>
    <n v="25"/>
    <s v="20-25"/>
    <x v="2"/>
    <d v="2025-01-04T00:00:00"/>
    <n v="0.1"/>
    <x v="3"/>
    <n v="3450"/>
    <x v="0"/>
    <x v="1"/>
    <n v="4"/>
    <n v="23"/>
    <x v="0"/>
    <d v="2025-01-27T00:00:00"/>
    <x v="1"/>
    <x v="7"/>
    <x v="0"/>
    <n v="1"/>
    <n v="0"/>
    <n v="1"/>
  </r>
  <r>
    <s v="E10160"/>
    <x v="1"/>
    <x v="1"/>
    <s v="Male"/>
    <n v="28"/>
    <s v="26-35"/>
    <x v="0"/>
    <d v="2021-02-26T00:00:00"/>
    <n v="4.8"/>
    <x v="2"/>
    <n v="3900"/>
    <x v="0"/>
    <x v="4"/>
    <n v="5"/>
    <n v="17"/>
    <x v="1"/>
    <m/>
    <x v="2"/>
    <x v="2"/>
    <x v="2"/>
    <n v="1"/>
    <n v="1"/>
    <n v="0"/>
  </r>
  <r>
    <s v="E10161"/>
    <x v="1"/>
    <x v="1"/>
    <s v="Female"/>
    <n v="33"/>
    <s v="26-35"/>
    <x v="1"/>
    <d v="2020-11-21T00:00:00"/>
    <n v="5.0999999999999996"/>
    <x v="1"/>
    <n v="3700"/>
    <x v="1"/>
    <x v="1"/>
    <n v="4"/>
    <n v="21"/>
    <x v="1"/>
    <m/>
    <x v="2"/>
    <x v="2"/>
    <x v="2"/>
    <n v="1"/>
    <n v="1"/>
    <n v="0"/>
  </r>
  <r>
    <s v="E10162"/>
    <x v="4"/>
    <x v="1"/>
    <s v="Male"/>
    <n v="35"/>
    <s v="26-35"/>
    <x v="1"/>
    <d v="2020-02-01T00:00:00"/>
    <n v="5.9"/>
    <x v="1"/>
    <n v="4900"/>
    <x v="0"/>
    <x v="2"/>
    <n v="3"/>
    <n v="23"/>
    <x v="1"/>
    <m/>
    <x v="2"/>
    <x v="2"/>
    <x v="2"/>
    <n v="1"/>
    <n v="1"/>
    <n v="0"/>
  </r>
  <r>
    <s v="E10163"/>
    <x v="1"/>
    <x v="2"/>
    <s v="Male"/>
    <n v="31"/>
    <s v="26-35"/>
    <x v="0"/>
    <d v="2022-03-29T00:00:00"/>
    <n v="3.8"/>
    <x v="2"/>
    <n v="7400"/>
    <x v="0"/>
    <x v="4"/>
    <n v="4"/>
    <n v="16"/>
    <x v="1"/>
    <m/>
    <x v="2"/>
    <x v="2"/>
    <x v="2"/>
    <n v="1"/>
    <n v="1"/>
    <n v="0"/>
  </r>
  <r>
    <s v="E10164"/>
    <x v="2"/>
    <x v="0"/>
    <s v="Female"/>
    <n v="21"/>
    <s v="20-25"/>
    <x v="1"/>
    <d v="2025-09-23T00:00:00"/>
    <n v="0.3"/>
    <x v="3"/>
    <n v="4400"/>
    <x v="0"/>
    <x v="1"/>
    <n v="4"/>
    <n v="20"/>
    <x v="1"/>
    <m/>
    <x v="2"/>
    <x v="2"/>
    <x v="2"/>
    <n v="1"/>
    <n v="1"/>
    <n v="0"/>
  </r>
  <r>
    <s v="E10165"/>
    <x v="4"/>
    <x v="0"/>
    <s v="Male"/>
    <n v="25"/>
    <s v="20-25"/>
    <x v="1"/>
    <d v="2024-03-21T00:00:00"/>
    <n v="1.8"/>
    <x v="0"/>
    <n v="3750"/>
    <x v="0"/>
    <x v="1"/>
    <n v="3"/>
    <n v="23"/>
    <x v="1"/>
    <m/>
    <x v="2"/>
    <x v="2"/>
    <x v="2"/>
    <n v="1"/>
    <n v="1"/>
    <n v="0"/>
  </r>
  <r>
    <s v="E10166"/>
    <x v="3"/>
    <x v="1"/>
    <s v="Female"/>
    <n v="35"/>
    <s v="26-35"/>
    <x v="0"/>
    <d v="2016-06-09T00:00:00"/>
    <n v="9.5"/>
    <x v="1"/>
    <n v="8600"/>
    <x v="0"/>
    <x v="0"/>
    <n v="3"/>
    <n v="41"/>
    <x v="0"/>
    <d v="2025-12-22T00:00:00"/>
    <x v="1"/>
    <x v="5"/>
    <x v="5"/>
    <n v="1"/>
    <n v="0"/>
    <n v="1"/>
  </r>
  <r>
    <s v="E10167"/>
    <x v="4"/>
    <x v="1"/>
    <s v="Male"/>
    <n v="31"/>
    <s v="26-35"/>
    <x v="1"/>
    <d v="2023-10-31T00:00:00"/>
    <n v="1.7"/>
    <x v="0"/>
    <n v="4250"/>
    <x v="0"/>
    <x v="2"/>
    <n v="3"/>
    <n v="22"/>
    <x v="0"/>
    <d v="2025-07-26T00:00:00"/>
    <x v="1"/>
    <x v="4"/>
    <x v="0"/>
    <n v="1"/>
    <n v="0"/>
    <n v="1"/>
  </r>
  <r>
    <s v="E10168"/>
    <x v="2"/>
    <x v="0"/>
    <s v="Female"/>
    <n v="24"/>
    <s v="20-25"/>
    <x v="0"/>
    <d v="2024-12-06T00:00:00"/>
    <n v="1.1000000000000001"/>
    <x v="0"/>
    <n v="4800"/>
    <x v="0"/>
    <x v="0"/>
    <n v="3"/>
    <n v="1"/>
    <x v="1"/>
    <m/>
    <x v="2"/>
    <x v="2"/>
    <x v="2"/>
    <n v="1"/>
    <n v="1"/>
    <n v="0"/>
  </r>
  <r>
    <s v="E10169"/>
    <x v="2"/>
    <x v="2"/>
    <s v="Male"/>
    <n v="36"/>
    <s v="36-45"/>
    <x v="1"/>
    <d v="2014-06-22T00:00:00"/>
    <n v="11.5"/>
    <x v="1"/>
    <n v="10800"/>
    <x v="0"/>
    <x v="0"/>
    <n v="5"/>
    <n v="15"/>
    <x v="1"/>
    <m/>
    <x v="2"/>
    <x v="2"/>
    <x v="2"/>
    <n v="1"/>
    <n v="1"/>
    <n v="0"/>
  </r>
  <r>
    <s v="E10170"/>
    <x v="5"/>
    <x v="1"/>
    <s v="Female"/>
    <n v="35"/>
    <s v="26-35"/>
    <x v="0"/>
    <d v="2022-03-16T00:00:00"/>
    <n v="3.8"/>
    <x v="2"/>
    <n v="5500"/>
    <x v="1"/>
    <x v="4"/>
    <n v="3"/>
    <n v="26"/>
    <x v="1"/>
    <m/>
    <x v="2"/>
    <x v="2"/>
    <x v="2"/>
    <n v="1"/>
    <n v="1"/>
    <n v="0"/>
  </r>
  <r>
    <s v="E10171"/>
    <x v="5"/>
    <x v="0"/>
    <s v="Male"/>
    <n v="29"/>
    <s v="26-35"/>
    <x v="1"/>
    <d v="2021-03-06T00:00:00"/>
    <n v="4.8"/>
    <x v="2"/>
    <n v="4200"/>
    <x v="1"/>
    <x v="1"/>
    <n v="4"/>
    <n v="33"/>
    <x v="1"/>
    <m/>
    <x v="2"/>
    <x v="2"/>
    <x v="2"/>
    <n v="1"/>
    <n v="1"/>
    <n v="0"/>
  </r>
  <r>
    <s v="E10172"/>
    <x v="0"/>
    <x v="0"/>
    <s v="Male"/>
    <n v="29"/>
    <s v="26-35"/>
    <x v="1"/>
    <d v="2021-01-23T00:00:00"/>
    <n v="4.3"/>
    <x v="2"/>
    <n v="2550"/>
    <x v="0"/>
    <x v="4"/>
    <n v="3"/>
    <n v="28"/>
    <x v="0"/>
    <d v="2025-05-11T00:00:00"/>
    <x v="1"/>
    <x v="9"/>
    <x v="0"/>
    <n v="1"/>
    <n v="0"/>
    <n v="1"/>
  </r>
  <r>
    <s v="E10173"/>
    <x v="1"/>
    <x v="1"/>
    <s v="Female"/>
    <n v="37"/>
    <s v="36-45"/>
    <x v="1"/>
    <d v="2023-11-10T00:00:00"/>
    <n v="2.1"/>
    <x v="0"/>
    <n v="4100"/>
    <x v="0"/>
    <x v="1"/>
    <n v="5"/>
    <n v="24"/>
    <x v="1"/>
    <m/>
    <x v="2"/>
    <x v="2"/>
    <x v="2"/>
    <n v="1"/>
    <n v="1"/>
    <n v="0"/>
  </r>
  <r>
    <s v="E10174"/>
    <x v="1"/>
    <x v="2"/>
    <s v="Female"/>
    <n v="46"/>
    <s v="46+"/>
    <x v="1"/>
    <d v="2014-03-01T00:00:00"/>
    <n v="11.8"/>
    <x v="1"/>
    <n v="7050"/>
    <x v="0"/>
    <x v="4"/>
    <n v="5"/>
    <n v="14"/>
    <x v="1"/>
    <m/>
    <x v="2"/>
    <x v="2"/>
    <x v="2"/>
    <n v="1"/>
    <n v="1"/>
    <n v="0"/>
  </r>
  <r>
    <s v="E10175"/>
    <x v="5"/>
    <x v="1"/>
    <s v="Male"/>
    <n v="34"/>
    <s v="26-35"/>
    <x v="1"/>
    <d v="2019-02-27T00:00:00"/>
    <n v="6.8"/>
    <x v="1"/>
    <n v="4400"/>
    <x v="0"/>
    <x v="2"/>
    <n v="4"/>
    <n v="16"/>
    <x v="1"/>
    <m/>
    <x v="2"/>
    <x v="2"/>
    <x v="2"/>
    <n v="1"/>
    <n v="1"/>
    <n v="0"/>
  </r>
  <r>
    <s v="E10176"/>
    <x v="1"/>
    <x v="0"/>
    <s v="Male"/>
    <n v="26"/>
    <s v="26-35"/>
    <x v="0"/>
    <d v="2025-02-15T00:00:00"/>
    <n v="0.9"/>
    <x v="3"/>
    <n v="3900"/>
    <x v="1"/>
    <x v="4"/>
    <n v="4"/>
    <n v="46"/>
    <x v="1"/>
    <m/>
    <x v="2"/>
    <x v="2"/>
    <x v="2"/>
    <n v="1"/>
    <n v="1"/>
    <n v="0"/>
  </r>
  <r>
    <s v="E10177"/>
    <x v="1"/>
    <x v="2"/>
    <s v="Female"/>
    <n v="48"/>
    <s v="46+"/>
    <x v="0"/>
    <d v="2011-10-12T00:00:00"/>
    <n v="14.2"/>
    <x v="1"/>
    <n v="6100"/>
    <x v="0"/>
    <x v="0"/>
    <n v="3"/>
    <n v="28"/>
    <x v="1"/>
    <m/>
    <x v="2"/>
    <x v="2"/>
    <x v="2"/>
    <n v="1"/>
    <n v="1"/>
    <n v="0"/>
  </r>
  <r>
    <s v="E10178"/>
    <x v="5"/>
    <x v="0"/>
    <s v="Male"/>
    <n v="31"/>
    <s v="26-35"/>
    <x v="0"/>
    <d v="2019-11-16T00:00:00"/>
    <n v="6.1"/>
    <x v="1"/>
    <n v="3900"/>
    <x v="1"/>
    <x v="1"/>
    <n v="3"/>
    <n v="26"/>
    <x v="1"/>
    <m/>
    <x v="2"/>
    <x v="2"/>
    <x v="2"/>
    <n v="1"/>
    <n v="1"/>
    <n v="0"/>
  </r>
  <r>
    <s v="E10179"/>
    <x v="5"/>
    <x v="2"/>
    <s v="Male"/>
    <n v="36"/>
    <s v="36-45"/>
    <x v="0"/>
    <d v="2019-05-18T00:00:00"/>
    <n v="6.6"/>
    <x v="1"/>
    <n v="8900"/>
    <x v="1"/>
    <x v="4"/>
    <n v="5"/>
    <n v="21"/>
    <x v="1"/>
    <m/>
    <x v="2"/>
    <x v="2"/>
    <x v="2"/>
    <n v="1"/>
    <n v="1"/>
    <n v="0"/>
  </r>
  <r>
    <s v="E10180"/>
    <x v="2"/>
    <x v="1"/>
    <s v="Female"/>
    <n v="27"/>
    <s v="26-35"/>
    <x v="1"/>
    <d v="2022-12-02T00:00:00"/>
    <n v="3.1"/>
    <x v="2"/>
    <n v="6050"/>
    <x v="0"/>
    <x v="2"/>
    <n v="4"/>
    <n v="39"/>
    <x v="1"/>
    <m/>
    <x v="2"/>
    <x v="2"/>
    <x v="2"/>
    <n v="1"/>
    <n v="1"/>
    <n v="0"/>
  </r>
  <r>
    <s v="E10181"/>
    <x v="0"/>
    <x v="1"/>
    <s v="Male"/>
    <n v="28"/>
    <s v="26-35"/>
    <x v="1"/>
    <d v="2021-01-23T00:00:00"/>
    <n v="4.9000000000000004"/>
    <x v="2"/>
    <n v="3450"/>
    <x v="0"/>
    <x v="0"/>
    <n v="4"/>
    <n v="18"/>
    <x v="1"/>
    <m/>
    <x v="2"/>
    <x v="2"/>
    <x v="2"/>
    <n v="1"/>
    <n v="1"/>
    <n v="0"/>
  </r>
  <r>
    <s v="E10182"/>
    <x v="3"/>
    <x v="0"/>
    <s v="Female"/>
    <n v="26"/>
    <s v="26-35"/>
    <x v="0"/>
    <d v="2024-09-22T00:00:00"/>
    <n v="1.3"/>
    <x v="0"/>
    <n v="6100"/>
    <x v="1"/>
    <x v="0"/>
    <n v="5"/>
    <n v="33"/>
    <x v="1"/>
    <m/>
    <x v="2"/>
    <x v="2"/>
    <x v="2"/>
    <n v="1"/>
    <n v="1"/>
    <n v="0"/>
  </r>
  <r>
    <s v="E10183"/>
    <x v="2"/>
    <x v="2"/>
    <s v="Female"/>
    <n v="30"/>
    <s v="26-35"/>
    <x v="0"/>
    <d v="2023-05-31T00:00:00"/>
    <n v="2.6"/>
    <x v="0"/>
    <n v="10700"/>
    <x v="1"/>
    <x v="4"/>
    <n v="3"/>
    <n v="10"/>
    <x v="1"/>
    <m/>
    <x v="2"/>
    <x v="2"/>
    <x v="2"/>
    <n v="1"/>
    <n v="1"/>
    <n v="0"/>
  </r>
  <r>
    <s v="E10184"/>
    <x v="0"/>
    <x v="0"/>
    <s v="Female"/>
    <n v="24"/>
    <s v="20-25"/>
    <x v="0"/>
    <d v="2023-10-23T00:00:00"/>
    <n v="2"/>
    <x v="0"/>
    <n v="2600"/>
    <x v="1"/>
    <x v="1"/>
    <n v="3"/>
    <n v="26"/>
    <x v="0"/>
    <d v="2025-11-09T00:00:00"/>
    <x v="1"/>
    <x v="10"/>
    <x v="1"/>
    <n v="1"/>
    <n v="0"/>
    <n v="1"/>
  </r>
  <r>
    <s v="E10185"/>
    <x v="5"/>
    <x v="1"/>
    <s v="Female"/>
    <n v="35"/>
    <s v="26-35"/>
    <x v="1"/>
    <d v="2019-08-17T00:00:00"/>
    <n v="6.4"/>
    <x v="1"/>
    <n v="5600"/>
    <x v="0"/>
    <x v="0"/>
    <n v="3"/>
    <n v="8"/>
    <x v="1"/>
    <m/>
    <x v="2"/>
    <x v="2"/>
    <x v="2"/>
    <n v="1"/>
    <n v="1"/>
    <n v="0"/>
  </r>
  <r>
    <s v="E10186"/>
    <x v="4"/>
    <x v="2"/>
    <s v="Male"/>
    <n v="41"/>
    <s v="36-45"/>
    <x v="0"/>
    <d v="2014-02-19T00:00:00"/>
    <n v="11.9"/>
    <x v="1"/>
    <n v="8400"/>
    <x v="0"/>
    <x v="1"/>
    <n v="4"/>
    <n v="30"/>
    <x v="1"/>
    <m/>
    <x v="2"/>
    <x v="2"/>
    <x v="2"/>
    <n v="1"/>
    <n v="1"/>
    <n v="0"/>
  </r>
  <r>
    <s v="E10187"/>
    <x v="4"/>
    <x v="1"/>
    <s v="Female"/>
    <n v="27"/>
    <s v="26-35"/>
    <x v="2"/>
    <d v="2022-12-15T00:00:00"/>
    <n v="3"/>
    <x v="0"/>
    <n v="5750"/>
    <x v="0"/>
    <x v="0"/>
    <n v="4"/>
    <n v="17"/>
    <x v="1"/>
    <m/>
    <x v="2"/>
    <x v="2"/>
    <x v="2"/>
    <n v="1"/>
    <n v="1"/>
    <n v="0"/>
  </r>
  <r>
    <s v="E10188"/>
    <x v="5"/>
    <x v="1"/>
    <s v="Female"/>
    <n v="35"/>
    <s v="26-35"/>
    <x v="0"/>
    <d v="2016-10-16T00:00:00"/>
    <n v="9.1999999999999993"/>
    <x v="1"/>
    <n v="5000"/>
    <x v="0"/>
    <x v="1"/>
    <n v="3"/>
    <n v="18"/>
    <x v="1"/>
    <m/>
    <x v="2"/>
    <x v="2"/>
    <x v="2"/>
    <n v="1"/>
    <n v="1"/>
    <n v="0"/>
  </r>
  <r>
    <s v="E10189"/>
    <x v="6"/>
    <x v="0"/>
    <s v="Male"/>
    <n v="31"/>
    <s v="26-35"/>
    <x v="1"/>
    <d v="2019-11-12T00:00:00"/>
    <n v="4.2"/>
    <x v="2"/>
    <n v="3250"/>
    <x v="0"/>
    <x v="4"/>
    <n v="2"/>
    <n v="23"/>
    <x v="0"/>
    <d v="2024-01-15T00:00:00"/>
    <x v="0"/>
    <x v="7"/>
    <x v="0"/>
    <n v="1"/>
    <n v="0"/>
    <n v="1"/>
  </r>
  <r>
    <s v="E10190"/>
    <x v="2"/>
    <x v="1"/>
    <s v="Female"/>
    <n v="32"/>
    <s v="26-35"/>
    <x v="1"/>
    <d v="2023-12-17T00:00:00"/>
    <n v="2"/>
    <x v="0"/>
    <n v="6650"/>
    <x v="0"/>
    <x v="1"/>
    <n v="3"/>
    <n v="19"/>
    <x v="1"/>
    <m/>
    <x v="2"/>
    <x v="2"/>
    <x v="2"/>
    <n v="1"/>
    <n v="1"/>
    <n v="0"/>
  </r>
  <r>
    <s v="E10191"/>
    <x v="3"/>
    <x v="1"/>
    <s v="Male"/>
    <n v="28"/>
    <s v="26-35"/>
    <x v="0"/>
    <d v="2023-01-20T00:00:00"/>
    <n v="2.9"/>
    <x v="0"/>
    <n v="7450"/>
    <x v="0"/>
    <x v="2"/>
    <n v="5"/>
    <n v="31"/>
    <x v="1"/>
    <m/>
    <x v="2"/>
    <x v="2"/>
    <x v="2"/>
    <n v="1"/>
    <n v="1"/>
    <n v="0"/>
  </r>
  <r>
    <s v="E10192"/>
    <x v="0"/>
    <x v="0"/>
    <s v="Female"/>
    <n v="25"/>
    <s v="20-25"/>
    <x v="1"/>
    <d v="2023-05-14T00:00:00"/>
    <n v="2.2999999999999998"/>
    <x v="0"/>
    <n v="3200"/>
    <x v="1"/>
    <x v="1"/>
    <n v="3"/>
    <n v="35"/>
    <x v="0"/>
    <d v="2025-09-11T00:00:00"/>
    <x v="1"/>
    <x v="12"/>
    <x v="3"/>
    <n v="1"/>
    <n v="0"/>
    <n v="1"/>
  </r>
  <r>
    <s v="E10193"/>
    <x v="0"/>
    <x v="1"/>
    <s v="Male"/>
    <n v="39"/>
    <s v="36-45"/>
    <x v="0"/>
    <d v="2013-07-20T00:00:00"/>
    <n v="11.5"/>
    <x v="1"/>
    <n v="3050"/>
    <x v="0"/>
    <x v="2"/>
    <n v="5"/>
    <n v="23"/>
    <x v="0"/>
    <d v="2025-01-06T00:00:00"/>
    <x v="1"/>
    <x v="7"/>
    <x v="0"/>
    <n v="1"/>
    <n v="0"/>
    <n v="1"/>
  </r>
  <r>
    <s v="E10194"/>
    <x v="0"/>
    <x v="1"/>
    <s v="Female"/>
    <n v="35"/>
    <s v="26-35"/>
    <x v="2"/>
    <d v="2015-07-29T00:00:00"/>
    <n v="10.4"/>
    <x v="1"/>
    <n v="3400"/>
    <x v="0"/>
    <x v="1"/>
    <n v="3"/>
    <n v="26"/>
    <x v="1"/>
    <m/>
    <x v="2"/>
    <x v="2"/>
    <x v="2"/>
    <n v="1"/>
    <n v="1"/>
    <n v="0"/>
  </r>
  <r>
    <s v="E10195"/>
    <x v="0"/>
    <x v="2"/>
    <s v="Female"/>
    <n v="32"/>
    <s v="26-35"/>
    <x v="0"/>
    <d v="2022-01-22T00:00:00"/>
    <n v="3.9"/>
    <x v="2"/>
    <n v="6300"/>
    <x v="0"/>
    <x v="3"/>
    <n v="3"/>
    <n v="17"/>
    <x v="1"/>
    <m/>
    <x v="2"/>
    <x v="2"/>
    <x v="2"/>
    <n v="1"/>
    <n v="1"/>
    <n v="0"/>
  </r>
  <r>
    <s v="E10196"/>
    <x v="1"/>
    <x v="2"/>
    <s v="Female"/>
    <n v="29"/>
    <s v="26-35"/>
    <x v="1"/>
    <d v="2021-10-31T00:00:00"/>
    <n v="4.2"/>
    <x v="2"/>
    <n v="6850"/>
    <x v="0"/>
    <x v="1"/>
    <n v="2"/>
    <n v="10"/>
    <x v="1"/>
    <m/>
    <x v="2"/>
    <x v="2"/>
    <x v="2"/>
    <n v="1"/>
    <n v="1"/>
    <n v="0"/>
  </r>
  <r>
    <s v="E10197"/>
    <x v="2"/>
    <x v="1"/>
    <s v="Male"/>
    <n v="21"/>
    <s v="20-25"/>
    <x v="1"/>
    <d v="2025-11-17T00:00:00"/>
    <n v="0.1"/>
    <x v="3"/>
    <n v="6350"/>
    <x v="0"/>
    <x v="0"/>
    <n v="4"/>
    <n v="31"/>
    <x v="1"/>
    <m/>
    <x v="2"/>
    <x v="2"/>
    <x v="2"/>
    <n v="1"/>
    <n v="1"/>
    <n v="0"/>
  </r>
  <r>
    <s v="E10198"/>
    <x v="1"/>
    <x v="0"/>
    <s v="Male"/>
    <n v="31"/>
    <s v="26-35"/>
    <x v="1"/>
    <d v="2022-02-19T00:00:00"/>
    <n v="2.6"/>
    <x v="0"/>
    <n v="3700"/>
    <x v="1"/>
    <x v="1"/>
    <n v="5"/>
    <n v="16"/>
    <x v="0"/>
    <d v="2024-09-15T00:00:00"/>
    <x v="0"/>
    <x v="12"/>
    <x v="3"/>
    <n v="1"/>
    <n v="0"/>
    <n v="1"/>
  </r>
  <r>
    <s v="E10199"/>
    <x v="0"/>
    <x v="0"/>
    <s v="Male"/>
    <n v="22"/>
    <s v="20-25"/>
    <x v="2"/>
    <d v="2025-07-22T00:00:00"/>
    <n v="0.4"/>
    <x v="3"/>
    <n v="3050"/>
    <x v="0"/>
    <x v="1"/>
    <n v="3"/>
    <n v="31"/>
    <x v="0"/>
    <d v="2025-12-02T00:00:00"/>
    <x v="1"/>
    <x v="5"/>
    <x v="1"/>
    <n v="1"/>
    <n v="0"/>
    <n v="1"/>
  </r>
  <r>
    <s v="E10200"/>
    <x v="2"/>
    <x v="3"/>
    <s v="Male"/>
    <n v="48"/>
    <s v="46+"/>
    <x v="1"/>
    <d v="2017-10-24T00:00:00"/>
    <n v="8.1999999999999993"/>
    <x v="1"/>
    <n v="13250"/>
    <x v="0"/>
    <x v="1"/>
    <n v="3"/>
    <n v="14"/>
    <x v="1"/>
    <m/>
    <x v="2"/>
    <x v="2"/>
    <x v="2"/>
    <n v="1"/>
    <n v="1"/>
    <n v="0"/>
  </r>
  <r>
    <s v="E10201"/>
    <x v="1"/>
    <x v="0"/>
    <s v="Male"/>
    <n v="28"/>
    <s v="26-35"/>
    <x v="0"/>
    <d v="2022-06-02T00:00:00"/>
    <n v="3.6"/>
    <x v="2"/>
    <n v="3750"/>
    <x v="0"/>
    <x v="0"/>
    <n v="3"/>
    <n v="26"/>
    <x v="1"/>
    <m/>
    <x v="2"/>
    <x v="2"/>
    <x v="2"/>
    <n v="1"/>
    <n v="1"/>
    <n v="0"/>
  </r>
  <r>
    <s v="E10202"/>
    <x v="0"/>
    <x v="1"/>
    <s v="Female"/>
    <n v="31"/>
    <s v="26-35"/>
    <x v="0"/>
    <d v="2021-12-23T00:00:00"/>
    <n v="4"/>
    <x v="2"/>
    <n v="3300"/>
    <x v="0"/>
    <x v="1"/>
    <n v="3"/>
    <n v="15"/>
    <x v="1"/>
    <m/>
    <x v="2"/>
    <x v="2"/>
    <x v="2"/>
    <n v="1"/>
    <n v="1"/>
    <n v="0"/>
  </r>
  <r>
    <s v="E10203"/>
    <x v="4"/>
    <x v="1"/>
    <s v="Male"/>
    <n v="42"/>
    <s v="36-45"/>
    <x v="1"/>
    <d v="2017-08-18T00:00:00"/>
    <n v="8.4"/>
    <x v="1"/>
    <n v="7150"/>
    <x v="0"/>
    <x v="0"/>
    <n v="3"/>
    <n v="30"/>
    <x v="1"/>
    <m/>
    <x v="2"/>
    <x v="2"/>
    <x v="2"/>
    <n v="1"/>
    <n v="1"/>
    <n v="0"/>
  </r>
  <r>
    <s v="E10204"/>
    <x v="6"/>
    <x v="1"/>
    <s v="Male"/>
    <n v="41"/>
    <s v="36-45"/>
    <x v="2"/>
    <d v="2018-06-25T00:00:00"/>
    <n v="7.5"/>
    <x v="1"/>
    <n v="4850"/>
    <x v="1"/>
    <x v="2"/>
    <n v="3"/>
    <n v="43"/>
    <x v="1"/>
    <m/>
    <x v="2"/>
    <x v="2"/>
    <x v="2"/>
    <n v="1"/>
    <n v="1"/>
    <n v="0"/>
  </r>
  <r>
    <s v="E10205"/>
    <x v="1"/>
    <x v="2"/>
    <s v="Male"/>
    <n v="40"/>
    <s v="36-45"/>
    <x v="0"/>
    <d v="2011-08-14T00:00:00"/>
    <n v="14.4"/>
    <x v="1"/>
    <n v="8150"/>
    <x v="0"/>
    <x v="0"/>
    <n v="3"/>
    <n v="13"/>
    <x v="1"/>
    <m/>
    <x v="2"/>
    <x v="2"/>
    <x v="2"/>
    <n v="1"/>
    <n v="1"/>
    <n v="0"/>
  </r>
  <r>
    <s v="E10206"/>
    <x v="1"/>
    <x v="3"/>
    <s v="Male"/>
    <n v="51"/>
    <s v="46+"/>
    <x v="0"/>
    <d v="2023-07-19T00:00:00"/>
    <n v="2.5"/>
    <x v="0"/>
    <n v="8350"/>
    <x v="1"/>
    <x v="0"/>
    <n v="5"/>
    <n v="26"/>
    <x v="1"/>
    <m/>
    <x v="2"/>
    <x v="2"/>
    <x v="2"/>
    <n v="1"/>
    <n v="1"/>
    <n v="0"/>
  </r>
  <r>
    <s v="E10207"/>
    <x v="5"/>
    <x v="3"/>
    <s v="Female"/>
    <n v="48"/>
    <s v="46+"/>
    <x v="2"/>
    <d v="2019-08-10T00:00:00"/>
    <n v="6.4"/>
    <x v="1"/>
    <n v="8600"/>
    <x v="0"/>
    <x v="1"/>
    <n v="5"/>
    <n v="12"/>
    <x v="1"/>
    <m/>
    <x v="2"/>
    <x v="2"/>
    <x v="2"/>
    <n v="1"/>
    <n v="1"/>
    <n v="0"/>
  </r>
  <r>
    <s v="E10208"/>
    <x v="3"/>
    <x v="3"/>
    <s v="Female"/>
    <n v="44"/>
    <s v="36-45"/>
    <x v="2"/>
    <d v="2019-07-18T00:00:00"/>
    <n v="6.5"/>
    <x v="1"/>
    <n v="14200"/>
    <x v="0"/>
    <x v="2"/>
    <n v="4"/>
    <n v="21"/>
    <x v="1"/>
    <m/>
    <x v="2"/>
    <x v="2"/>
    <x v="2"/>
    <n v="1"/>
    <n v="1"/>
    <n v="0"/>
  </r>
  <r>
    <s v="E10209"/>
    <x v="1"/>
    <x v="0"/>
    <s v="Female"/>
    <n v="30"/>
    <s v="26-35"/>
    <x v="1"/>
    <d v="2020-07-23T00:00:00"/>
    <n v="4"/>
    <x v="2"/>
    <n v="2850"/>
    <x v="1"/>
    <x v="4"/>
    <n v="4"/>
    <n v="8"/>
    <x v="0"/>
    <d v="2024-08-10T00:00:00"/>
    <x v="0"/>
    <x v="1"/>
    <x v="5"/>
    <n v="1"/>
    <n v="0"/>
    <n v="1"/>
  </r>
  <r>
    <s v="E10210"/>
    <x v="5"/>
    <x v="1"/>
    <s v="Male"/>
    <n v="25"/>
    <s v="20-25"/>
    <x v="1"/>
    <d v="2024-02-25T00:00:00"/>
    <n v="1.8"/>
    <x v="0"/>
    <n v="4850"/>
    <x v="1"/>
    <x v="1"/>
    <n v="3"/>
    <n v="32"/>
    <x v="1"/>
    <m/>
    <x v="2"/>
    <x v="2"/>
    <x v="2"/>
    <n v="1"/>
    <n v="1"/>
    <n v="0"/>
  </r>
  <r>
    <s v="E10211"/>
    <x v="6"/>
    <x v="1"/>
    <s v="Male"/>
    <n v="35"/>
    <s v="26-35"/>
    <x v="1"/>
    <d v="2019-01-20T00:00:00"/>
    <n v="6.9"/>
    <x v="1"/>
    <n v="5650"/>
    <x v="1"/>
    <x v="4"/>
    <n v="4"/>
    <n v="18"/>
    <x v="1"/>
    <m/>
    <x v="2"/>
    <x v="2"/>
    <x v="2"/>
    <n v="1"/>
    <n v="1"/>
    <n v="0"/>
  </r>
  <r>
    <s v="E10212"/>
    <x v="5"/>
    <x v="3"/>
    <s v="Male"/>
    <n v="44"/>
    <s v="36-45"/>
    <x v="2"/>
    <d v="2017-11-28T00:00:00"/>
    <n v="6.1"/>
    <x v="1"/>
    <n v="9900"/>
    <x v="1"/>
    <x v="4"/>
    <n v="3"/>
    <n v="29"/>
    <x v="0"/>
    <d v="2024-01-06T00:00:00"/>
    <x v="0"/>
    <x v="7"/>
    <x v="5"/>
    <n v="1"/>
    <n v="0"/>
    <n v="1"/>
  </r>
  <r>
    <s v="E10213"/>
    <x v="0"/>
    <x v="3"/>
    <s v="Male"/>
    <n v="44"/>
    <s v="36-45"/>
    <x v="0"/>
    <d v="2015-09-22T00:00:00"/>
    <n v="10.3"/>
    <x v="1"/>
    <n v="7850"/>
    <x v="1"/>
    <x v="1"/>
    <n v="3"/>
    <n v="32"/>
    <x v="1"/>
    <m/>
    <x v="2"/>
    <x v="2"/>
    <x v="2"/>
    <n v="1"/>
    <n v="1"/>
    <n v="0"/>
  </r>
  <r>
    <s v="E10214"/>
    <x v="1"/>
    <x v="0"/>
    <s v="Male"/>
    <n v="32"/>
    <s v="26-35"/>
    <x v="0"/>
    <d v="2019-01-14T00:00:00"/>
    <n v="5.4"/>
    <x v="1"/>
    <n v="3700"/>
    <x v="1"/>
    <x v="1"/>
    <n v="5"/>
    <n v="30"/>
    <x v="0"/>
    <d v="2024-06-26T00:00:00"/>
    <x v="0"/>
    <x v="0"/>
    <x v="4"/>
    <n v="1"/>
    <n v="0"/>
    <n v="1"/>
  </r>
  <r>
    <s v="E10215"/>
    <x v="5"/>
    <x v="1"/>
    <s v="Male"/>
    <n v="29"/>
    <s v="26-35"/>
    <x v="1"/>
    <d v="2022-11-20T00:00:00"/>
    <n v="2.1"/>
    <x v="0"/>
    <n v="6350"/>
    <x v="1"/>
    <x v="4"/>
    <n v="3"/>
    <n v="21"/>
    <x v="0"/>
    <d v="2025-01-06T00:00:00"/>
    <x v="1"/>
    <x v="7"/>
    <x v="5"/>
    <n v="1"/>
    <n v="0"/>
    <n v="1"/>
  </r>
  <r>
    <s v="E10216"/>
    <x v="6"/>
    <x v="2"/>
    <s v="Male"/>
    <n v="45"/>
    <s v="36-45"/>
    <x v="1"/>
    <d v="2015-05-25T00:00:00"/>
    <n v="10.6"/>
    <x v="1"/>
    <n v="7700"/>
    <x v="1"/>
    <x v="0"/>
    <n v="2"/>
    <n v="29"/>
    <x v="1"/>
    <m/>
    <x v="2"/>
    <x v="2"/>
    <x v="2"/>
    <n v="1"/>
    <n v="1"/>
    <n v="0"/>
  </r>
  <r>
    <s v="E10217"/>
    <x v="3"/>
    <x v="2"/>
    <s v="Female"/>
    <n v="31"/>
    <s v="26-35"/>
    <x v="0"/>
    <d v="2019-11-21T00:00:00"/>
    <n v="6.1"/>
    <x v="1"/>
    <n v="11050"/>
    <x v="0"/>
    <x v="1"/>
    <n v="4"/>
    <n v="11"/>
    <x v="1"/>
    <m/>
    <x v="2"/>
    <x v="2"/>
    <x v="2"/>
    <n v="1"/>
    <n v="1"/>
    <n v="0"/>
  </r>
  <r>
    <s v="E10218"/>
    <x v="3"/>
    <x v="2"/>
    <s v="Male"/>
    <n v="41"/>
    <s v="36-45"/>
    <x v="1"/>
    <d v="2022-05-17T00:00:00"/>
    <n v="3.6"/>
    <x v="2"/>
    <n v="12000"/>
    <x v="0"/>
    <x v="0"/>
    <n v="5"/>
    <n v="21"/>
    <x v="1"/>
    <m/>
    <x v="2"/>
    <x v="2"/>
    <x v="2"/>
    <n v="1"/>
    <n v="1"/>
    <n v="0"/>
  </r>
  <r>
    <s v="E10219"/>
    <x v="3"/>
    <x v="1"/>
    <s v="Female"/>
    <n v="36"/>
    <s v="36-45"/>
    <x v="1"/>
    <d v="2014-07-12T00:00:00"/>
    <n v="9.8000000000000007"/>
    <x v="1"/>
    <n v="8000"/>
    <x v="1"/>
    <x v="1"/>
    <n v="3"/>
    <n v="26"/>
    <x v="0"/>
    <d v="2024-04-21T00:00:00"/>
    <x v="0"/>
    <x v="8"/>
    <x v="3"/>
    <n v="1"/>
    <n v="0"/>
    <n v="1"/>
  </r>
  <r>
    <s v="E10220"/>
    <x v="6"/>
    <x v="2"/>
    <s v="Female"/>
    <n v="30"/>
    <s v="26-35"/>
    <x v="1"/>
    <d v="2022-07-25T00:00:00"/>
    <n v="3.4"/>
    <x v="2"/>
    <n v="7600"/>
    <x v="0"/>
    <x v="2"/>
    <n v="4"/>
    <n v="15"/>
    <x v="1"/>
    <m/>
    <x v="2"/>
    <x v="2"/>
    <x v="2"/>
    <n v="1"/>
    <n v="1"/>
    <n v="0"/>
  </r>
  <r>
    <s v="E10221"/>
    <x v="4"/>
    <x v="0"/>
    <s v="Female"/>
    <n v="24"/>
    <s v="20-25"/>
    <x v="0"/>
    <d v="2023-10-19T00:00:00"/>
    <n v="2.2000000000000002"/>
    <x v="0"/>
    <n v="4400"/>
    <x v="0"/>
    <x v="1"/>
    <n v="3"/>
    <n v="18"/>
    <x v="1"/>
    <m/>
    <x v="2"/>
    <x v="2"/>
    <x v="2"/>
    <n v="1"/>
    <n v="1"/>
    <n v="0"/>
  </r>
  <r>
    <s v="E10222"/>
    <x v="5"/>
    <x v="0"/>
    <s v="Male"/>
    <n v="23"/>
    <s v="20-25"/>
    <x v="1"/>
    <d v="2025-08-12T00:00:00"/>
    <n v="0.4"/>
    <x v="3"/>
    <n v="4400"/>
    <x v="1"/>
    <x v="0"/>
    <n v="3"/>
    <n v="7"/>
    <x v="1"/>
    <m/>
    <x v="2"/>
    <x v="2"/>
    <x v="2"/>
    <n v="1"/>
    <n v="1"/>
    <n v="0"/>
  </r>
  <r>
    <s v="E10223"/>
    <x v="5"/>
    <x v="0"/>
    <s v="Female"/>
    <n v="21"/>
    <s v="20-25"/>
    <x v="0"/>
    <d v="2025-10-03T00:00:00"/>
    <n v="0.2"/>
    <x v="3"/>
    <n v="3850"/>
    <x v="1"/>
    <x v="1"/>
    <n v="4"/>
    <n v="30"/>
    <x v="1"/>
    <m/>
    <x v="2"/>
    <x v="2"/>
    <x v="2"/>
    <n v="1"/>
    <n v="1"/>
    <n v="0"/>
  </r>
  <r>
    <s v="E10224"/>
    <x v="5"/>
    <x v="0"/>
    <s v="Male"/>
    <n v="23"/>
    <s v="20-25"/>
    <x v="1"/>
    <d v="2024-08-16T00:00:00"/>
    <n v="0.5"/>
    <x v="3"/>
    <n v="4450"/>
    <x v="0"/>
    <x v="1"/>
    <n v="4"/>
    <n v="33"/>
    <x v="0"/>
    <d v="2025-02-07T00:00:00"/>
    <x v="1"/>
    <x v="6"/>
    <x v="5"/>
    <n v="1"/>
    <n v="0"/>
    <n v="1"/>
  </r>
  <r>
    <s v="E10225"/>
    <x v="0"/>
    <x v="0"/>
    <s v="Female"/>
    <n v="31"/>
    <s v="26-35"/>
    <x v="1"/>
    <d v="2021-01-07T00:00:00"/>
    <n v="3.2"/>
    <x v="2"/>
    <n v="2800"/>
    <x v="1"/>
    <x v="0"/>
    <n v="2"/>
    <n v="30"/>
    <x v="0"/>
    <d v="2024-04-06T00:00:00"/>
    <x v="0"/>
    <x v="8"/>
    <x v="1"/>
    <n v="1"/>
    <n v="0"/>
    <n v="1"/>
  </r>
  <r>
    <s v="E10226"/>
    <x v="3"/>
    <x v="0"/>
    <s v="Female"/>
    <n v="24"/>
    <s v="20-25"/>
    <x v="1"/>
    <d v="2024-05-28T00:00:00"/>
    <n v="1.6"/>
    <x v="0"/>
    <n v="7000"/>
    <x v="1"/>
    <x v="1"/>
    <n v="3"/>
    <n v="20"/>
    <x v="1"/>
    <m/>
    <x v="2"/>
    <x v="2"/>
    <x v="2"/>
    <n v="1"/>
    <n v="1"/>
    <n v="0"/>
  </r>
  <r>
    <s v="E10227"/>
    <x v="0"/>
    <x v="0"/>
    <s v="Male"/>
    <n v="29"/>
    <s v="26-35"/>
    <x v="2"/>
    <d v="2022-02-05T00:00:00"/>
    <n v="3.9"/>
    <x v="2"/>
    <n v="2550"/>
    <x v="1"/>
    <x v="4"/>
    <n v="3"/>
    <n v="45"/>
    <x v="1"/>
    <m/>
    <x v="2"/>
    <x v="2"/>
    <x v="2"/>
    <n v="1"/>
    <n v="1"/>
    <n v="0"/>
  </r>
  <r>
    <s v="E10228"/>
    <x v="3"/>
    <x v="0"/>
    <s v="Male"/>
    <n v="24"/>
    <s v="20-25"/>
    <x v="0"/>
    <d v="2024-09-07T00:00:00"/>
    <n v="1.3"/>
    <x v="0"/>
    <n v="7450"/>
    <x v="0"/>
    <x v="4"/>
    <n v="3"/>
    <n v="20"/>
    <x v="1"/>
    <m/>
    <x v="2"/>
    <x v="2"/>
    <x v="2"/>
    <n v="1"/>
    <n v="1"/>
    <n v="0"/>
  </r>
  <r>
    <s v="E10229"/>
    <x v="3"/>
    <x v="1"/>
    <s v="Male"/>
    <n v="31"/>
    <s v="26-35"/>
    <x v="1"/>
    <d v="2022-09-30T00:00:00"/>
    <n v="3.3"/>
    <x v="2"/>
    <n v="7700"/>
    <x v="0"/>
    <x v="2"/>
    <n v="4"/>
    <n v="20"/>
    <x v="1"/>
    <m/>
    <x v="2"/>
    <x v="2"/>
    <x v="2"/>
    <n v="1"/>
    <n v="1"/>
    <n v="0"/>
  </r>
  <r>
    <s v="E10230"/>
    <x v="1"/>
    <x v="2"/>
    <s v="Male"/>
    <n v="47"/>
    <s v="46+"/>
    <x v="1"/>
    <d v="2021-03-19T00:00:00"/>
    <n v="4.8"/>
    <x v="2"/>
    <n v="6950"/>
    <x v="0"/>
    <x v="0"/>
    <n v="4"/>
    <n v="29"/>
    <x v="1"/>
    <m/>
    <x v="2"/>
    <x v="2"/>
    <x v="2"/>
    <n v="1"/>
    <n v="1"/>
    <n v="0"/>
  </r>
  <r>
    <s v="E10231"/>
    <x v="1"/>
    <x v="0"/>
    <s v="Male"/>
    <n v="21"/>
    <s v="20-25"/>
    <x v="1"/>
    <d v="2025-11-30T00:00:00"/>
    <n v="0.1"/>
    <x v="3"/>
    <n v="3950"/>
    <x v="1"/>
    <x v="1"/>
    <n v="3"/>
    <n v="15"/>
    <x v="1"/>
    <m/>
    <x v="2"/>
    <x v="2"/>
    <x v="2"/>
    <n v="1"/>
    <n v="1"/>
    <n v="0"/>
  </r>
  <r>
    <s v="E10232"/>
    <x v="2"/>
    <x v="1"/>
    <s v="Female"/>
    <n v="38"/>
    <s v="36-45"/>
    <x v="0"/>
    <d v="2016-01-10T00:00:00"/>
    <n v="10"/>
    <x v="1"/>
    <n v="6000"/>
    <x v="0"/>
    <x v="1"/>
    <n v="5"/>
    <n v="19"/>
    <x v="1"/>
    <m/>
    <x v="2"/>
    <x v="2"/>
    <x v="2"/>
    <n v="1"/>
    <n v="1"/>
    <n v="0"/>
  </r>
  <r>
    <s v="E10233"/>
    <x v="4"/>
    <x v="0"/>
    <s v="Female"/>
    <n v="28"/>
    <s v="26-35"/>
    <x v="1"/>
    <d v="2020-07-25T00:00:00"/>
    <n v="5.4"/>
    <x v="1"/>
    <n v="5250"/>
    <x v="0"/>
    <x v="1"/>
    <n v="2"/>
    <n v="33"/>
    <x v="1"/>
    <m/>
    <x v="2"/>
    <x v="2"/>
    <x v="2"/>
    <n v="1"/>
    <n v="1"/>
    <n v="0"/>
  </r>
  <r>
    <s v="E10234"/>
    <x v="2"/>
    <x v="1"/>
    <s v="Female"/>
    <n v="34"/>
    <s v="26-35"/>
    <x v="0"/>
    <d v="2017-12-24T00:00:00"/>
    <n v="8"/>
    <x v="1"/>
    <n v="7050"/>
    <x v="0"/>
    <x v="1"/>
    <n v="3"/>
    <n v="31"/>
    <x v="1"/>
    <m/>
    <x v="2"/>
    <x v="2"/>
    <x v="2"/>
    <n v="1"/>
    <n v="1"/>
    <n v="0"/>
  </r>
  <r>
    <s v="E10235"/>
    <x v="1"/>
    <x v="2"/>
    <s v="Male"/>
    <n v="35"/>
    <s v="26-35"/>
    <x v="1"/>
    <d v="2023-12-11T00:00:00"/>
    <n v="2.1"/>
    <x v="0"/>
    <n v="5700"/>
    <x v="1"/>
    <x v="2"/>
    <n v="4"/>
    <n v="23"/>
    <x v="1"/>
    <m/>
    <x v="2"/>
    <x v="2"/>
    <x v="2"/>
    <n v="1"/>
    <n v="1"/>
    <n v="0"/>
  </r>
  <r>
    <s v="E10236"/>
    <x v="5"/>
    <x v="0"/>
    <s v="Female"/>
    <n v="23"/>
    <s v="20-25"/>
    <x v="1"/>
    <d v="2024-08-26T00:00:00"/>
    <n v="0.6"/>
    <x v="3"/>
    <n v="4050"/>
    <x v="1"/>
    <x v="1"/>
    <n v="2"/>
    <n v="0"/>
    <x v="0"/>
    <d v="2025-04-12T00:00:00"/>
    <x v="1"/>
    <x v="8"/>
    <x v="5"/>
    <n v="1"/>
    <n v="0"/>
    <n v="1"/>
  </r>
  <r>
    <s v="E10237"/>
    <x v="5"/>
    <x v="0"/>
    <s v="Female"/>
    <n v="23"/>
    <s v="20-25"/>
    <x v="1"/>
    <d v="2024-11-02T00:00:00"/>
    <n v="0.8"/>
    <x v="3"/>
    <n v="3700"/>
    <x v="0"/>
    <x v="1"/>
    <n v="2"/>
    <n v="28"/>
    <x v="0"/>
    <d v="2025-08-12T00:00:00"/>
    <x v="1"/>
    <x v="1"/>
    <x v="5"/>
    <n v="1"/>
    <n v="0"/>
    <n v="1"/>
  </r>
  <r>
    <s v="E10238"/>
    <x v="3"/>
    <x v="1"/>
    <s v="Male"/>
    <n v="29"/>
    <s v="26-35"/>
    <x v="0"/>
    <d v="2024-09-23T00:00:00"/>
    <n v="1.3"/>
    <x v="0"/>
    <n v="8500"/>
    <x v="0"/>
    <x v="0"/>
    <n v="2"/>
    <n v="16"/>
    <x v="1"/>
    <m/>
    <x v="2"/>
    <x v="2"/>
    <x v="2"/>
    <n v="1"/>
    <n v="1"/>
    <n v="0"/>
  </r>
  <r>
    <s v="E10239"/>
    <x v="3"/>
    <x v="0"/>
    <s v="Female"/>
    <n v="37"/>
    <s v="36-45"/>
    <x v="1"/>
    <d v="2016-02-16T00:00:00"/>
    <n v="9.9"/>
    <x v="1"/>
    <n v="6150"/>
    <x v="0"/>
    <x v="2"/>
    <n v="3"/>
    <n v="18"/>
    <x v="1"/>
    <m/>
    <x v="2"/>
    <x v="2"/>
    <x v="2"/>
    <n v="1"/>
    <n v="1"/>
    <n v="0"/>
  </r>
  <r>
    <s v="E10240"/>
    <x v="5"/>
    <x v="0"/>
    <s v="Female"/>
    <n v="21"/>
    <s v="20-25"/>
    <x v="0"/>
    <d v="2025-12-13T00:00:00"/>
    <n v="0"/>
    <x v="3"/>
    <n v="4800"/>
    <x v="1"/>
    <x v="1"/>
    <n v="4"/>
    <n v="12"/>
    <x v="1"/>
    <m/>
    <x v="2"/>
    <x v="2"/>
    <x v="2"/>
    <n v="1"/>
    <n v="1"/>
    <n v="0"/>
  </r>
  <r>
    <s v="E10241"/>
    <x v="4"/>
    <x v="0"/>
    <s v="Male"/>
    <n v="39"/>
    <s v="36-45"/>
    <x v="1"/>
    <d v="2015-03-07T00:00:00"/>
    <n v="10.8"/>
    <x v="1"/>
    <n v="4750"/>
    <x v="0"/>
    <x v="2"/>
    <n v="3"/>
    <n v="25"/>
    <x v="1"/>
    <m/>
    <x v="2"/>
    <x v="2"/>
    <x v="2"/>
    <n v="1"/>
    <n v="1"/>
    <n v="0"/>
  </r>
  <r>
    <s v="E10242"/>
    <x v="3"/>
    <x v="1"/>
    <s v="Female"/>
    <n v="39"/>
    <s v="36-45"/>
    <x v="1"/>
    <d v="2020-01-21T00:00:00"/>
    <n v="5.9"/>
    <x v="1"/>
    <n v="7050"/>
    <x v="0"/>
    <x v="1"/>
    <n v="3"/>
    <n v="0"/>
    <x v="1"/>
    <m/>
    <x v="2"/>
    <x v="2"/>
    <x v="2"/>
    <n v="1"/>
    <n v="1"/>
    <n v="0"/>
  </r>
  <r>
    <s v="E10243"/>
    <x v="5"/>
    <x v="2"/>
    <s v="Male"/>
    <n v="43"/>
    <s v="36-45"/>
    <x v="0"/>
    <d v="2020-12-30T00:00:00"/>
    <n v="4.7"/>
    <x v="2"/>
    <n v="6550"/>
    <x v="0"/>
    <x v="3"/>
    <n v="2"/>
    <n v="9"/>
    <x v="0"/>
    <d v="2025-08-28T00:00:00"/>
    <x v="1"/>
    <x v="1"/>
    <x v="0"/>
    <n v="1"/>
    <n v="0"/>
    <n v="1"/>
  </r>
  <r>
    <s v="E10244"/>
    <x v="4"/>
    <x v="1"/>
    <s v="Male"/>
    <n v="24"/>
    <s v="20-25"/>
    <x v="2"/>
    <d v="2024-06-28T00:00:00"/>
    <n v="1.5"/>
    <x v="0"/>
    <n v="6150"/>
    <x v="0"/>
    <x v="0"/>
    <n v="3"/>
    <n v="30"/>
    <x v="1"/>
    <m/>
    <x v="2"/>
    <x v="2"/>
    <x v="2"/>
    <n v="1"/>
    <n v="1"/>
    <n v="0"/>
  </r>
  <r>
    <s v="E10245"/>
    <x v="4"/>
    <x v="3"/>
    <s v="Female"/>
    <n v="55"/>
    <s v="46+"/>
    <x v="2"/>
    <d v="2021-04-21T00:00:00"/>
    <n v="4.7"/>
    <x v="2"/>
    <n v="11050"/>
    <x v="0"/>
    <x v="1"/>
    <n v="3"/>
    <n v="33"/>
    <x v="1"/>
    <m/>
    <x v="2"/>
    <x v="2"/>
    <x v="2"/>
    <n v="1"/>
    <n v="1"/>
    <n v="0"/>
  </r>
  <r>
    <s v="E10246"/>
    <x v="3"/>
    <x v="1"/>
    <s v="Female"/>
    <n v="29"/>
    <s v="26-35"/>
    <x v="1"/>
    <d v="2023-06-29T00:00:00"/>
    <n v="2.5"/>
    <x v="0"/>
    <n v="7500"/>
    <x v="0"/>
    <x v="1"/>
    <n v="2"/>
    <n v="37"/>
    <x v="1"/>
    <m/>
    <x v="2"/>
    <x v="2"/>
    <x v="2"/>
    <n v="1"/>
    <n v="1"/>
    <n v="0"/>
  </r>
  <r>
    <s v="E10247"/>
    <x v="2"/>
    <x v="0"/>
    <s v="Female"/>
    <n v="32"/>
    <s v="26-35"/>
    <x v="1"/>
    <d v="2023-12-16T00:00:00"/>
    <n v="2"/>
    <x v="0"/>
    <n v="4400"/>
    <x v="0"/>
    <x v="2"/>
    <n v="3"/>
    <n v="34"/>
    <x v="1"/>
    <m/>
    <x v="2"/>
    <x v="2"/>
    <x v="2"/>
    <n v="1"/>
    <n v="1"/>
    <n v="0"/>
  </r>
  <r>
    <s v="E10248"/>
    <x v="1"/>
    <x v="3"/>
    <s v="Female"/>
    <n v="56"/>
    <s v="46+"/>
    <x v="1"/>
    <d v="2023-01-31T00:00:00"/>
    <n v="1.8"/>
    <x v="0"/>
    <n v="9950"/>
    <x v="1"/>
    <x v="1"/>
    <n v="3"/>
    <n v="39"/>
    <x v="0"/>
    <d v="2024-11-11T00:00:00"/>
    <x v="0"/>
    <x v="10"/>
    <x v="0"/>
    <n v="1"/>
    <n v="0"/>
    <n v="1"/>
  </r>
  <r>
    <s v="E10249"/>
    <x v="1"/>
    <x v="2"/>
    <s v="Male"/>
    <n v="35"/>
    <s v="26-35"/>
    <x v="1"/>
    <d v="2016-12-20T00:00:00"/>
    <n v="9"/>
    <x v="1"/>
    <n v="6900"/>
    <x v="1"/>
    <x v="1"/>
    <n v="3"/>
    <n v="22"/>
    <x v="1"/>
    <m/>
    <x v="2"/>
    <x v="2"/>
    <x v="2"/>
    <n v="1"/>
    <n v="1"/>
    <n v="0"/>
  </r>
  <r>
    <s v="E10250"/>
    <x v="4"/>
    <x v="0"/>
    <s v="Female"/>
    <n v="22"/>
    <s v="20-25"/>
    <x v="2"/>
    <d v="2025-03-28T00:00:00"/>
    <n v="0.8"/>
    <x v="3"/>
    <n v="4200"/>
    <x v="1"/>
    <x v="1"/>
    <n v="5"/>
    <n v="6"/>
    <x v="1"/>
    <m/>
    <x v="2"/>
    <x v="2"/>
    <x v="2"/>
    <n v="1"/>
    <n v="1"/>
    <n v="0"/>
  </r>
  <r>
    <s v="E10251"/>
    <x v="0"/>
    <x v="3"/>
    <s v="Female"/>
    <n v="52"/>
    <s v="46+"/>
    <x v="0"/>
    <d v="2011-07-01T00:00:00"/>
    <n v="14.5"/>
    <x v="1"/>
    <n v="6500"/>
    <x v="1"/>
    <x v="1"/>
    <n v="4"/>
    <n v="18"/>
    <x v="1"/>
    <m/>
    <x v="2"/>
    <x v="2"/>
    <x v="2"/>
    <n v="1"/>
    <n v="1"/>
    <n v="0"/>
  </r>
  <r>
    <s v="E10252"/>
    <x v="0"/>
    <x v="0"/>
    <s v="Male"/>
    <n v="24"/>
    <s v="20-25"/>
    <x v="0"/>
    <d v="2025-01-26T00:00:00"/>
    <n v="0.9"/>
    <x v="3"/>
    <n v="2500"/>
    <x v="1"/>
    <x v="2"/>
    <n v="2"/>
    <n v="24"/>
    <x v="0"/>
    <d v="2025-12-19T00:00:00"/>
    <x v="1"/>
    <x v="5"/>
    <x v="5"/>
    <n v="1"/>
    <n v="0"/>
    <n v="1"/>
  </r>
  <r>
    <s v="E10253"/>
    <x v="4"/>
    <x v="1"/>
    <s v="Male"/>
    <n v="32"/>
    <s v="26-35"/>
    <x v="1"/>
    <d v="2018-04-28T00:00:00"/>
    <n v="7.7"/>
    <x v="1"/>
    <n v="6150"/>
    <x v="0"/>
    <x v="2"/>
    <n v="3"/>
    <n v="29"/>
    <x v="1"/>
    <m/>
    <x v="2"/>
    <x v="2"/>
    <x v="2"/>
    <n v="1"/>
    <n v="1"/>
    <n v="0"/>
  </r>
  <r>
    <s v="E10254"/>
    <x v="2"/>
    <x v="0"/>
    <s v="Male"/>
    <n v="26"/>
    <s v="26-35"/>
    <x v="2"/>
    <d v="2022-12-23T00:00:00"/>
    <n v="3"/>
    <x v="0"/>
    <n v="5150"/>
    <x v="0"/>
    <x v="0"/>
    <n v="3"/>
    <n v="30"/>
    <x v="1"/>
    <m/>
    <x v="2"/>
    <x v="2"/>
    <x v="2"/>
    <n v="1"/>
    <n v="1"/>
    <n v="0"/>
  </r>
  <r>
    <s v="E10255"/>
    <x v="5"/>
    <x v="1"/>
    <s v="Male"/>
    <n v="41"/>
    <s v="36-45"/>
    <x v="1"/>
    <d v="2020-01-08T00:00:00"/>
    <n v="6"/>
    <x v="1"/>
    <n v="4650"/>
    <x v="0"/>
    <x v="0"/>
    <n v="3"/>
    <n v="23"/>
    <x v="1"/>
    <m/>
    <x v="2"/>
    <x v="2"/>
    <x v="2"/>
    <n v="1"/>
    <n v="1"/>
    <n v="0"/>
  </r>
  <r>
    <s v="E10256"/>
    <x v="5"/>
    <x v="0"/>
    <s v="Male"/>
    <n v="39"/>
    <s v="36-45"/>
    <x v="0"/>
    <d v="2015-12-03T00:00:00"/>
    <n v="10.1"/>
    <x v="1"/>
    <n v="3600"/>
    <x v="0"/>
    <x v="0"/>
    <n v="4"/>
    <n v="42"/>
    <x v="1"/>
    <m/>
    <x v="2"/>
    <x v="2"/>
    <x v="2"/>
    <n v="1"/>
    <n v="1"/>
    <n v="0"/>
  </r>
  <r>
    <s v="E10257"/>
    <x v="0"/>
    <x v="3"/>
    <s v="Female"/>
    <n v="42"/>
    <s v="36-45"/>
    <x v="1"/>
    <d v="2013-06-29T00:00:00"/>
    <n v="12.5"/>
    <x v="1"/>
    <n v="6850"/>
    <x v="1"/>
    <x v="4"/>
    <n v="3"/>
    <n v="23"/>
    <x v="1"/>
    <m/>
    <x v="2"/>
    <x v="2"/>
    <x v="2"/>
    <n v="1"/>
    <n v="1"/>
    <n v="0"/>
  </r>
  <r>
    <s v="E10258"/>
    <x v="4"/>
    <x v="1"/>
    <s v="Female"/>
    <n v="30"/>
    <s v="26-35"/>
    <x v="1"/>
    <d v="2020-02-09T00:00:00"/>
    <n v="5.9"/>
    <x v="1"/>
    <n v="5650"/>
    <x v="0"/>
    <x v="1"/>
    <n v="4"/>
    <n v="15"/>
    <x v="1"/>
    <m/>
    <x v="2"/>
    <x v="2"/>
    <x v="2"/>
    <n v="1"/>
    <n v="1"/>
    <n v="0"/>
  </r>
  <r>
    <s v="E10259"/>
    <x v="3"/>
    <x v="1"/>
    <s v="Male"/>
    <n v="34"/>
    <s v="26-35"/>
    <x v="1"/>
    <d v="2021-03-27T00:00:00"/>
    <n v="4.8"/>
    <x v="2"/>
    <n v="7100"/>
    <x v="0"/>
    <x v="1"/>
    <n v="3"/>
    <n v="20"/>
    <x v="1"/>
    <m/>
    <x v="2"/>
    <x v="2"/>
    <x v="2"/>
    <n v="1"/>
    <n v="1"/>
    <n v="0"/>
  </r>
  <r>
    <s v="E10260"/>
    <x v="3"/>
    <x v="0"/>
    <s v="Male"/>
    <n v="30"/>
    <s v="26-35"/>
    <x v="0"/>
    <d v="2023-09-27T00:00:00"/>
    <n v="1.6"/>
    <x v="0"/>
    <n v="6100"/>
    <x v="0"/>
    <x v="1"/>
    <n v="2"/>
    <n v="40"/>
    <x v="0"/>
    <d v="2025-05-20T00:00:00"/>
    <x v="1"/>
    <x v="9"/>
    <x v="5"/>
    <n v="1"/>
    <n v="0"/>
    <n v="1"/>
  </r>
  <r>
    <s v="E10261"/>
    <x v="1"/>
    <x v="3"/>
    <s v="Female"/>
    <n v="43"/>
    <s v="36-45"/>
    <x v="1"/>
    <d v="2020-06-22T00:00:00"/>
    <n v="5.5"/>
    <x v="1"/>
    <n v="8950"/>
    <x v="1"/>
    <x v="4"/>
    <n v="3"/>
    <n v="22"/>
    <x v="1"/>
    <m/>
    <x v="2"/>
    <x v="2"/>
    <x v="2"/>
    <n v="1"/>
    <n v="1"/>
    <n v="0"/>
  </r>
  <r>
    <s v="E10262"/>
    <x v="1"/>
    <x v="2"/>
    <s v="Male"/>
    <n v="46"/>
    <s v="46+"/>
    <x v="1"/>
    <d v="2021-11-24T00:00:00"/>
    <n v="4.0999999999999996"/>
    <x v="2"/>
    <n v="5850"/>
    <x v="1"/>
    <x v="1"/>
    <n v="5"/>
    <n v="26"/>
    <x v="1"/>
    <m/>
    <x v="2"/>
    <x v="2"/>
    <x v="2"/>
    <n v="1"/>
    <n v="1"/>
    <n v="0"/>
  </r>
  <r>
    <s v="E10263"/>
    <x v="1"/>
    <x v="2"/>
    <s v="Female"/>
    <n v="48"/>
    <s v="46+"/>
    <x v="1"/>
    <d v="2011-03-15T00:00:00"/>
    <n v="14.8"/>
    <x v="1"/>
    <n v="7000"/>
    <x v="0"/>
    <x v="2"/>
    <n v="2"/>
    <n v="35"/>
    <x v="1"/>
    <m/>
    <x v="2"/>
    <x v="2"/>
    <x v="2"/>
    <n v="1"/>
    <n v="1"/>
    <n v="0"/>
  </r>
  <r>
    <s v="E10264"/>
    <x v="1"/>
    <x v="0"/>
    <s v="Male"/>
    <n v="35"/>
    <s v="26-35"/>
    <x v="1"/>
    <d v="2017-06-23T00:00:00"/>
    <n v="8.5"/>
    <x v="1"/>
    <n v="2600"/>
    <x v="1"/>
    <x v="0"/>
    <n v="5"/>
    <n v="33"/>
    <x v="1"/>
    <m/>
    <x v="2"/>
    <x v="2"/>
    <x v="2"/>
    <n v="1"/>
    <n v="1"/>
    <n v="0"/>
  </r>
  <r>
    <s v="E10265"/>
    <x v="5"/>
    <x v="0"/>
    <s v="Male"/>
    <n v="25"/>
    <s v="20-25"/>
    <x v="2"/>
    <d v="2023-09-17T00:00:00"/>
    <n v="2.2999999999999998"/>
    <x v="0"/>
    <n v="4750"/>
    <x v="0"/>
    <x v="1"/>
    <n v="5"/>
    <n v="27"/>
    <x v="1"/>
    <m/>
    <x v="2"/>
    <x v="2"/>
    <x v="2"/>
    <n v="1"/>
    <n v="1"/>
    <n v="0"/>
  </r>
  <r>
    <s v="E10266"/>
    <x v="5"/>
    <x v="2"/>
    <s v="Female"/>
    <n v="33"/>
    <s v="26-35"/>
    <x v="1"/>
    <d v="2019-03-16T00:00:00"/>
    <n v="6.2"/>
    <x v="1"/>
    <n v="6600"/>
    <x v="1"/>
    <x v="3"/>
    <n v="3"/>
    <n v="22"/>
    <x v="0"/>
    <d v="2025-06-07T00:00:00"/>
    <x v="1"/>
    <x v="0"/>
    <x v="0"/>
    <n v="1"/>
    <n v="0"/>
    <n v="1"/>
  </r>
  <r>
    <s v="E10267"/>
    <x v="6"/>
    <x v="1"/>
    <s v="Female"/>
    <n v="34"/>
    <s v="26-35"/>
    <x v="1"/>
    <d v="2015-10-13T00:00:00"/>
    <n v="10.199999999999999"/>
    <x v="1"/>
    <n v="5700"/>
    <x v="0"/>
    <x v="1"/>
    <n v="2"/>
    <n v="32"/>
    <x v="1"/>
    <m/>
    <x v="2"/>
    <x v="2"/>
    <x v="2"/>
    <n v="1"/>
    <n v="1"/>
    <n v="0"/>
  </r>
  <r>
    <s v="E10268"/>
    <x v="5"/>
    <x v="3"/>
    <s v="Female"/>
    <n v="56"/>
    <s v="46+"/>
    <x v="1"/>
    <d v="2015-10-18T00:00:00"/>
    <n v="10.199999999999999"/>
    <x v="1"/>
    <n v="12650"/>
    <x v="0"/>
    <x v="2"/>
    <n v="4"/>
    <n v="13"/>
    <x v="1"/>
    <m/>
    <x v="2"/>
    <x v="2"/>
    <x v="2"/>
    <n v="1"/>
    <n v="1"/>
    <n v="0"/>
  </r>
  <r>
    <s v="E10269"/>
    <x v="0"/>
    <x v="0"/>
    <s v="Female"/>
    <n v="22"/>
    <s v="20-25"/>
    <x v="0"/>
    <d v="2025-11-07T00:00:00"/>
    <n v="0.1"/>
    <x v="3"/>
    <n v="2600"/>
    <x v="1"/>
    <x v="0"/>
    <n v="5"/>
    <n v="21"/>
    <x v="0"/>
    <d v="2025-12-14T00:00:00"/>
    <x v="1"/>
    <x v="5"/>
    <x v="0"/>
    <n v="1"/>
    <n v="0"/>
    <n v="1"/>
  </r>
  <r>
    <s v="E10270"/>
    <x v="2"/>
    <x v="0"/>
    <s v="Male"/>
    <n v="21"/>
    <s v="20-25"/>
    <x v="2"/>
    <d v="2025-12-03T00:00:00"/>
    <n v="0.1"/>
    <x v="3"/>
    <n v="5100"/>
    <x v="1"/>
    <x v="0"/>
    <n v="2"/>
    <n v="16"/>
    <x v="1"/>
    <m/>
    <x v="2"/>
    <x v="2"/>
    <x v="2"/>
    <n v="1"/>
    <n v="1"/>
    <n v="0"/>
  </r>
  <r>
    <s v="E10271"/>
    <x v="0"/>
    <x v="2"/>
    <s v="Female"/>
    <n v="35"/>
    <s v="26-35"/>
    <x v="1"/>
    <d v="2023-04-15T00:00:00"/>
    <n v="2.7"/>
    <x v="0"/>
    <n v="4900"/>
    <x v="1"/>
    <x v="4"/>
    <n v="3"/>
    <n v="30"/>
    <x v="1"/>
    <m/>
    <x v="2"/>
    <x v="2"/>
    <x v="2"/>
    <n v="1"/>
    <n v="1"/>
    <n v="0"/>
  </r>
  <r>
    <s v="E10272"/>
    <x v="3"/>
    <x v="0"/>
    <s v="Male"/>
    <n v="21"/>
    <s v="20-25"/>
    <x v="1"/>
    <d v="2025-10-22T00:00:00"/>
    <n v="0.2"/>
    <x v="3"/>
    <n v="6950"/>
    <x v="0"/>
    <x v="4"/>
    <n v="3"/>
    <n v="25"/>
    <x v="1"/>
    <m/>
    <x v="2"/>
    <x v="2"/>
    <x v="2"/>
    <n v="1"/>
    <n v="1"/>
    <n v="0"/>
  </r>
  <r>
    <s v="E10273"/>
    <x v="2"/>
    <x v="2"/>
    <s v="Male"/>
    <n v="32"/>
    <s v="26-35"/>
    <x v="0"/>
    <d v="2023-06-23T00:00:00"/>
    <n v="2.5"/>
    <x v="0"/>
    <n v="11250"/>
    <x v="0"/>
    <x v="0"/>
    <n v="3"/>
    <n v="14"/>
    <x v="1"/>
    <m/>
    <x v="2"/>
    <x v="2"/>
    <x v="2"/>
    <n v="1"/>
    <n v="1"/>
    <n v="0"/>
  </r>
  <r>
    <s v="E10274"/>
    <x v="5"/>
    <x v="3"/>
    <s v="Female"/>
    <n v="42"/>
    <s v="36-45"/>
    <x v="2"/>
    <d v="2014-02-20T00:00:00"/>
    <n v="11.9"/>
    <x v="1"/>
    <n v="10200"/>
    <x v="1"/>
    <x v="0"/>
    <n v="4"/>
    <n v="22"/>
    <x v="1"/>
    <m/>
    <x v="2"/>
    <x v="2"/>
    <x v="2"/>
    <n v="1"/>
    <n v="1"/>
    <n v="0"/>
  </r>
  <r>
    <s v="E10275"/>
    <x v="5"/>
    <x v="1"/>
    <s v="Male"/>
    <n v="30"/>
    <s v="26-35"/>
    <x v="1"/>
    <d v="2018-11-19T00:00:00"/>
    <n v="7.1"/>
    <x v="1"/>
    <n v="4950"/>
    <x v="0"/>
    <x v="4"/>
    <n v="3"/>
    <n v="11"/>
    <x v="1"/>
    <m/>
    <x v="2"/>
    <x v="2"/>
    <x v="2"/>
    <n v="1"/>
    <n v="1"/>
    <n v="0"/>
  </r>
  <r>
    <s v="E10276"/>
    <x v="3"/>
    <x v="1"/>
    <s v="Female"/>
    <n v="29"/>
    <s v="26-35"/>
    <x v="1"/>
    <d v="2023-11-22T00:00:00"/>
    <n v="2.1"/>
    <x v="0"/>
    <n v="8550"/>
    <x v="0"/>
    <x v="1"/>
    <n v="3"/>
    <n v="23"/>
    <x v="1"/>
    <m/>
    <x v="2"/>
    <x v="2"/>
    <x v="2"/>
    <n v="1"/>
    <n v="1"/>
    <n v="0"/>
  </r>
  <r>
    <s v="E10277"/>
    <x v="3"/>
    <x v="2"/>
    <s v="Female"/>
    <n v="41"/>
    <s v="36-45"/>
    <x v="1"/>
    <d v="2011-06-18T00:00:00"/>
    <n v="14.5"/>
    <x v="1"/>
    <n v="11150"/>
    <x v="0"/>
    <x v="1"/>
    <n v="5"/>
    <n v="50"/>
    <x v="1"/>
    <m/>
    <x v="2"/>
    <x v="2"/>
    <x v="2"/>
    <n v="1"/>
    <n v="1"/>
    <n v="0"/>
  </r>
  <r>
    <s v="E10278"/>
    <x v="3"/>
    <x v="0"/>
    <s v="Male"/>
    <n v="25"/>
    <s v="20-25"/>
    <x v="2"/>
    <d v="2024-04-06T00:00:00"/>
    <n v="1.7"/>
    <x v="0"/>
    <n v="6950"/>
    <x v="0"/>
    <x v="4"/>
    <n v="4"/>
    <n v="46"/>
    <x v="1"/>
    <m/>
    <x v="2"/>
    <x v="2"/>
    <x v="2"/>
    <n v="1"/>
    <n v="1"/>
    <n v="0"/>
  </r>
  <r>
    <s v="E10279"/>
    <x v="2"/>
    <x v="3"/>
    <s v="Male"/>
    <n v="46"/>
    <s v="46+"/>
    <x v="0"/>
    <d v="2021-02-10T00:00:00"/>
    <n v="4.9000000000000004"/>
    <x v="2"/>
    <n v="14050"/>
    <x v="0"/>
    <x v="0"/>
    <n v="3"/>
    <n v="5"/>
    <x v="1"/>
    <m/>
    <x v="2"/>
    <x v="2"/>
    <x v="2"/>
    <n v="1"/>
    <n v="1"/>
    <n v="0"/>
  </r>
  <r>
    <s v="E10280"/>
    <x v="0"/>
    <x v="2"/>
    <s v="Female"/>
    <n v="34"/>
    <s v="26-35"/>
    <x v="1"/>
    <d v="2016-07-09T00:00:00"/>
    <n v="8.1"/>
    <x v="1"/>
    <n v="5450"/>
    <x v="1"/>
    <x v="3"/>
    <n v="3"/>
    <n v="21"/>
    <x v="0"/>
    <d v="2024-08-07T00:00:00"/>
    <x v="0"/>
    <x v="1"/>
    <x v="3"/>
    <n v="1"/>
    <n v="0"/>
    <n v="1"/>
  </r>
  <r>
    <s v="E10281"/>
    <x v="1"/>
    <x v="0"/>
    <s v="Male"/>
    <n v="30"/>
    <s v="26-35"/>
    <x v="1"/>
    <d v="2023-10-26T00:00:00"/>
    <n v="2.2000000000000002"/>
    <x v="0"/>
    <n v="3600"/>
    <x v="0"/>
    <x v="1"/>
    <n v="3"/>
    <n v="28"/>
    <x v="1"/>
    <m/>
    <x v="2"/>
    <x v="2"/>
    <x v="2"/>
    <n v="1"/>
    <n v="1"/>
    <n v="0"/>
  </r>
  <r>
    <s v="E10282"/>
    <x v="0"/>
    <x v="1"/>
    <s v="Female"/>
    <n v="29"/>
    <s v="26-35"/>
    <x v="1"/>
    <d v="2019-09-01T00:00:00"/>
    <n v="6.3"/>
    <x v="1"/>
    <n v="3100"/>
    <x v="0"/>
    <x v="2"/>
    <n v="3"/>
    <n v="27"/>
    <x v="1"/>
    <m/>
    <x v="2"/>
    <x v="2"/>
    <x v="2"/>
    <n v="1"/>
    <n v="1"/>
    <n v="0"/>
  </r>
  <r>
    <s v="E10283"/>
    <x v="1"/>
    <x v="1"/>
    <s v="Male"/>
    <n v="34"/>
    <s v="26-35"/>
    <x v="0"/>
    <d v="2018-07-18T00:00:00"/>
    <n v="6"/>
    <x v="1"/>
    <n v="3400"/>
    <x v="1"/>
    <x v="1"/>
    <n v="2"/>
    <n v="40"/>
    <x v="0"/>
    <d v="2024-07-20T00:00:00"/>
    <x v="0"/>
    <x v="4"/>
    <x v="0"/>
    <n v="1"/>
    <n v="0"/>
    <n v="1"/>
  </r>
  <r>
    <s v="E10284"/>
    <x v="3"/>
    <x v="1"/>
    <s v="Female"/>
    <n v="37"/>
    <s v="36-45"/>
    <x v="1"/>
    <d v="2017-05-26T00:00:00"/>
    <n v="8.6"/>
    <x v="1"/>
    <n v="8150"/>
    <x v="0"/>
    <x v="2"/>
    <n v="4"/>
    <n v="32"/>
    <x v="1"/>
    <m/>
    <x v="2"/>
    <x v="2"/>
    <x v="2"/>
    <n v="1"/>
    <n v="1"/>
    <n v="0"/>
  </r>
  <r>
    <s v="E10285"/>
    <x v="2"/>
    <x v="0"/>
    <s v="Male"/>
    <n v="28"/>
    <s v="26-35"/>
    <x v="1"/>
    <d v="2024-09-17T00:00:00"/>
    <n v="1.3"/>
    <x v="0"/>
    <n v="5100"/>
    <x v="0"/>
    <x v="0"/>
    <n v="5"/>
    <n v="22"/>
    <x v="1"/>
    <m/>
    <x v="2"/>
    <x v="2"/>
    <x v="2"/>
    <n v="1"/>
    <n v="1"/>
    <n v="0"/>
  </r>
  <r>
    <s v="E10286"/>
    <x v="1"/>
    <x v="1"/>
    <s v="Male"/>
    <n v="24"/>
    <s v="20-25"/>
    <x v="1"/>
    <d v="2024-03-05T00:00:00"/>
    <n v="1.8"/>
    <x v="0"/>
    <n v="3900"/>
    <x v="0"/>
    <x v="1"/>
    <n v="5"/>
    <n v="28"/>
    <x v="1"/>
    <m/>
    <x v="2"/>
    <x v="2"/>
    <x v="2"/>
    <n v="1"/>
    <n v="1"/>
    <n v="0"/>
  </r>
  <r>
    <s v="E10287"/>
    <x v="6"/>
    <x v="0"/>
    <s v="Male"/>
    <n v="28"/>
    <s v="26-35"/>
    <x v="1"/>
    <d v="2023-12-30T00:00:00"/>
    <n v="2"/>
    <x v="0"/>
    <n v="4750"/>
    <x v="0"/>
    <x v="1"/>
    <n v="3"/>
    <n v="10"/>
    <x v="1"/>
    <m/>
    <x v="2"/>
    <x v="2"/>
    <x v="2"/>
    <n v="1"/>
    <n v="1"/>
    <n v="0"/>
  </r>
  <r>
    <s v="E10288"/>
    <x v="4"/>
    <x v="0"/>
    <s v="Female"/>
    <n v="28"/>
    <s v="26-35"/>
    <x v="0"/>
    <d v="2020-11-26T00:00:00"/>
    <n v="3.8"/>
    <x v="2"/>
    <n v="4450"/>
    <x v="0"/>
    <x v="4"/>
    <n v="2"/>
    <n v="9"/>
    <x v="0"/>
    <d v="2024-09-09T00:00:00"/>
    <x v="0"/>
    <x v="12"/>
    <x v="3"/>
    <n v="1"/>
    <n v="0"/>
    <n v="1"/>
  </r>
  <r>
    <s v="E10289"/>
    <x v="5"/>
    <x v="3"/>
    <s v="Female"/>
    <n v="36"/>
    <s v="36-45"/>
    <x v="2"/>
    <d v="2015-09-29T00:00:00"/>
    <n v="10.3"/>
    <x v="1"/>
    <n v="10650"/>
    <x v="0"/>
    <x v="2"/>
    <n v="3"/>
    <n v="26"/>
    <x v="1"/>
    <m/>
    <x v="2"/>
    <x v="2"/>
    <x v="2"/>
    <n v="1"/>
    <n v="1"/>
    <n v="0"/>
  </r>
  <r>
    <s v="E10290"/>
    <x v="1"/>
    <x v="0"/>
    <s v="Male"/>
    <n v="28"/>
    <s v="26-35"/>
    <x v="0"/>
    <d v="2024-12-30T00:00:00"/>
    <n v="1"/>
    <x v="3"/>
    <n v="3750"/>
    <x v="0"/>
    <x v="2"/>
    <n v="3"/>
    <n v="31"/>
    <x v="1"/>
    <m/>
    <x v="2"/>
    <x v="2"/>
    <x v="2"/>
    <n v="1"/>
    <n v="1"/>
    <n v="0"/>
  </r>
  <r>
    <s v="E10291"/>
    <x v="1"/>
    <x v="0"/>
    <s v="Female"/>
    <n v="31"/>
    <s v="26-35"/>
    <x v="0"/>
    <d v="2020-08-06T00:00:00"/>
    <n v="5.4"/>
    <x v="1"/>
    <n v="3900"/>
    <x v="0"/>
    <x v="1"/>
    <n v="4"/>
    <n v="30"/>
    <x v="1"/>
    <m/>
    <x v="2"/>
    <x v="2"/>
    <x v="2"/>
    <n v="1"/>
    <n v="1"/>
    <n v="0"/>
  </r>
  <r>
    <s v="E10292"/>
    <x v="2"/>
    <x v="0"/>
    <s v="Male"/>
    <n v="25"/>
    <s v="20-25"/>
    <x v="1"/>
    <d v="2023-02-02T00:00:00"/>
    <n v="2.9"/>
    <x v="0"/>
    <n v="5100"/>
    <x v="0"/>
    <x v="2"/>
    <n v="3"/>
    <n v="35"/>
    <x v="1"/>
    <m/>
    <x v="2"/>
    <x v="2"/>
    <x v="2"/>
    <n v="1"/>
    <n v="1"/>
    <n v="0"/>
  </r>
  <r>
    <s v="E10293"/>
    <x v="5"/>
    <x v="1"/>
    <s v="Male"/>
    <n v="38"/>
    <s v="36-45"/>
    <x v="0"/>
    <d v="2015-02-04T00:00:00"/>
    <n v="10.9"/>
    <x v="1"/>
    <n v="4800"/>
    <x v="0"/>
    <x v="0"/>
    <n v="3"/>
    <n v="22"/>
    <x v="1"/>
    <m/>
    <x v="2"/>
    <x v="2"/>
    <x v="2"/>
    <n v="1"/>
    <n v="1"/>
    <n v="0"/>
  </r>
  <r>
    <s v="E10294"/>
    <x v="4"/>
    <x v="0"/>
    <s v="Female"/>
    <n v="34"/>
    <s v="26-35"/>
    <x v="2"/>
    <d v="2021-06-11T00:00:00"/>
    <n v="4.5999999999999996"/>
    <x v="2"/>
    <n v="5000"/>
    <x v="0"/>
    <x v="0"/>
    <n v="5"/>
    <n v="26"/>
    <x v="1"/>
    <m/>
    <x v="2"/>
    <x v="2"/>
    <x v="2"/>
    <n v="1"/>
    <n v="1"/>
    <n v="0"/>
  </r>
  <r>
    <s v="E10295"/>
    <x v="3"/>
    <x v="0"/>
    <s v="Male"/>
    <n v="24"/>
    <s v="20-25"/>
    <x v="0"/>
    <d v="2025-07-20T00:00:00"/>
    <n v="0.4"/>
    <x v="3"/>
    <n v="5350"/>
    <x v="0"/>
    <x v="4"/>
    <n v="2"/>
    <n v="22"/>
    <x v="1"/>
    <m/>
    <x v="2"/>
    <x v="2"/>
    <x v="2"/>
    <n v="1"/>
    <n v="1"/>
    <n v="0"/>
  </r>
  <r>
    <s v="E10296"/>
    <x v="1"/>
    <x v="1"/>
    <s v="Male"/>
    <n v="37"/>
    <s v="36-45"/>
    <x v="0"/>
    <d v="2021-01-02T00:00:00"/>
    <n v="5"/>
    <x v="2"/>
    <n v="4700"/>
    <x v="0"/>
    <x v="2"/>
    <n v="3"/>
    <n v="41"/>
    <x v="1"/>
    <m/>
    <x v="2"/>
    <x v="2"/>
    <x v="2"/>
    <n v="1"/>
    <n v="1"/>
    <n v="0"/>
  </r>
  <r>
    <s v="E10297"/>
    <x v="5"/>
    <x v="0"/>
    <s v="Male"/>
    <n v="21"/>
    <s v="20-25"/>
    <x v="2"/>
    <d v="2025-09-19T00:00:00"/>
    <n v="0.3"/>
    <x v="3"/>
    <n v="4250"/>
    <x v="1"/>
    <x v="1"/>
    <n v="4"/>
    <n v="19"/>
    <x v="1"/>
    <m/>
    <x v="2"/>
    <x v="2"/>
    <x v="2"/>
    <n v="1"/>
    <n v="1"/>
    <n v="0"/>
  </r>
  <r>
    <s v="E10298"/>
    <x v="4"/>
    <x v="0"/>
    <s v="Female"/>
    <n v="29"/>
    <s v="26-35"/>
    <x v="0"/>
    <d v="2024-04-28T00:00:00"/>
    <n v="1.7"/>
    <x v="0"/>
    <n v="4500"/>
    <x v="0"/>
    <x v="0"/>
    <n v="4"/>
    <n v="10"/>
    <x v="1"/>
    <m/>
    <x v="2"/>
    <x v="2"/>
    <x v="2"/>
    <n v="1"/>
    <n v="1"/>
    <n v="0"/>
  </r>
  <r>
    <s v="E10299"/>
    <x v="1"/>
    <x v="0"/>
    <s v="Male"/>
    <n v="33"/>
    <s v="26-35"/>
    <x v="1"/>
    <d v="2017-03-08T00:00:00"/>
    <n v="7.4"/>
    <x v="1"/>
    <n v="3400"/>
    <x v="1"/>
    <x v="1"/>
    <n v="5"/>
    <n v="22"/>
    <x v="0"/>
    <d v="2024-08-05T00:00:00"/>
    <x v="0"/>
    <x v="1"/>
    <x v="3"/>
    <n v="1"/>
    <n v="0"/>
    <n v="1"/>
  </r>
  <r>
    <s v="E10300"/>
    <x v="4"/>
    <x v="3"/>
    <s v="Female"/>
    <n v="48"/>
    <s v="46+"/>
    <x v="1"/>
    <d v="2017-06-09T00:00:00"/>
    <n v="8.6"/>
    <x v="1"/>
    <n v="10800"/>
    <x v="0"/>
    <x v="1"/>
    <n v="3"/>
    <n v="16"/>
    <x v="1"/>
    <m/>
    <x v="2"/>
    <x v="2"/>
    <x v="2"/>
    <n v="1"/>
    <n v="1"/>
    <n v="0"/>
  </r>
  <r>
    <s v="E10301"/>
    <x v="0"/>
    <x v="0"/>
    <s v="Male"/>
    <n v="21"/>
    <s v="20-25"/>
    <x v="1"/>
    <d v="2025-11-05T00:00:00"/>
    <n v="0.2"/>
    <x v="3"/>
    <n v="2700"/>
    <x v="1"/>
    <x v="1"/>
    <n v="3"/>
    <n v="39"/>
    <x v="1"/>
    <m/>
    <x v="2"/>
    <x v="2"/>
    <x v="2"/>
    <n v="1"/>
    <n v="1"/>
    <n v="0"/>
  </r>
  <r>
    <s v="E10302"/>
    <x v="3"/>
    <x v="2"/>
    <s v="Male"/>
    <n v="46"/>
    <s v="46+"/>
    <x v="2"/>
    <d v="2011-04-18T00:00:00"/>
    <n v="14.7"/>
    <x v="1"/>
    <n v="14050"/>
    <x v="0"/>
    <x v="1"/>
    <n v="5"/>
    <n v="14"/>
    <x v="1"/>
    <m/>
    <x v="2"/>
    <x v="2"/>
    <x v="2"/>
    <n v="1"/>
    <n v="1"/>
    <n v="0"/>
  </r>
  <r>
    <s v="E10303"/>
    <x v="2"/>
    <x v="2"/>
    <s v="Female"/>
    <n v="43"/>
    <s v="36-45"/>
    <x v="2"/>
    <d v="2020-06-07T00:00:00"/>
    <n v="5.6"/>
    <x v="1"/>
    <n v="9300"/>
    <x v="0"/>
    <x v="2"/>
    <n v="2"/>
    <n v="19"/>
    <x v="1"/>
    <m/>
    <x v="2"/>
    <x v="2"/>
    <x v="2"/>
    <n v="1"/>
    <n v="1"/>
    <n v="0"/>
  </r>
  <r>
    <s v="E10304"/>
    <x v="0"/>
    <x v="3"/>
    <s v="Male"/>
    <n v="35"/>
    <s v="26-35"/>
    <x v="0"/>
    <d v="2018-12-03T00:00:00"/>
    <n v="7.1"/>
    <x v="1"/>
    <n v="5850"/>
    <x v="0"/>
    <x v="2"/>
    <n v="3"/>
    <n v="37"/>
    <x v="1"/>
    <m/>
    <x v="2"/>
    <x v="2"/>
    <x v="2"/>
    <n v="1"/>
    <n v="1"/>
    <n v="0"/>
  </r>
  <r>
    <s v="E10305"/>
    <x v="5"/>
    <x v="2"/>
    <s v="Female"/>
    <n v="39"/>
    <s v="36-45"/>
    <x v="1"/>
    <d v="2014-02-08T00:00:00"/>
    <n v="11.9"/>
    <x v="1"/>
    <n v="6350"/>
    <x v="0"/>
    <x v="1"/>
    <n v="2"/>
    <n v="33"/>
    <x v="1"/>
    <m/>
    <x v="2"/>
    <x v="2"/>
    <x v="2"/>
    <n v="1"/>
    <n v="1"/>
    <n v="0"/>
  </r>
  <r>
    <s v="E10306"/>
    <x v="5"/>
    <x v="0"/>
    <s v="Female"/>
    <n v="27"/>
    <s v="26-35"/>
    <x v="1"/>
    <d v="2021-11-20T00:00:00"/>
    <n v="2.8"/>
    <x v="0"/>
    <n v="4500"/>
    <x v="1"/>
    <x v="4"/>
    <n v="3"/>
    <n v="29"/>
    <x v="0"/>
    <d v="2024-08-27T00:00:00"/>
    <x v="0"/>
    <x v="1"/>
    <x v="1"/>
    <n v="1"/>
    <n v="0"/>
    <n v="1"/>
  </r>
  <r>
    <s v="E10307"/>
    <x v="0"/>
    <x v="0"/>
    <s v="Female"/>
    <n v="35"/>
    <s v="26-35"/>
    <x v="0"/>
    <d v="2020-09-30T00:00:00"/>
    <n v="4"/>
    <x v="2"/>
    <n v="2800"/>
    <x v="0"/>
    <x v="1"/>
    <n v="3"/>
    <n v="10"/>
    <x v="0"/>
    <d v="2024-09-28T00:00:00"/>
    <x v="0"/>
    <x v="12"/>
    <x v="4"/>
    <n v="1"/>
    <n v="0"/>
    <n v="1"/>
  </r>
  <r>
    <s v="E10308"/>
    <x v="1"/>
    <x v="0"/>
    <s v="Male"/>
    <n v="28"/>
    <s v="26-35"/>
    <x v="2"/>
    <d v="2023-12-25T00:00:00"/>
    <n v="2"/>
    <x v="0"/>
    <n v="3200"/>
    <x v="0"/>
    <x v="0"/>
    <n v="3"/>
    <n v="39"/>
    <x v="1"/>
    <m/>
    <x v="2"/>
    <x v="2"/>
    <x v="2"/>
    <n v="1"/>
    <n v="1"/>
    <n v="0"/>
  </r>
  <r>
    <s v="E10309"/>
    <x v="0"/>
    <x v="0"/>
    <s v="Male"/>
    <n v="34"/>
    <s v="26-35"/>
    <x v="1"/>
    <d v="2019-12-14T00:00:00"/>
    <n v="6"/>
    <x v="1"/>
    <n v="2700"/>
    <x v="0"/>
    <x v="2"/>
    <n v="4"/>
    <n v="24"/>
    <x v="1"/>
    <m/>
    <x v="2"/>
    <x v="2"/>
    <x v="2"/>
    <n v="1"/>
    <n v="1"/>
    <n v="0"/>
  </r>
  <r>
    <s v="E10310"/>
    <x v="3"/>
    <x v="1"/>
    <s v="Female"/>
    <n v="37"/>
    <s v="36-45"/>
    <x v="1"/>
    <d v="2017-02-18T00:00:00"/>
    <n v="8.9"/>
    <x v="1"/>
    <n v="8350"/>
    <x v="1"/>
    <x v="0"/>
    <n v="4"/>
    <n v="20"/>
    <x v="1"/>
    <m/>
    <x v="2"/>
    <x v="2"/>
    <x v="2"/>
    <n v="1"/>
    <n v="1"/>
    <n v="0"/>
  </r>
  <r>
    <s v="E10311"/>
    <x v="1"/>
    <x v="1"/>
    <s v="Female"/>
    <n v="31"/>
    <s v="26-35"/>
    <x v="1"/>
    <d v="2020-01-22T00:00:00"/>
    <n v="4.5999999999999996"/>
    <x v="2"/>
    <n v="4150"/>
    <x v="1"/>
    <x v="1"/>
    <n v="3"/>
    <n v="16"/>
    <x v="0"/>
    <d v="2024-08-16T00:00:00"/>
    <x v="0"/>
    <x v="1"/>
    <x v="1"/>
    <n v="1"/>
    <n v="0"/>
    <n v="1"/>
  </r>
  <r>
    <s v="E10312"/>
    <x v="2"/>
    <x v="0"/>
    <s v="Male"/>
    <n v="21"/>
    <s v="20-25"/>
    <x v="0"/>
    <d v="2025-12-04T00:00:00"/>
    <n v="0.1"/>
    <x v="3"/>
    <n v="4950"/>
    <x v="0"/>
    <x v="0"/>
    <n v="4"/>
    <n v="16"/>
    <x v="1"/>
    <m/>
    <x v="2"/>
    <x v="2"/>
    <x v="2"/>
    <n v="1"/>
    <n v="1"/>
    <n v="0"/>
  </r>
  <r>
    <s v="E10313"/>
    <x v="6"/>
    <x v="0"/>
    <s v="Male"/>
    <n v="28"/>
    <s v="26-35"/>
    <x v="0"/>
    <d v="2020-06-15T00:00:00"/>
    <n v="5.5"/>
    <x v="1"/>
    <n v="4050"/>
    <x v="0"/>
    <x v="2"/>
    <n v="3"/>
    <n v="22"/>
    <x v="1"/>
    <m/>
    <x v="2"/>
    <x v="2"/>
    <x v="2"/>
    <n v="1"/>
    <n v="1"/>
    <n v="0"/>
  </r>
  <r>
    <s v="E10314"/>
    <x v="4"/>
    <x v="1"/>
    <s v="Male"/>
    <n v="27"/>
    <s v="26-35"/>
    <x v="1"/>
    <d v="2022-07-26T00:00:00"/>
    <n v="3.4"/>
    <x v="2"/>
    <n v="4200"/>
    <x v="0"/>
    <x v="4"/>
    <n v="4"/>
    <n v="22"/>
    <x v="1"/>
    <m/>
    <x v="2"/>
    <x v="2"/>
    <x v="2"/>
    <n v="1"/>
    <n v="1"/>
    <n v="0"/>
  </r>
  <r>
    <s v="E10315"/>
    <x v="5"/>
    <x v="0"/>
    <s v="Male"/>
    <n v="21"/>
    <s v="20-25"/>
    <x v="1"/>
    <d v="2025-11-13T00:00:00"/>
    <n v="0.1"/>
    <x v="3"/>
    <n v="4650"/>
    <x v="1"/>
    <x v="1"/>
    <n v="4"/>
    <n v="13"/>
    <x v="1"/>
    <m/>
    <x v="2"/>
    <x v="2"/>
    <x v="2"/>
    <n v="1"/>
    <n v="1"/>
    <n v="0"/>
  </r>
  <r>
    <s v="E10316"/>
    <x v="5"/>
    <x v="2"/>
    <s v="Male"/>
    <n v="37"/>
    <s v="36-45"/>
    <x v="1"/>
    <d v="2024-01-12T00:00:00"/>
    <n v="2"/>
    <x v="0"/>
    <n v="7650"/>
    <x v="0"/>
    <x v="2"/>
    <n v="3"/>
    <n v="24"/>
    <x v="1"/>
    <m/>
    <x v="2"/>
    <x v="2"/>
    <x v="2"/>
    <n v="1"/>
    <n v="1"/>
    <n v="0"/>
  </r>
  <r>
    <s v="E10317"/>
    <x v="2"/>
    <x v="1"/>
    <s v="Male"/>
    <n v="36"/>
    <s v="36-45"/>
    <x v="2"/>
    <d v="2016-01-05T00:00:00"/>
    <n v="9.3000000000000007"/>
    <x v="1"/>
    <n v="7300"/>
    <x v="1"/>
    <x v="4"/>
    <n v="3"/>
    <n v="20"/>
    <x v="0"/>
    <d v="2025-04-12T00:00:00"/>
    <x v="1"/>
    <x v="8"/>
    <x v="1"/>
    <n v="1"/>
    <n v="0"/>
    <n v="1"/>
  </r>
  <r>
    <s v="E10318"/>
    <x v="5"/>
    <x v="1"/>
    <s v="Female"/>
    <n v="37"/>
    <s v="36-45"/>
    <x v="1"/>
    <d v="2016-04-05T00:00:00"/>
    <n v="9.6999999999999993"/>
    <x v="1"/>
    <n v="5400"/>
    <x v="0"/>
    <x v="2"/>
    <n v="3"/>
    <n v="42"/>
    <x v="1"/>
    <m/>
    <x v="2"/>
    <x v="2"/>
    <x v="2"/>
    <n v="1"/>
    <n v="1"/>
    <n v="0"/>
  </r>
  <r>
    <s v="E10319"/>
    <x v="6"/>
    <x v="1"/>
    <s v="Female"/>
    <n v="43"/>
    <s v="36-45"/>
    <x v="0"/>
    <d v="2020-02-07T00:00:00"/>
    <n v="5.9"/>
    <x v="1"/>
    <n v="5150"/>
    <x v="0"/>
    <x v="1"/>
    <n v="4"/>
    <n v="27"/>
    <x v="1"/>
    <m/>
    <x v="2"/>
    <x v="2"/>
    <x v="2"/>
    <n v="1"/>
    <n v="1"/>
    <n v="0"/>
  </r>
  <r>
    <s v="E10320"/>
    <x v="4"/>
    <x v="2"/>
    <s v="Male"/>
    <n v="37"/>
    <s v="36-45"/>
    <x v="1"/>
    <d v="2021-10-01T00:00:00"/>
    <n v="4.2"/>
    <x v="2"/>
    <n v="7100"/>
    <x v="1"/>
    <x v="4"/>
    <n v="3"/>
    <n v="38"/>
    <x v="1"/>
    <m/>
    <x v="2"/>
    <x v="2"/>
    <x v="2"/>
    <n v="1"/>
    <n v="1"/>
    <n v="0"/>
  </r>
  <r>
    <s v="E10321"/>
    <x v="1"/>
    <x v="1"/>
    <s v="Female"/>
    <n v="28"/>
    <s v="26-35"/>
    <x v="1"/>
    <d v="2020-10-16T00:00:00"/>
    <n v="5.2"/>
    <x v="1"/>
    <n v="4350"/>
    <x v="1"/>
    <x v="4"/>
    <n v="3"/>
    <n v="29"/>
    <x v="1"/>
    <m/>
    <x v="2"/>
    <x v="2"/>
    <x v="2"/>
    <n v="1"/>
    <n v="1"/>
    <n v="0"/>
  </r>
  <r>
    <s v="E10322"/>
    <x v="1"/>
    <x v="1"/>
    <s v="Female"/>
    <n v="34"/>
    <s v="26-35"/>
    <x v="1"/>
    <d v="2017-01-29T00:00:00"/>
    <n v="8.9"/>
    <x v="1"/>
    <n v="4800"/>
    <x v="0"/>
    <x v="1"/>
    <n v="4"/>
    <n v="16"/>
    <x v="1"/>
    <m/>
    <x v="2"/>
    <x v="2"/>
    <x v="2"/>
    <n v="1"/>
    <n v="1"/>
    <n v="0"/>
  </r>
  <r>
    <s v="E10323"/>
    <x v="6"/>
    <x v="2"/>
    <s v="Female"/>
    <n v="42"/>
    <s v="36-45"/>
    <x v="1"/>
    <d v="2021-01-12T00:00:00"/>
    <n v="5"/>
    <x v="2"/>
    <n v="7600"/>
    <x v="0"/>
    <x v="2"/>
    <n v="3"/>
    <n v="20"/>
    <x v="1"/>
    <m/>
    <x v="2"/>
    <x v="2"/>
    <x v="2"/>
    <n v="1"/>
    <n v="1"/>
    <n v="0"/>
  </r>
  <r>
    <s v="E10324"/>
    <x v="0"/>
    <x v="1"/>
    <s v="Female"/>
    <n v="27"/>
    <s v="26-35"/>
    <x v="0"/>
    <d v="2024-04-26T00:00:00"/>
    <n v="1.7"/>
    <x v="0"/>
    <n v="4050"/>
    <x v="1"/>
    <x v="4"/>
    <n v="4"/>
    <n v="0"/>
    <x v="1"/>
    <m/>
    <x v="2"/>
    <x v="2"/>
    <x v="2"/>
    <n v="1"/>
    <n v="1"/>
    <n v="0"/>
  </r>
  <r>
    <s v="E10325"/>
    <x v="3"/>
    <x v="1"/>
    <s v="Female"/>
    <n v="26"/>
    <s v="26-35"/>
    <x v="1"/>
    <d v="2022-11-08T00:00:00"/>
    <n v="3.1"/>
    <x v="2"/>
    <n v="9150"/>
    <x v="1"/>
    <x v="0"/>
    <n v="3"/>
    <n v="15"/>
    <x v="1"/>
    <m/>
    <x v="2"/>
    <x v="2"/>
    <x v="2"/>
    <n v="1"/>
    <n v="1"/>
    <n v="0"/>
  </r>
  <r>
    <s v="E10326"/>
    <x v="5"/>
    <x v="0"/>
    <s v="Male"/>
    <n v="36"/>
    <s v="36-45"/>
    <x v="1"/>
    <d v="2014-12-31T00:00:00"/>
    <n v="9.6"/>
    <x v="1"/>
    <n v="4600"/>
    <x v="1"/>
    <x v="3"/>
    <n v="3"/>
    <n v="20"/>
    <x v="0"/>
    <d v="2024-07-23T00:00:00"/>
    <x v="0"/>
    <x v="4"/>
    <x v="3"/>
    <n v="1"/>
    <n v="0"/>
    <n v="1"/>
  </r>
  <r>
    <s v="E10327"/>
    <x v="5"/>
    <x v="0"/>
    <s v="Male"/>
    <n v="22"/>
    <s v="20-25"/>
    <x v="0"/>
    <d v="2025-07-19T00:00:00"/>
    <n v="0.5"/>
    <x v="3"/>
    <n v="3450"/>
    <x v="1"/>
    <x v="1"/>
    <n v="5"/>
    <n v="29"/>
    <x v="1"/>
    <m/>
    <x v="2"/>
    <x v="2"/>
    <x v="2"/>
    <n v="1"/>
    <n v="1"/>
    <n v="0"/>
  </r>
  <r>
    <s v="E10328"/>
    <x v="1"/>
    <x v="1"/>
    <s v="Male"/>
    <n v="31"/>
    <s v="26-35"/>
    <x v="0"/>
    <d v="2018-07-22T00:00:00"/>
    <n v="7.4"/>
    <x v="1"/>
    <n v="3850"/>
    <x v="0"/>
    <x v="1"/>
    <n v="3"/>
    <n v="15"/>
    <x v="1"/>
    <m/>
    <x v="2"/>
    <x v="2"/>
    <x v="2"/>
    <n v="1"/>
    <n v="1"/>
    <n v="0"/>
  </r>
  <r>
    <s v="E10329"/>
    <x v="5"/>
    <x v="1"/>
    <s v="Male"/>
    <n v="33"/>
    <s v="26-35"/>
    <x v="0"/>
    <d v="2017-06-17T00:00:00"/>
    <n v="8.5"/>
    <x v="1"/>
    <n v="4550"/>
    <x v="0"/>
    <x v="0"/>
    <n v="2"/>
    <n v="42"/>
    <x v="1"/>
    <m/>
    <x v="2"/>
    <x v="2"/>
    <x v="2"/>
    <n v="1"/>
    <n v="1"/>
    <n v="0"/>
  </r>
  <r>
    <s v="E10330"/>
    <x v="1"/>
    <x v="0"/>
    <s v="Male"/>
    <n v="24"/>
    <s v="20-25"/>
    <x v="1"/>
    <d v="2024-06-15T00:00:00"/>
    <n v="1.5"/>
    <x v="0"/>
    <n v="3200"/>
    <x v="0"/>
    <x v="1"/>
    <n v="5"/>
    <n v="1"/>
    <x v="1"/>
    <m/>
    <x v="2"/>
    <x v="2"/>
    <x v="2"/>
    <n v="1"/>
    <n v="1"/>
    <n v="0"/>
  </r>
  <r>
    <s v="E10331"/>
    <x v="3"/>
    <x v="1"/>
    <s v="Male"/>
    <n v="39"/>
    <s v="36-45"/>
    <x v="0"/>
    <d v="2022-06-16T00:00:00"/>
    <n v="3.5"/>
    <x v="2"/>
    <n v="8950"/>
    <x v="0"/>
    <x v="1"/>
    <n v="3"/>
    <n v="9"/>
    <x v="1"/>
    <m/>
    <x v="2"/>
    <x v="2"/>
    <x v="2"/>
    <n v="1"/>
    <n v="1"/>
    <n v="0"/>
  </r>
  <r>
    <s v="E10332"/>
    <x v="3"/>
    <x v="2"/>
    <s v="Male"/>
    <n v="37"/>
    <s v="36-45"/>
    <x v="1"/>
    <d v="2023-10-02T00:00:00"/>
    <n v="2.2000000000000002"/>
    <x v="0"/>
    <n v="13050"/>
    <x v="0"/>
    <x v="1"/>
    <n v="3"/>
    <n v="29"/>
    <x v="1"/>
    <m/>
    <x v="2"/>
    <x v="2"/>
    <x v="2"/>
    <n v="1"/>
    <n v="1"/>
    <n v="0"/>
  </r>
  <r>
    <s v="E10333"/>
    <x v="2"/>
    <x v="0"/>
    <s v="Female"/>
    <n v="22"/>
    <s v="20-25"/>
    <x v="0"/>
    <d v="2025-09-28T00:00:00"/>
    <n v="0.3"/>
    <x v="3"/>
    <n v="6100"/>
    <x v="0"/>
    <x v="1"/>
    <n v="3"/>
    <n v="41"/>
    <x v="1"/>
    <m/>
    <x v="2"/>
    <x v="2"/>
    <x v="2"/>
    <n v="1"/>
    <n v="1"/>
    <n v="0"/>
  </r>
  <r>
    <s v="E10334"/>
    <x v="1"/>
    <x v="1"/>
    <s v="Female"/>
    <n v="33"/>
    <s v="26-35"/>
    <x v="1"/>
    <d v="2018-03-19T00:00:00"/>
    <n v="7.8"/>
    <x v="1"/>
    <n v="4150"/>
    <x v="0"/>
    <x v="0"/>
    <n v="5"/>
    <n v="23"/>
    <x v="1"/>
    <m/>
    <x v="2"/>
    <x v="2"/>
    <x v="2"/>
    <n v="1"/>
    <n v="1"/>
    <n v="0"/>
  </r>
  <r>
    <s v="E10335"/>
    <x v="3"/>
    <x v="1"/>
    <s v="Female"/>
    <n v="36"/>
    <s v="36-45"/>
    <x v="0"/>
    <d v="2018-01-10T00:00:00"/>
    <n v="8"/>
    <x v="1"/>
    <n v="7550"/>
    <x v="0"/>
    <x v="2"/>
    <n v="4"/>
    <n v="51"/>
    <x v="1"/>
    <m/>
    <x v="2"/>
    <x v="2"/>
    <x v="2"/>
    <n v="1"/>
    <n v="1"/>
    <n v="0"/>
  </r>
  <r>
    <s v="E10336"/>
    <x v="1"/>
    <x v="1"/>
    <s v="Female"/>
    <n v="36"/>
    <s v="36-45"/>
    <x v="0"/>
    <d v="2018-06-23T00:00:00"/>
    <n v="7.5"/>
    <x v="1"/>
    <n v="4200"/>
    <x v="0"/>
    <x v="4"/>
    <n v="3"/>
    <n v="30"/>
    <x v="1"/>
    <m/>
    <x v="2"/>
    <x v="2"/>
    <x v="2"/>
    <n v="1"/>
    <n v="1"/>
    <n v="0"/>
  </r>
  <r>
    <s v="E10337"/>
    <x v="1"/>
    <x v="1"/>
    <s v="Male"/>
    <n v="32"/>
    <s v="26-35"/>
    <x v="1"/>
    <d v="2023-12-05T00:00:00"/>
    <n v="2.1"/>
    <x v="0"/>
    <n v="3800"/>
    <x v="1"/>
    <x v="1"/>
    <n v="5"/>
    <n v="25"/>
    <x v="1"/>
    <m/>
    <x v="2"/>
    <x v="2"/>
    <x v="2"/>
    <n v="1"/>
    <n v="1"/>
    <n v="0"/>
  </r>
  <r>
    <s v="E10338"/>
    <x v="5"/>
    <x v="1"/>
    <s v="Male"/>
    <n v="23"/>
    <s v="20-25"/>
    <x v="1"/>
    <d v="2025-06-26T00:00:00"/>
    <n v="0.4"/>
    <x v="3"/>
    <n v="4550"/>
    <x v="0"/>
    <x v="4"/>
    <n v="4"/>
    <n v="27"/>
    <x v="0"/>
    <d v="2025-11-14T00:00:00"/>
    <x v="1"/>
    <x v="10"/>
    <x v="1"/>
    <n v="1"/>
    <n v="0"/>
    <n v="1"/>
  </r>
  <r>
    <s v="E10339"/>
    <x v="0"/>
    <x v="1"/>
    <s v="Male"/>
    <n v="34"/>
    <s v="26-35"/>
    <x v="0"/>
    <d v="2019-04-07T00:00:00"/>
    <n v="6.7"/>
    <x v="1"/>
    <n v="3950"/>
    <x v="1"/>
    <x v="3"/>
    <n v="3"/>
    <n v="21"/>
    <x v="1"/>
    <m/>
    <x v="2"/>
    <x v="2"/>
    <x v="2"/>
    <n v="1"/>
    <n v="1"/>
    <n v="0"/>
  </r>
  <r>
    <s v="E10340"/>
    <x v="1"/>
    <x v="1"/>
    <s v="Male"/>
    <n v="21"/>
    <s v="20-25"/>
    <x v="1"/>
    <d v="2025-11-03T00:00:00"/>
    <n v="0.2"/>
    <x v="3"/>
    <n v="3150"/>
    <x v="0"/>
    <x v="2"/>
    <n v="3"/>
    <n v="30"/>
    <x v="1"/>
    <m/>
    <x v="2"/>
    <x v="2"/>
    <x v="2"/>
    <n v="1"/>
    <n v="1"/>
    <n v="0"/>
  </r>
  <r>
    <s v="E10341"/>
    <x v="1"/>
    <x v="0"/>
    <s v="Female"/>
    <n v="22"/>
    <s v="20-25"/>
    <x v="1"/>
    <d v="2025-07-10T00:00:00"/>
    <n v="0.3"/>
    <x v="3"/>
    <n v="3050"/>
    <x v="1"/>
    <x v="1"/>
    <n v="4"/>
    <n v="5"/>
    <x v="0"/>
    <d v="2025-10-20T00:00:00"/>
    <x v="1"/>
    <x v="11"/>
    <x v="3"/>
    <n v="1"/>
    <n v="0"/>
    <n v="1"/>
  </r>
  <r>
    <s v="E10342"/>
    <x v="0"/>
    <x v="0"/>
    <s v="Male"/>
    <n v="23"/>
    <s v="20-25"/>
    <x v="2"/>
    <d v="2025-04-16T00:00:00"/>
    <n v="0.1"/>
    <x v="3"/>
    <n v="2800"/>
    <x v="0"/>
    <x v="2"/>
    <n v="3"/>
    <n v="29"/>
    <x v="0"/>
    <d v="2025-05-12T00:00:00"/>
    <x v="1"/>
    <x v="9"/>
    <x v="1"/>
    <n v="1"/>
    <n v="0"/>
    <n v="1"/>
  </r>
  <r>
    <s v="E10343"/>
    <x v="5"/>
    <x v="2"/>
    <s v="Male"/>
    <n v="52"/>
    <s v="46+"/>
    <x v="1"/>
    <d v="2023-01-23T00:00:00"/>
    <n v="2.6"/>
    <x v="0"/>
    <n v="6650"/>
    <x v="0"/>
    <x v="0"/>
    <n v="4"/>
    <n v="11"/>
    <x v="0"/>
    <d v="2025-08-20T00:00:00"/>
    <x v="1"/>
    <x v="1"/>
    <x v="0"/>
    <n v="1"/>
    <n v="0"/>
    <n v="1"/>
  </r>
  <r>
    <s v="E10344"/>
    <x v="2"/>
    <x v="1"/>
    <s v="Male"/>
    <n v="31"/>
    <s v="26-35"/>
    <x v="0"/>
    <d v="2019-12-12T00:00:00"/>
    <n v="6.1"/>
    <x v="1"/>
    <n v="7300"/>
    <x v="0"/>
    <x v="0"/>
    <n v="3"/>
    <n v="29"/>
    <x v="1"/>
    <m/>
    <x v="2"/>
    <x v="2"/>
    <x v="2"/>
    <n v="1"/>
    <n v="1"/>
    <n v="0"/>
  </r>
  <r>
    <s v="E10345"/>
    <x v="4"/>
    <x v="1"/>
    <s v="Male"/>
    <n v="36"/>
    <s v="36-45"/>
    <x v="0"/>
    <d v="2015-02-12T00:00:00"/>
    <n v="8.9"/>
    <x v="1"/>
    <n v="4900"/>
    <x v="1"/>
    <x v="2"/>
    <n v="3"/>
    <n v="19"/>
    <x v="0"/>
    <d v="2024-01-06T00:00:00"/>
    <x v="0"/>
    <x v="7"/>
    <x v="1"/>
    <n v="1"/>
    <n v="0"/>
    <n v="1"/>
  </r>
  <r>
    <s v="E10346"/>
    <x v="0"/>
    <x v="0"/>
    <s v="Female"/>
    <n v="24"/>
    <s v="20-25"/>
    <x v="1"/>
    <d v="2023-08-12T00:00:00"/>
    <n v="2.4"/>
    <x v="0"/>
    <n v="3000"/>
    <x v="0"/>
    <x v="1"/>
    <n v="3"/>
    <n v="24"/>
    <x v="1"/>
    <m/>
    <x v="2"/>
    <x v="2"/>
    <x v="2"/>
    <n v="1"/>
    <n v="1"/>
    <n v="0"/>
  </r>
  <r>
    <s v="E10347"/>
    <x v="5"/>
    <x v="2"/>
    <s v="Male"/>
    <n v="48"/>
    <s v="46+"/>
    <x v="1"/>
    <d v="2012-01-27T00:00:00"/>
    <n v="13.9"/>
    <x v="1"/>
    <n v="8050"/>
    <x v="0"/>
    <x v="0"/>
    <n v="4"/>
    <n v="15"/>
    <x v="1"/>
    <m/>
    <x v="2"/>
    <x v="2"/>
    <x v="2"/>
    <n v="1"/>
    <n v="1"/>
    <n v="0"/>
  </r>
  <r>
    <s v="E10348"/>
    <x v="3"/>
    <x v="2"/>
    <s v="Male"/>
    <n v="27"/>
    <s v="26-35"/>
    <x v="1"/>
    <d v="2022-11-03T00:00:00"/>
    <n v="3.2"/>
    <x v="2"/>
    <n v="11650"/>
    <x v="0"/>
    <x v="0"/>
    <n v="3"/>
    <n v="25"/>
    <x v="1"/>
    <m/>
    <x v="2"/>
    <x v="2"/>
    <x v="2"/>
    <n v="1"/>
    <n v="1"/>
    <n v="0"/>
  </r>
  <r>
    <s v="E10349"/>
    <x v="1"/>
    <x v="0"/>
    <s v="Male"/>
    <n v="32"/>
    <s v="26-35"/>
    <x v="2"/>
    <d v="2023-01-27T00:00:00"/>
    <n v="2.9"/>
    <x v="0"/>
    <n v="4000"/>
    <x v="1"/>
    <x v="1"/>
    <n v="2"/>
    <n v="24"/>
    <x v="1"/>
    <m/>
    <x v="2"/>
    <x v="2"/>
    <x v="2"/>
    <n v="1"/>
    <n v="1"/>
    <n v="0"/>
  </r>
  <r>
    <s v="E10350"/>
    <x v="0"/>
    <x v="0"/>
    <s v="Male"/>
    <n v="22"/>
    <s v="20-25"/>
    <x v="2"/>
    <d v="2025-03-24T00:00:00"/>
    <n v="0.6"/>
    <x v="3"/>
    <n v="3450"/>
    <x v="0"/>
    <x v="0"/>
    <n v="3"/>
    <n v="26"/>
    <x v="0"/>
    <d v="2025-10-19T00:00:00"/>
    <x v="1"/>
    <x v="11"/>
    <x v="3"/>
    <n v="1"/>
    <n v="0"/>
    <n v="1"/>
  </r>
  <r>
    <s v="E10351"/>
    <x v="3"/>
    <x v="1"/>
    <s v="Male"/>
    <n v="30"/>
    <s v="26-35"/>
    <x v="0"/>
    <d v="2022-04-25T00:00:00"/>
    <n v="3.7"/>
    <x v="2"/>
    <n v="7550"/>
    <x v="0"/>
    <x v="1"/>
    <n v="3"/>
    <n v="25"/>
    <x v="1"/>
    <m/>
    <x v="2"/>
    <x v="2"/>
    <x v="2"/>
    <n v="1"/>
    <n v="1"/>
    <n v="0"/>
  </r>
  <r>
    <s v="E10352"/>
    <x v="5"/>
    <x v="3"/>
    <s v="Male"/>
    <n v="45"/>
    <s v="36-45"/>
    <x v="0"/>
    <d v="2015-11-04T00:00:00"/>
    <n v="10.199999999999999"/>
    <x v="1"/>
    <n v="10850"/>
    <x v="1"/>
    <x v="0"/>
    <n v="4"/>
    <n v="20"/>
    <x v="1"/>
    <m/>
    <x v="2"/>
    <x v="2"/>
    <x v="2"/>
    <n v="1"/>
    <n v="1"/>
    <n v="0"/>
  </r>
  <r>
    <s v="E10353"/>
    <x v="2"/>
    <x v="1"/>
    <s v="Female"/>
    <n v="27"/>
    <s v="26-35"/>
    <x v="0"/>
    <d v="2024-10-24T00:00:00"/>
    <n v="1.2"/>
    <x v="0"/>
    <n v="6450"/>
    <x v="0"/>
    <x v="0"/>
    <n v="4"/>
    <n v="20"/>
    <x v="1"/>
    <m/>
    <x v="2"/>
    <x v="2"/>
    <x v="2"/>
    <n v="1"/>
    <n v="1"/>
    <n v="0"/>
  </r>
  <r>
    <s v="E10354"/>
    <x v="1"/>
    <x v="0"/>
    <s v="Male"/>
    <n v="22"/>
    <s v="20-25"/>
    <x v="1"/>
    <d v="2025-06-05T00:00:00"/>
    <n v="0.6"/>
    <x v="3"/>
    <n v="3050"/>
    <x v="0"/>
    <x v="1"/>
    <n v="4"/>
    <n v="31"/>
    <x v="1"/>
    <m/>
    <x v="2"/>
    <x v="2"/>
    <x v="2"/>
    <n v="1"/>
    <n v="1"/>
    <n v="0"/>
  </r>
  <r>
    <s v="E10355"/>
    <x v="1"/>
    <x v="1"/>
    <s v="Female"/>
    <n v="27"/>
    <s v="26-35"/>
    <x v="0"/>
    <d v="2022-02-14T00:00:00"/>
    <n v="3.9"/>
    <x v="2"/>
    <n v="3700"/>
    <x v="1"/>
    <x v="0"/>
    <n v="3"/>
    <n v="12"/>
    <x v="1"/>
    <m/>
    <x v="2"/>
    <x v="2"/>
    <x v="2"/>
    <n v="1"/>
    <n v="1"/>
    <n v="0"/>
  </r>
  <r>
    <s v="E10356"/>
    <x v="4"/>
    <x v="0"/>
    <s v="Female"/>
    <n v="24"/>
    <s v="20-25"/>
    <x v="0"/>
    <d v="2024-07-26T00:00:00"/>
    <n v="1.4"/>
    <x v="0"/>
    <n v="4700"/>
    <x v="0"/>
    <x v="2"/>
    <n v="2"/>
    <n v="1"/>
    <x v="1"/>
    <m/>
    <x v="2"/>
    <x v="2"/>
    <x v="2"/>
    <n v="1"/>
    <n v="1"/>
    <n v="0"/>
  </r>
  <r>
    <s v="E10357"/>
    <x v="6"/>
    <x v="0"/>
    <s v="Male"/>
    <n v="26"/>
    <s v="26-35"/>
    <x v="1"/>
    <d v="2024-08-26T00:00:00"/>
    <n v="1.3"/>
    <x v="0"/>
    <n v="3650"/>
    <x v="0"/>
    <x v="1"/>
    <n v="4"/>
    <n v="21"/>
    <x v="1"/>
    <m/>
    <x v="2"/>
    <x v="2"/>
    <x v="2"/>
    <n v="1"/>
    <n v="1"/>
    <n v="0"/>
  </r>
  <r>
    <s v="E10358"/>
    <x v="0"/>
    <x v="0"/>
    <s v="Male"/>
    <n v="31"/>
    <s v="26-35"/>
    <x v="0"/>
    <d v="2018-02-25T00:00:00"/>
    <n v="7.8"/>
    <x v="1"/>
    <n v="2500"/>
    <x v="0"/>
    <x v="0"/>
    <n v="3"/>
    <n v="18"/>
    <x v="1"/>
    <m/>
    <x v="2"/>
    <x v="2"/>
    <x v="2"/>
    <n v="1"/>
    <n v="1"/>
    <n v="0"/>
  </r>
  <r>
    <s v="E10359"/>
    <x v="0"/>
    <x v="0"/>
    <s v="Male"/>
    <n v="24"/>
    <s v="20-25"/>
    <x v="1"/>
    <d v="2023-09-21T00:00:00"/>
    <n v="2.2999999999999998"/>
    <x v="0"/>
    <n v="2800"/>
    <x v="0"/>
    <x v="0"/>
    <n v="3"/>
    <n v="13"/>
    <x v="1"/>
    <m/>
    <x v="2"/>
    <x v="2"/>
    <x v="2"/>
    <n v="1"/>
    <n v="1"/>
    <n v="0"/>
  </r>
  <r>
    <s v="E10360"/>
    <x v="0"/>
    <x v="1"/>
    <s v="Male"/>
    <n v="32"/>
    <s v="26-35"/>
    <x v="1"/>
    <d v="2022-08-04T00:00:00"/>
    <n v="3.4"/>
    <x v="2"/>
    <n v="3450"/>
    <x v="0"/>
    <x v="0"/>
    <n v="5"/>
    <n v="27"/>
    <x v="1"/>
    <m/>
    <x v="2"/>
    <x v="2"/>
    <x v="2"/>
    <n v="1"/>
    <n v="1"/>
    <n v="0"/>
  </r>
  <r>
    <s v="E10361"/>
    <x v="1"/>
    <x v="0"/>
    <s v="Male"/>
    <n v="25"/>
    <s v="20-25"/>
    <x v="1"/>
    <d v="2024-06-27T00:00:00"/>
    <n v="1.5"/>
    <x v="0"/>
    <n v="3800"/>
    <x v="1"/>
    <x v="1"/>
    <n v="3"/>
    <n v="44"/>
    <x v="1"/>
    <m/>
    <x v="2"/>
    <x v="2"/>
    <x v="2"/>
    <n v="1"/>
    <n v="1"/>
    <n v="0"/>
  </r>
  <r>
    <s v="E10362"/>
    <x v="6"/>
    <x v="2"/>
    <s v="Male"/>
    <n v="40"/>
    <s v="36-45"/>
    <x v="1"/>
    <d v="2011-04-13T00:00:00"/>
    <n v="12.9"/>
    <x v="1"/>
    <n v="6300"/>
    <x v="0"/>
    <x v="4"/>
    <n v="2"/>
    <n v="22"/>
    <x v="0"/>
    <d v="2024-03-10T00:00:00"/>
    <x v="0"/>
    <x v="3"/>
    <x v="0"/>
    <n v="1"/>
    <n v="0"/>
    <n v="1"/>
  </r>
  <r>
    <s v="E10363"/>
    <x v="1"/>
    <x v="0"/>
    <s v="Male"/>
    <n v="28"/>
    <s v="26-35"/>
    <x v="0"/>
    <d v="2020-06-15T00:00:00"/>
    <n v="5.5"/>
    <x v="1"/>
    <n v="2700"/>
    <x v="1"/>
    <x v="0"/>
    <n v="3"/>
    <n v="30"/>
    <x v="1"/>
    <m/>
    <x v="2"/>
    <x v="2"/>
    <x v="2"/>
    <n v="1"/>
    <n v="1"/>
    <n v="0"/>
  </r>
  <r>
    <s v="E10364"/>
    <x v="1"/>
    <x v="0"/>
    <s v="Female"/>
    <n v="25"/>
    <s v="20-25"/>
    <x v="1"/>
    <d v="2024-06-25T00:00:00"/>
    <n v="1.5"/>
    <x v="0"/>
    <n v="3100"/>
    <x v="1"/>
    <x v="4"/>
    <n v="3"/>
    <n v="16"/>
    <x v="1"/>
    <m/>
    <x v="2"/>
    <x v="2"/>
    <x v="2"/>
    <n v="1"/>
    <n v="1"/>
    <n v="0"/>
  </r>
  <r>
    <s v="E10365"/>
    <x v="5"/>
    <x v="1"/>
    <s v="Female"/>
    <n v="35"/>
    <s v="26-35"/>
    <x v="1"/>
    <d v="2014-11-15T00:00:00"/>
    <n v="9.6999999999999993"/>
    <x v="1"/>
    <n v="4900"/>
    <x v="1"/>
    <x v="1"/>
    <n v="5"/>
    <n v="23"/>
    <x v="0"/>
    <d v="2024-07-18T00:00:00"/>
    <x v="0"/>
    <x v="4"/>
    <x v="3"/>
    <n v="1"/>
    <n v="0"/>
    <n v="1"/>
  </r>
  <r>
    <s v="E10366"/>
    <x v="0"/>
    <x v="0"/>
    <s v="Male"/>
    <n v="21"/>
    <s v="20-25"/>
    <x v="1"/>
    <d v="2025-09-18T00:00:00"/>
    <n v="0.3"/>
    <x v="3"/>
    <n v="2950"/>
    <x v="0"/>
    <x v="1"/>
    <n v="4"/>
    <n v="39"/>
    <x v="1"/>
    <m/>
    <x v="2"/>
    <x v="2"/>
    <x v="2"/>
    <n v="1"/>
    <n v="1"/>
    <n v="0"/>
  </r>
  <r>
    <s v="E10367"/>
    <x v="3"/>
    <x v="2"/>
    <s v="Female"/>
    <n v="40"/>
    <s v="36-45"/>
    <x v="1"/>
    <d v="2021-12-15T00:00:00"/>
    <n v="4"/>
    <x v="2"/>
    <n v="10200"/>
    <x v="0"/>
    <x v="0"/>
    <n v="3"/>
    <n v="4"/>
    <x v="1"/>
    <m/>
    <x v="2"/>
    <x v="2"/>
    <x v="2"/>
    <n v="1"/>
    <n v="1"/>
    <n v="0"/>
  </r>
  <r>
    <s v="E10368"/>
    <x v="5"/>
    <x v="2"/>
    <s v="Male"/>
    <n v="39"/>
    <s v="36-45"/>
    <x v="1"/>
    <d v="2020-06-07T00:00:00"/>
    <n v="5.6"/>
    <x v="1"/>
    <n v="7900"/>
    <x v="0"/>
    <x v="2"/>
    <n v="3"/>
    <n v="34"/>
    <x v="1"/>
    <m/>
    <x v="2"/>
    <x v="2"/>
    <x v="2"/>
    <n v="1"/>
    <n v="1"/>
    <n v="0"/>
  </r>
  <r>
    <s v="E10369"/>
    <x v="1"/>
    <x v="1"/>
    <s v="Female"/>
    <n v="35"/>
    <s v="26-35"/>
    <x v="0"/>
    <d v="2016-07-05T00:00:00"/>
    <n v="9.1999999999999993"/>
    <x v="1"/>
    <n v="5200"/>
    <x v="0"/>
    <x v="0"/>
    <n v="4"/>
    <n v="43"/>
    <x v="0"/>
    <d v="2025-10-02T00:00:00"/>
    <x v="1"/>
    <x v="11"/>
    <x v="3"/>
    <n v="1"/>
    <n v="0"/>
    <n v="1"/>
  </r>
  <r>
    <s v="E10370"/>
    <x v="3"/>
    <x v="3"/>
    <s v="Male"/>
    <n v="41"/>
    <s v="36-45"/>
    <x v="1"/>
    <d v="2014-06-10T00:00:00"/>
    <n v="11.6"/>
    <x v="1"/>
    <n v="14700"/>
    <x v="0"/>
    <x v="4"/>
    <n v="3"/>
    <n v="33"/>
    <x v="1"/>
    <m/>
    <x v="2"/>
    <x v="2"/>
    <x v="2"/>
    <n v="1"/>
    <n v="1"/>
    <n v="0"/>
  </r>
  <r>
    <s v="E10371"/>
    <x v="5"/>
    <x v="1"/>
    <s v="Female"/>
    <n v="39"/>
    <s v="36-45"/>
    <x v="1"/>
    <d v="2015-11-18T00:00:00"/>
    <n v="10.1"/>
    <x v="1"/>
    <n v="5500"/>
    <x v="1"/>
    <x v="0"/>
    <n v="3"/>
    <n v="35"/>
    <x v="1"/>
    <m/>
    <x v="2"/>
    <x v="2"/>
    <x v="2"/>
    <n v="1"/>
    <n v="1"/>
    <n v="0"/>
  </r>
  <r>
    <s v="E10372"/>
    <x v="3"/>
    <x v="0"/>
    <s v="Female"/>
    <n v="28"/>
    <s v="26-35"/>
    <x v="2"/>
    <d v="2023-01-07T00:00:00"/>
    <n v="1.7"/>
    <x v="0"/>
    <n v="5250"/>
    <x v="0"/>
    <x v="0"/>
    <n v="4"/>
    <n v="12"/>
    <x v="0"/>
    <d v="2024-09-20T00:00:00"/>
    <x v="0"/>
    <x v="12"/>
    <x v="0"/>
    <n v="1"/>
    <n v="0"/>
    <n v="1"/>
  </r>
  <r>
    <s v="E10373"/>
    <x v="2"/>
    <x v="2"/>
    <s v="Male"/>
    <n v="36"/>
    <s v="36-45"/>
    <x v="1"/>
    <d v="2023-05-13T00:00:00"/>
    <n v="2.6"/>
    <x v="0"/>
    <n v="11400"/>
    <x v="0"/>
    <x v="4"/>
    <n v="2"/>
    <n v="25"/>
    <x v="1"/>
    <m/>
    <x v="2"/>
    <x v="2"/>
    <x v="2"/>
    <n v="1"/>
    <n v="1"/>
    <n v="0"/>
  </r>
  <r>
    <s v="E10374"/>
    <x v="1"/>
    <x v="0"/>
    <s v="Male"/>
    <n v="21"/>
    <s v="20-25"/>
    <x v="0"/>
    <d v="2025-10-02T00:00:00"/>
    <n v="0.2"/>
    <x v="3"/>
    <n v="3050"/>
    <x v="0"/>
    <x v="1"/>
    <n v="4"/>
    <n v="30"/>
    <x v="1"/>
    <m/>
    <x v="2"/>
    <x v="2"/>
    <x v="2"/>
    <n v="1"/>
    <n v="1"/>
    <n v="0"/>
  </r>
  <r>
    <s v="E10375"/>
    <x v="4"/>
    <x v="2"/>
    <s v="Female"/>
    <n v="37"/>
    <s v="36-45"/>
    <x v="1"/>
    <d v="2015-02-04T00:00:00"/>
    <n v="9.6"/>
    <x v="1"/>
    <n v="7050"/>
    <x v="0"/>
    <x v="1"/>
    <n v="3"/>
    <n v="35"/>
    <x v="0"/>
    <d v="2024-09-11T00:00:00"/>
    <x v="0"/>
    <x v="12"/>
    <x v="0"/>
    <n v="1"/>
    <n v="0"/>
    <n v="1"/>
  </r>
  <r>
    <s v="E10376"/>
    <x v="6"/>
    <x v="2"/>
    <s v="Male"/>
    <n v="48"/>
    <s v="46+"/>
    <x v="1"/>
    <d v="2019-11-10T00:00:00"/>
    <n v="6.1"/>
    <x v="1"/>
    <n v="6950"/>
    <x v="1"/>
    <x v="0"/>
    <n v="3"/>
    <n v="8"/>
    <x v="1"/>
    <m/>
    <x v="2"/>
    <x v="2"/>
    <x v="2"/>
    <n v="1"/>
    <n v="1"/>
    <n v="0"/>
  </r>
  <r>
    <s v="E10377"/>
    <x v="3"/>
    <x v="2"/>
    <s v="Female"/>
    <n v="30"/>
    <s v="26-35"/>
    <x v="2"/>
    <d v="2021-04-03T00:00:00"/>
    <n v="4.7"/>
    <x v="2"/>
    <n v="10750"/>
    <x v="0"/>
    <x v="4"/>
    <n v="3"/>
    <n v="24"/>
    <x v="1"/>
    <m/>
    <x v="2"/>
    <x v="2"/>
    <x v="2"/>
    <n v="1"/>
    <n v="1"/>
    <n v="0"/>
  </r>
  <r>
    <s v="E10378"/>
    <x v="0"/>
    <x v="1"/>
    <s v="Male"/>
    <n v="36"/>
    <s v="36-45"/>
    <x v="1"/>
    <d v="2021-04-23T00:00:00"/>
    <n v="4.4000000000000004"/>
    <x v="2"/>
    <n v="3200"/>
    <x v="0"/>
    <x v="0"/>
    <n v="4"/>
    <n v="15"/>
    <x v="0"/>
    <d v="2025-09-01T00:00:00"/>
    <x v="1"/>
    <x v="12"/>
    <x v="1"/>
    <n v="1"/>
    <n v="0"/>
    <n v="1"/>
  </r>
  <r>
    <s v="E10379"/>
    <x v="1"/>
    <x v="0"/>
    <s v="Female"/>
    <n v="28"/>
    <s v="26-35"/>
    <x v="0"/>
    <d v="2021-08-19T00:00:00"/>
    <n v="3.6"/>
    <x v="2"/>
    <n v="3350"/>
    <x v="1"/>
    <x v="3"/>
    <n v="3"/>
    <n v="10"/>
    <x v="0"/>
    <d v="2025-03-15T00:00:00"/>
    <x v="1"/>
    <x v="3"/>
    <x v="3"/>
    <n v="1"/>
    <n v="0"/>
    <n v="1"/>
  </r>
  <r>
    <s v="E10380"/>
    <x v="1"/>
    <x v="1"/>
    <s v="Female"/>
    <n v="28"/>
    <s v="26-35"/>
    <x v="1"/>
    <d v="2024-05-31T00:00:00"/>
    <n v="1.6"/>
    <x v="0"/>
    <n v="4550"/>
    <x v="1"/>
    <x v="1"/>
    <n v="4"/>
    <n v="16"/>
    <x v="1"/>
    <m/>
    <x v="2"/>
    <x v="2"/>
    <x v="2"/>
    <n v="1"/>
    <n v="1"/>
    <n v="0"/>
  </r>
  <r>
    <s v="E10381"/>
    <x v="6"/>
    <x v="1"/>
    <s v="Male"/>
    <n v="24"/>
    <s v="20-25"/>
    <x v="0"/>
    <d v="2024-09-21T00:00:00"/>
    <n v="1.3"/>
    <x v="0"/>
    <n v="5150"/>
    <x v="0"/>
    <x v="1"/>
    <n v="3"/>
    <n v="13"/>
    <x v="1"/>
    <m/>
    <x v="2"/>
    <x v="2"/>
    <x v="2"/>
    <n v="1"/>
    <n v="1"/>
    <n v="0"/>
  </r>
  <r>
    <s v="E10382"/>
    <x v="5"/>
    <x v="0"/>
    <s v="Male"/>
    <n v="24"/>
    <s v="20-25"/>
    <x v="1"/>
    <d v="2023-10-02T00:00:00"/>
    <n v="2.1"/>
    <x v="0"/>
    <n v="4050"/>
    <x v="0"/>
    <x v="4"/>
    <n v="3"/>
    <n v="8"/>
    <x v="0"/>
    <d v="2025-10-27T00:00:00"/>
    <x v="1"/>
    <x v="11"/>
    <x v="0"/>
    <n v="1"/>
    <n v="0"/>
    <n v="1"/>
  </r>
  <r>
    <s v="E10383"/>
    <x v="3"/>
    <x v="1"/>
    <s v="Female"/>
    <n v="35"/>
    <s v="26-35"/>
    <x v="1"/>
    <d v="2020-09-09T00:00:00"/>
    <n v="4.7"/>
    <x v="2"/>
    <n v="7850"/>
    <x v="0"/>
    <x v="1"/>
    <n v="4"/>
    <n v="29"/>
    <x v="0"/>
    <d v="2025-05-16T00:00:00"/>
    <x v="1"/>
    <x v="9"/>
    <x v="5"/>
    <n v="1"/>
    <n v="0"/>
    <n v="1"/>
  </r>
  <r>
    <s v="E10384"/>
    <x v="0"/>
    <x v="0"/>
    <s v="Male"/>
    <n v="23"/>
    <s v="20-25"/>
    <x v="1"/>
    <d v="2025-08-28T00:00:00"/>
    <n v="0.3"/>
    <x v="3"/>
    <n v="2950"/>
    <x v="1"/>
    <x v="2"/>
    <n v="3"/>
    <n v="26"/>
    <x v="1"/>
    <m/>
    <x v="2"/>
    <x v="2"/>
    <x v="2"/>
    <n v="1"/>
    <n v="1"/>
    <n v="0"/>
  </r>
  <r>
    <s v="E10385"/>
    <x v="0"/>
    <x v="0"/>
    <s v="Female"/>
    <n v="21"/>
    <s v="20-25"/>
    <x v="0"/>
    <d v="2025-10-14T00:00:00"/>
    <n v="0.2"/>
    <x v="3"/>
    <n v="2400"/>
    <x v="0"/>
    <x v="1"/>
    <n v="4"/>
    <n v="17"/>
    <x v="1"/>
    <m/>
    <x v="2"/>
    <x v="2"/>
    <x v="2"/>
    <n v="1"/>
    <n v="1"/>
    <n v="0"/>
  </r>
  <r>
    <s v="E10386"/>
    <x v="0"/>
    <x v="0"/>
    <s v="Male"/>
    <n v="23"/>
    <s v="20-25"/>
    <x v="0"/>
    <d v="2024-07-13T00:00:00"/>
    <n v="1.5"/>
    <x v="0"/>
    <n v="2450"/>
    <x v="0"/>
    <x v="1"/>
    <n v="3"/>
    <n v="29"/>
    <x v="1"/>
    <m/>
    <x v="2"/>
    <x v="2"/>
    <x v="2"/>
    <n v="1"/>
    <n v="1"/>
    <n v="0"/>
  </r>
  <r>
    <s v="E10387"/>
    <x v="6"/>
    <x v="0"/>
    <s v="Male"/>
    <n v="24"/>
    <s v="20-25"/>
    <x v="1"/>
    <d v="2023-12-28T00:00:00"/>
    <n v="2"/>
    <x v="0"/>
    <n v="4650"/>
    <x v="0"/>
    <x v="1"/>
    <n v="4"/>
    <n v="20"/>
    <x v="1"/>
    <m/>
    <x v="2"/>
    <x v="2"/>
    <x v="2"/>
    <n v="1"/>
    <n v="1"/>
    <n v="0"/>
  </r>
  <r>
    <s v="E10388"/>
    <x v="5"/>
    <x v="1"/>
    <s v="Male"/>
    <n v="32"/>
    <s v="26-35"/>
    <x v="1"/>
    <d v="2020-09-30T00:00:00"/>
    <n v="5.3"/>
    <x v="1"/>
    <n v="5700"/>
    <x v="0"/>
    <x v="0"/>
    <n v="4"/>
    <n v="30"/>
    <x v="1"/>
    <m/>
    <x v="2"/>
    <x v="2"/>
    <x v="2"/>
    <n v="1"/>
    <n v="1"/>
    <n v="0"/>
  </r>
  <r>
    <s v="E10389"/>
    <x v="0"/>
    <x v="1"/>
    <s v="Male"/>
    <n v="31"/>
    <s v="26-35"/>
    <x v="1"/>
    <d v="2021-06-10T00:00:00"/>
    <n v="4.5999999999999996"/>
    <x v="2"/>
    <n v="3500"/>
    <x v="1"/>
    <x v="1"/>
    <n v="3"/>
    <n v="25"/>
    <x v="1"/>
    <m/>
    <x v="2"/>
    <x v="2"/>
    <x v="2"/>
    <n v="1"/>
    <n v="1"/>
    <n v="0"/>
  </r>
  <r>
    <s v="E10390"/>
    <x v="4"/>
    <x v="0"/>
    <s v="Female"/>
    <n v="27"/>
    <s v="26-35"/>
    <x v="0"/>
    <d v="2021-04-06T00:00:00"/>
    <n v="4.7"/>
    <x v="2"/>
    <n v="4500"/>
    <x v="0"/>
    <x v="4"/>
    <n v="4"/>
    <n v="23"/>
    <x v="1"/>
    <m/>
    <x v="2"/>
    <x v="2"/>
    <x v="2"/>
    <n v="1"/>
    <n v="1"/>
    <n v="0"/>
  </r>
  <r>
    <s v="E10391"/>
    <x v="1"/>
    <x v="2"/>
    <s v="Male"/>
    <n v="32"/>
    <s v="26-35"/>
    <x v="2"/>
    <d v="2024-07-27T00:00:00"/>
    <n v="1.4"/>
    <x v="0"/>
    <n v="7250"/>
    <x v="0"/>
    <x v="0"/>
    <n v="5"/>
    <n v="22"/>
    <x v="1"/>
    <m/>
    <x v="2"/>
    <x v="2"/>
    <x v="2"/>
    <n v="1"/>
    <n v="1"/>
    <n v="0"/>
  </r>
  <r>
    <s v="E10392"/>
    <x v="1"/>
    <x v="1"/>
    <s v="Female"/>
    <n v="41"/>
    <s v="36-45"/>
    <x v="1"/>
    <d v="2013-06-01T00:00:00"/>
    <n v="12.6"/>
    <x v="1"/>
    <n v="4450"/>
    <x v="0"/>
    <x v="0"/>
    <n v="3"/>
    <n v="49"/>
    <x v="1"/>
    <m/>
    <x v="2"/>
    <x v="2"/>
    <x v="2"/>
    <n v="1"/>
    <n v="1"/>
    <n v="0"/>
  </r>
  <r>
    <s v="E10393"/>
    <x v="2"/>
    <x v="3"/>
    <s v="Female"/>
    <n v="51"/>
    <s v="46+"/>
    <x v="2"/>
    <d v="2013-10-24T00:00:00"/>
    <n v="12.2"/>
    <x v="1"/>
    <n v="13950"/>
    <x v="0"/>
    <x v="1"/>
    <n v="2"/>
    <n v="24"/>
    <x v="1"/>
    <m/>
    <x v="2"/>
    <x v="2"/>
    <x v="2"/>
    <n v="1"/>
    <n v="1"/>
    <n v="0"/>
  </r>
  <r>
    <s v="E10394"/>
    <x v="0"/>
    <x v="1"/>
    <s v="Male"/>
    <n v="35"/>
    <s v="26-35"/>
    <x v="1"/>
    <d v="2016-12-30T00:00:00"/>
    <n v="9"/>
    <x v="1"/>
    <n v="3750"/>
    <x v="0"/>
    <x v="0"/>
    <n v="2"/>
    <n v="27"/>
    <x v="1"/>
    <m/>
    <x v="2"/>
    <x v="2"/>
    <x v="2"/>
    <n v="1"/>
    <n v="1"/>
    <n v="0"/>
  </r>
  <r>
    <s v="E10395"/>
    <x v="1"/>
    <x v="0"/>
    <s v="Male"/>
    <n v="22"/>
    <s v="20-25"/>
    <x v="1"/>
    <d v="2025-04-23T00:00:00"/>
    <n v="0.7"/>
    <x v="3"/>
    <n v="3650"/>
    <x v="0"/>
    <x v="4"/>
    <n v="4"/>
    <n v="18"/>
    <x v="1"/>
    <m/>
    <x v="2"/>
    <x v="2"/>
    <x v="2"/>
    <n v="1"/>
    <n v="1"/>
    <n v="0"/>
  </r>
  <r>
    <s v="E10396"/>
    <x v="5"/>
    <x v="0"/>
    <s v="Female"/>
    <n v="26"/>
    <s v="26-35"/>
    <x v="0"/>
    <d v="2022-11-20T00:00:00"/>
    <n v="1.3"/>
    <x v="0"/>
    <n v="3650"/>
    <x v="0"/>
    <x v="0"/>
    <n v="2"/>
    <n v="31"/>
    <x v="0"/>
    <d v="2024-03-15T00:00:00"/>
    <x v="0"/>
    <x v="3"/>
    <x v="0"/>
    <n v="1"/>
    <n v="0"/>
    <n v="1"/>
  </r>
  <r>
    <s v="E10397"/>
    <x v="0"/>
    <x v="0"/>
    <s v="Male"/>
    <n v="24"/>
    <s v="20-25"/>
    <x v="0"/>
    <d v="2024-06-12T00:00:00"/>
    <n v="0.7"/>
    <x v="3"/>
    <n v="3250"/>
    <x v="1"/>
    <x v="1"/>
    <n v="5"/>
    <n v="19"/>
    <x v="0"/>
    <d v="2025-03-05T00:00:00"/>
    <x v="1"/>
    <x v="3"/>
    <x v="3"/>
    <n v="1"/>
    <n v="0"/>
    <n v="1"/>
  </r>
  <r>
    <s v="E10398"/>
    <x v="3"/>
    <x v="1"/>
    <s v="Male"/>
    <n v="34"/>
    <s v="26-35"/>
    <x v="1"/>
    <d v="2016-09-28T00:00:00"/>
    <n v="9.3000000000000007"/>
    <x v="1"/>
    <n v="7150"/>
    <x v="1"/>
    <x v="4"/>
    <n v="3"/>
    <n v="5"/>
    <x v="1"/>
    <m/>
    <x v="2"/>
    <x v="2"/>
    <x v="2"/>
    <n v="1"/>
    <n v="1"/>
    <n v="0"/>
  </r>
  <r>
    <s v="E10399"/>
    <x v="1"/>
    <x v="0"/>
    <s v="Male"/>
    <n v="23"/>
    <s v="20-25"/>
    <x v="2"/>
    <d v="2024-11-14T00:00:00"/>
    <n v="1.1000000000000001"/>
    <x v="0"/>
    <n v="2950"/>
    <x v="0"/>
    <x v="4"/>
    <n v="5"/>
    <n v="8"/>
    <x v="1"/>
    <m/>
    <x v="2"/>
    <x v="2"/>
    <x v="2"/>
    <n v="1"/>
    <n v="1"/>
    <n v="0"/>
  </r>
  <r>
    <s v="E10400"/>
    <x v="1"/>
    <x v="1"/>
    <s v="Female"/>
    <n v="37"/>
    <s v="36-45"/>
    <x v="0"/>
    <d v="2021-01-29T00:00:00"/>
    <n v="4.9000000000000004"/>
    <x v="2"/>
    <n v="3350"/>
    <x v="0"/>
    <x v="2"/>
    <n v="4"/>
    <n v="10"/>
    <x v="1"/>
    <m/>
    <x v="2"/>
    <x v="2"/>
    <x v="2"/>
    <n v="1"/>
    <n v="1"/>
    <n v="0"/>
  </r>
  <r>
    <s v="E10401"/>
    <x v="5"/>
    <x v="1"/>
    <s v="Male"/>
    <n v="33"/>
    <s v="26-35"/>
    <x v="1"/>
    <d v="2024-07-20T00:00:00"/>
    <n v="1.4"/>
    <x v="0"/>
    <n v="5800"/>
    <x v="1"/>
    <x v="0"/>
    <n v="4"/>
    <n v="22"/>
    <x v="1"/>
    <m/>
    <x v="2"/>
    <x v="2"/>
    <x v="2"/>
    <n v="1"/>
    <n v="1"/>
    <n v="0"/>
  </r>
  <r>
    <s v="E10402"/>
    <x v="1"/>
    <x v="1"/>
    <s v="Male"/>
    <n v="25"/>
    <s v="20-25"/>
    <x v="0"/>
    <d v="2023-10-25T00:00:00"/>
    <n v="0.9"/>
    <x v="3"/>
    <n v="4400"/>
    <x v="1"/>
    <x v="4"/>
    <n v="3"/>
    <n v="29"/>
    <x v="0"/>
    <d v="2024-09-13T00:00:00"/>
    <x v="0"/>
    <x v="12"/>
    <x v="0"/>
    <n v="1"/>
    <n v="0"/>
    <n v="1"/>
  </r>
  <r>
    <s v="E10403"/>
    <x v="1"/>
    <x v="1"/>
    <s v="Female"/>
    <n v="26"/>
    <s v="26-35"/>
    <x v="0"/>
    <d v="2024-01-07T00:00:00"/>
    <n v="2"/>
    <x v="0"/>
    <n v="4650"/>
    <x v="1"/>
    <x v="1"/>
    <n v="3"/>
    <n v="13"/>
    <x v="1"/>
    <m/>
    <x v="2"/>
    <x v="2"/>
    <x v="2"/>
    <n v="1"/>
    <n v="1"/>
    <n v="0"/>
  </r>
  <r>
    <s v="E10404"/>
    <x v="3"/>
    <x v="1"/>
    <s v="Female"/>
    <n v="28"/>
    <s v="26-35"/>
    <x v="0"/>
    <d v="2024-09-13T00:00:00"/>
    <n v="1.3"/>
    <x v="0"/>
    <n v="7850"/>
    <x v="0"/>
    <x v="1"/>
    <n v="3"/>
    <n v="34"/>
    <x v="1"/>
    <m/>
    <x v="2"/>
    <x v="2"/>
    <x v="2"/>
    <n v="1"/>
    <n v="1"/>
    <n v="0"/>
  </r>
  <r>
    <s v="E10405"/>
    <x v="0"/>
    <x v="0"/>
    <s v="Male"/>
    <n v="26"/>
    <s v="26-35"/>
    <x v="1"/>
    <d v="2024-07-23T00:00:00"/>
    <n v="1.4"/>
    <x v="0"/>
    <n v="3350"/>
    <x v="0"/>
    <x v="4"/>
    <n v="3"/>
    <n v="21"/>
    <x v="0"/>
    <d v="2025-12-24T00:00:00"/>
    <x v="1"/>
    <x v="5"/>
    <x v="6"/>
    <n v="1"/>
    <n v="0"/>
    <n v="1"/>
  </r>
  <r>
    <s v="E10406"/>
    <x v="1"/>
    <x v="0"/>
    <s v="Male"/>
    <n v="25"/>
    <s v="20-25"/>
    <x v="0"/>
    <d v="2025-03-31T00:00:00"/>
    <n v="0.8"/>
    <x v="3"/>
    <n v="3550"/>
    <x v="0"/>
    <x v="0"/>
    <n v="5"/>
    <n v="33"/>
    <x v="1"/>
    <m/>
    <x v="2"/>
    <x v="2"/>
    <x v="2"/>
    <n v="1"/>
    <n v="1"/>
    <n v="0"/>
  </r>
  <r>
    <s v="E10407"/>
    <x v="1"/>
    <x v="0"/>
    <s v="Male"/>
    <n v="29"/>
    <s v="26-35"/>
    <x v="0"/>
    <d v="2023-03-02T00:00:00"/>
    <n v="2.8"/>
    <x v="0"/>
    <n v="3850"/>
    <x v="0"/>
    <x v="4"/>
    <n v="3"/>
    <n v="37"/>
    <x v="1"/>
    <m/>
    <x v="2"/>
    <x v="2"/>
    <x v="2"/>
    <n v="1"/>
    <n v="1"/>
    <n v="0"/>
  </r>
  <r>
    <s v="E10408"/>
    <x v="0"/>
    <x v="0"/>
    <s v="Male"/>
    <n v="22"/>
    <s v="20-25"/>
    <x v="2"/>
    <d v="2025-05-12T00:00:00"/>
    <n v="0.6"/>
    <x v="3"/>
    <n v="2700"/>
    <x v="0"/>
    <x v="0"/>
    <n v="3"/>
    <n v="28"/>
    <x v="1"/>
    <m/>
    <x v="2"/>
    <x v="2"/>
    <x v="2"/>
    <n v="1"/>
    <n v="1"/>
    <n v="0"/>
  </r>
  <r>
    <s v="E10409"/>
    <x v="0"/>
    <x v="1"/>
    <s v="Male"/>
    <n v="26"/>
    <s v="26-35"/>
    <x v="1"/>
    <d v="2023-12-19T00:00:00"/>
    <n v="2"/>
    <x v="0"/>
    <n v="3750"/>
    <x v="0"/>
    <x v="3"/>
    <n v="3"/>
    <n v="9"/>
    <x v="1"/>
    <m/>
    <x v="2"/>
    <x v="2"/>
    <x v="2"/>
    <n v="1"/>
    <n v="1"/>
    <n v="0"/>
  </r>
  <r>
    <s v="E10410"/>
    <x v="3"/>
    <x v="0"/>
    <s v="Male"/>
    <n v="34"/>
    <s v="26-35"/>
    <x v="0"/>
    <d v="2016-10-04T00:00:00"/>
    <n v="9.1999999999999993"/>
    <x v="1"/>
    <n v="7400"/>
    <x v="0"/>
    <x v="1"/>
    <n v="3"/>
    <n v="11"/>
    <x v="1"/>
    <m/>
    <x v="2"/>
    <x v="2"/>
    <x v="2"/>
    <n v="1"/>
    <n v="1"/>
    <n v="0"/>
  </r>
  <r>
    <s v="E10411"/>
    <x v="4"/>
    <x v="1"/>
    <s v="Male"/>
    <n v="33"/>
    <s v="26-35"/>
    <x v="1"/>
    <d v="2017-01-23T00:00:00"/>
    <n v="8.9"/>
    <x v="1"/>
    <n v="4200"/>
    <x v="1"/>
    <x v="1"/>
    <n v="3"/>
    <n v="24"/>
    <x v="1"/>
    <m/>
    <x v="2"/>
    <x v="2"/>
    <x v="2"/>
    <n v="1"/>
    <n v="1"/>
    <n v="0"/>
  </r>
  <r>
    <s v="E10412"/>
    <x v="3"/>
    <x v="1"/>
    <s v="Male"/>
    <n v="37"/>
    <s v="36-45"/>
    <x v="1"/>
    <d v="2018-10-15T00:00:00"/>
    <n v="7.2"/>
    <x v="1"/>
    <n v="8550"/>
    <x v="0"/>
    <x v="1"/>
    <n v="3"/>
    <n v="31"/>
    <x v="1"/>
    <m/>
    <x v="2"/>
    <x v="2"/>
    <x v="2"/>
    <n v="1"/>
    <n v="1"/>
    <n v="0"/>
  </r>
  <r>
    <s v="E10413"/>
    <x v="1"/>
    <x v="0"/>
    <s v="Male"/>
    <n v="31"/>
    <s v="26-35"/>
    <x v="1"/>
    <d v="2020-09-10T00:00:00"/>
    <n v="5.3"/>
    <x v="1"/>
    <n v="2650"/>
    <x v="0"/>
    <x v="1"/>
    <n v="5"/>
    <n v="22"/>
    <x v="1"/>
    <m/>
    <x v="2"/>
    <x v="2"/>
    <x v="2"/>
    <n v="1"/>
    <n v="1"/>
    <n v="0"/>
  </r>
  <r>
    <s v="E10414"/>
    <x v="5"/>
    <x v="2"/>
    <s v="Female"/>
    <n v="43"/>
    <s v="36-45"/>
    <x v="1"/>
    <d v="2018-05-30T00:00:00"/>
    <n v="7.6"/>
    <x v="1"/>
    <n v="8950"/>
    <x v="1"/>
    <x v="1"/>
    <n v="3"/>
    <n v="25"/>
    <x v="1"/>
    <m/>
    <x v="2"/>
    <x v="2"/>
    <x v="2"/>
    <n v="1"/>
    <n v="1"/>
    <n v="0"/>
  </r>
  <r>
    <s v="E10415"/>
    <x v="4"/>
    <x v="2"/>
    <s v="Male"/>
    <n v="42"/>
    <s v="36-45"/>
    <x v="1"/>
    <d v="2013-01-22T00:00:00"/>
    <n v="12.8"/>
    <x v="1"/>
    <n v="7950"/>
    <x v="0"/>
    <x v="0"/>
    <n v="4"/>
    <n v="14"/>
    <x v="0"/>
    <d v="2025-11-22T00:00:00"/>
    <x v="1"/>
    <x v="10"/>
    <x v="1"/>
    <n v="1"/>
    <n v="0"/>
    <n v="1"/>
  </r>
  <r>
    <s v="E10416"/>
    <x v="6"/>
    <x v="0"/>
    <s v="Male"/>
    <n v="28"/>
    <s v="26-35"/>
    <x v="1"/>
    <d v="2023-02-04T00:00:00"/>
    <n v="2.9"/>
    <x v="0"/>
    <n v="3550"/>
    <x v="0"/>
    <x v="1"/>
    <n v="3"/>
    <n v="12"/>
    <x v="1"/>
    <m/>
    <x v="2"/>
    <x v="2"/>
    <x v="2"/>
    <n v="1"/>
    <n v="1"/>
    <n v="0"/>
  </r>
  <r>
    <s v="E10417"/>
    <x v="6"/>
    <x v="0"/>
    <s v="Male"/>
    <n v="21"/>
    <s v="20-25"/>
    <x v="1"/>
    <d v="2025-12-14T00:00:00"/>
    <n v="0"/>
    <x v="3"/>
    <n v="3050"/>
    <x v="0"/>
    <x v="0"/>
    <n v="4"/>
    <n v="17"/>
    <x v="1"/>
    <m/>
    <x v="2"/>
    <x v="2"/>
    <x v="2"/>
    <n v="1"/>
    <n v="1"/>
    <n v="0"/>
  </r>
  <r>
    <s v="E10418"/>
    <x v="1"/>
    <x v="1"/>
    <s v="Male"/>
    <n v="28"/>
    <s v="26-35"/>
    <x v="1"/>
    <d v="2024-09-30T00:00:00"/>
    <n v="0.5"/>
    <x v="3"/>
    <n v="5300"/>
    <x v="1"/>
    <x v="3"/>
    <n v="3"/>
    <n v="21"/>
    <x v="0"/>
    <d v="2025-04-04T00:00:00"/>
    <x v="1"/>
    <x v="8"/>
    <x v="4"/>
    <n v="1"/>
    <n v="0"/>
    <n v="1"/>
  </r>
  <r>
    <s v="E10419"/>
    <x v="0"/>
    <x v="0"/>
    <s v="Male"/>
    <n v="25"/>
    <s v="20-25"/>
    <x v="0"/>
    <d v="2023-11-08T00:00:00"/>
    <n v="2.1"/>
    <x v="0"/>
    <n v="2950"/>
    <x v="1"/>
    <x v="4"/>
    <n v="4"/>
    <n v="32"/>
    <x v="1"/>
    <m/>
    <x v="2"/>
    <x v="2"/>
    <x v="2"/>
    <n v="1"/>
    <n v="1"/>
    <n v="0"/>
  </r>
  <r>
    <s v="E10420"/>
    <x v="5"/>
    <x v="0"/>
    <s v="Female"/>
    <n v="25"/>
    <s v="20-25"/>
    <x v="1"/>
    <d v="2023-01-26T00:00:00"/>
    <n v="1.9"/>
    <x v="0"/>
    <n v="4550"/>
    <x v="1"/>
    <x v="1"/>
    <n v="4"/>
    <n v="21"/>
    <x v="0"/>
    <d v="2024-12-02T00:00:00"/>
    <x v="0"/>
    <x v="5"/>
    <x v="6"/>
    <n v="1"/>
    <n v="0"/>
    <n v="1"/>
  </r>
  <r>
    <s v="E10421"/>
    <x v="2"/>
    <x v="2"/>
    <s v="Female"/>
    <n v="47"/>
    <s v="46+"/>
    <x v="1"/>
    <d v="2011-09-22T00:00:00"/>
    <n v="14.3"/>
    <x v="1"/>
    <n v="11400"/>
    <x v="0"/>
    <x v="2"/>
    <n v="3"/>
    <n v="13"/>
    <x v="1"/>
    <m/>
    <x v="2"/>
    <x v="2"/>
    <x v="2"/>
    <n v="1"/>
    <n v="1"/>
    <n v="0"/>
  </r>
  <r>
    <s v="E10422"/>
    <x v="1"/>
    <x v="0"/>
    <s v="Female"/>
    <n v="21"/>
    <s v="20-25"/>
    <x v="0"/>
    <d v="2025-12-08T00:00:00"/>
    <n v="0.1"/>
    <x v="3"/>
    <n v="3300"/>
    <x v="1"/>
    <x v="4"/>
    <n v="3"/>
    <n v="22"/>
    <x v="1"/>
    <m/>
    <x v="2"/>
    <x v="2"/>
    <x v="2"/>
    <n v="1"/>
    <n v="1"/>
    <n v="0"/>
  </r>
  <r>
    <s v="E10423"/>
    <x v="5"/>
    <x v="1"/>
    <s v="Female"/>
    <n v="32"/>
    <s v="26-35"/>
    <x v="1"/>
    <d v="2019-08-13T00:00:00"/>
    <n v="6.4"/>
    <x v="1"/>
    <n v="5500"/>
    <x v="1"/>
    <x v="2"/>
    <n v="3"/>
    <n v="21"/>
    <x v="1"/>
    <m/>
    <x v="2"/>
    <x v="2"/>
    <x v="2"/>
    <n v="1"/>
    <n v="1"/>
    <n v="0"/>
  </r>
  <r>
    <s v="E10424"/>
    <x v="5"/>
    <x v="0"/>
    <s v="Female"/>
    <n v="25"/>
    <s v="20-25"/>
    <x v="1"/>
    <d v="2025-01-31T00:00:00"/>
    <n v="0.9"/>
    <x v="3"/>
    <n v="4650"/>
    <x v="0"/>
    <x v="4"/>
    <n v="4"/>
    <n v="21"/>
    <x v="1"/>
    <m/>
    <x v="2"/>
    <x v="2"/>
    <x v="2"/>
    <n v="1"/>
    <n v="1"/>
    <n v="0"/>
  </r>
  <r>
    <s v="E10425"/>
    <x v="6"/>
    <x v="2"/>
    <s v="Male"/>
    <n v="39"/>
    <s v="36-45"/>
    <x v="0"/>
    <d v="2016-02-13T00:00:00"/>
    <n v="9.9"/>
    <x v="1"/>
    <n v="6900"/>
    <x v="0"/>
    <x v="0"/>
    <n v="3"/>
    <n v="22"/>
    <x v="1"/>
    <m/>
    <x v="2"/>
    <x v="2"/>
    <x v="2"/>
    <n v="1"/>
    <n v="1"/>
    <n v="0"/>
  </r>
  <r>
    <s v="E10426"/>
    <x v="2"/>
    <x v="0"/>
    <s v="Female"/>
    <n v="21"/>
    <s v="20-25"/>
    <x v="1"/>
    <d v="2025-12-06T00:00:00"/>
    <n v="0.1"/>
    <x v="3"/>
    <n v="5100"/>
    <x v="0"/>
    <x v="1"/>
    <n v="3"/>
    <n v="14"/>
    <x v="1"/>
    <m/>
    <x v="2"/>
    <x v="2"/>
    <x v="2"/>
    <n v="1"/>
    <n v="1"/>
    <n v="0"/>
  </r>
  <r>
    <s v="E10427"/>
    <x v="6"/>
    <x v="2"/>
    <s v="Female"/>
    <n v="33"/>
    <s v="26-35"/>
    <x v="0"/>
    <d v="2021-12-28T00:00:00"/>
    <n v="4"/>
    <x v="2"/>
    <n v="7500"/>
    <x v="0"/>
    <x v="0"/>
    <n v="4"/>
    <n v="14"/>
    <x v="1"/>
    <m/>
    <x v="2"/>
    <x v="2"/>
    <x v="2"/>
    <n v="1"/>
    <n v="1"/>
    <n v="0"/>
  </r>
  <r>
    <s v="E10428"/>
    <x v="0"/>
    <x v="0"/>
    <s v="Male"/>
    <n v="27"/>
    <s v="26-35"/>
    <x v="0"/>
    <d v="2023-04-24T00:00:00"/>
    <n v="2.7"/>
    <x v="0"/>
    <n v="2750"/>
    <x v="1"/>
    <x v="1"/>
    <n v="4"/>
    <n v="24"/>
    <x v="1"/>
    <m/>
    <x v="2"/>
    <x v="2"/>
    <x v="2"/>
    <n v="1"/>
    <n v="1"/>
    <n v="0"/>
  </r>
  <r>
    <s v="E10429"/>
    <x v="3"/>
    <x v="1"/>
    <s v="Male"/>
    <n v="30"/>
    <s v="26-35"/>
    <x v="1"/>
    <d v="2019-10-23T00:00:00"/>
    <n v="6.2"/>
    <x v="1"/>
    <n v="8000"/>
    <x v="0"/>
    <x v="0"/>
    <n v="3"/>
    <n v="12"/>
    <x v="1"/>
    <m/>
    <x v="2"/>
    <x v="2"/>
    <x v="2"/>
    <n v="1"/>
    <n v="1"/>
    <n v="0"/>
  </r>
  <r>
    <s v="E10430"/>
    <x v="4"/>
    <x v="0"/>
    <s v="Male"/>
    <n v="21"/>
    <s v="20-25"/>
    <x v="1"/>
    <d v="2025-09-24T00:00:00"/>
    <n v="0.3"/>
    <x v="3"/>
    <n v="5100"/>
    <x v="0"/>
    <x v="0"/>
    <n v="3"/>
    <n v="39"/>
    <x v="1"/>
    <m/>
    <x v="2"/>
    <x v="2"/>
    <x v="2"/>
    <n v="1"/>
    <n v="1"/>
    <n v="0"/>
  </r>
  <r>
    <s v="E10431"/>
    <x v="3"/>
    <x v="1"/>
    <s v="Female"/>
    <n v="40"/>
    <s v="36-45"/>
    <x v="2"/>
    <d v="2016-04-21T00:00:00"/>
    <n v="9.6999999999999993"/>
    <x v="1"/>
    <n v="8300"/>
    <x v="0"/>
    <x v="1"/>
    <n v="3"/>
    <n v="29"/>
    <x v="1"/>
    <m/>
    <x v="2"/>
    <x v="2"/>
    <x v="2"/>
    <n v="1"/>
    <n v="1"/>
    <n v="0"/>
  </r>
  <r>
    <s v="E10432"/>
    <x v="5"/>
    <x v="2"/>
    <s v="Female"/>
    <n v="43"/>
    <s v="36-45"/>
    <x v="1"/>
    <d v="2011-08-24T00:00:00"/>
    <n v="14.4"/>
    <x v="1"/>
    <n v="9700"/>
    <x v="0"/>
    <x v="1"/>
    <n v="4"/>
    <n v="20"/>
    <x v="1"/>
    <m/>
    <x v="2"/>
    <x v="2"/>
    <x v="2"/>
    <n v="1"/>
    <n v="1"/>
    <n v="0"/>
  </r>
  <r>
    <s v="E10433"/>
    <x v="0"/>
    <x v="3"/>
    <s v="Female"/>
    <n v="38"/>
    <s v="36-45"/>
    <x v="0"/>
    <d v="2013-05-01T00:00:00"/>
    <n v="12.7"/>
    <x v="1"/>
    <n v="6000"/>
    <x v="0"/>
    <x v="1"/>
    <n v="3"/>
    <n v="31"/>
    <x v="1"/>
    <m/>
    <x v="2"/>
    <x v="2"/>
    <x v="2"/>
    <n v="1"/>
    <n v="1"/>
    <n v="0"/>
  </r>
  <r>
    <s v="E10434"/>
    <x v="2"/>
    <x v="0"/>
    <s v="Male"/>
    <n v="26"/>
    <s v="26-35"/>
    <x v="2"/>
    <d v="2022-01-14T00:00:00"/>
    <n v="4"/>
    <x v="2"/>
    <n v="5050"/>
    <x v="0"/>
    <x v="4"/>
    <n v="3"/>
    <n v="25"/>
    <x v="1"/>
    <m/>
    <x v="2"/>
    <x v="2"/>
    <x v="2"/>
    <n v="1"/>
    <n v="1"/>
    <n v="0"/>
  </r>
  <r>
    <s v="E10435"/>
    <x v="0"/>
    <x v="0"/>
    <s v="Male"/>
    <n v="27"/>
    <s v="26-35"/>
    <x v="2"/>
    <d v="2022-10-27T00:00:00"/>
    <n v="3.2"/>
    <x v="2"/>
    <n v="2700"/>
    <x v="0"/>
    <x v="1"/>
    <n v="3"/>
    <n v="26"/>
    <x v="1"/>
    <m/>
    <x v="2"/>
    <x v="2"/>
    <x v="2"/>
    <n v="1"/>
    <n v="1"/>
    <n v="0"/>
  </r>
  <r>
    <s v="E10436"/>
    <x v="4"/>
    <x v="3"/>
    <s v="Female"/>
    <n v="40"/>
    <s v="36-45"/>
    <x v="1"/>
    <d v="2011-07-14T00:00:00"/>
    <n v="14.5"/>
    <x v="1"/>
    <n v="11550"/>
    <x v="0"/>
    <x v="1"/>
    <n v="4"/>
    <n v="12"/>
    <x v="1"/>
    <m/>
    <x v="2"/>
    <x v="2"/>
    <x v="2"/>
    <n v="1"/>
    <n v="1"/>
    <n v="0"/>
  </r>
  <r>
    <s v="E10437"/>
    <x v="1"/>
    <x v="2"/>
    <s v="Female"/>
    <n v="39"/>
    <s v="36-45"/>
    <x v="1"/>
    <d v="2016-04-05T00:00:00"/>
    <n v="9.6999999999999993"/>
    <x v="1"/>
    <n v="4600"/>
    <x v="1"/>
    <x v="4"/>
    <n v="2"/>
    <n v="52"/>
    <x v="1"/>
    <m/>
    <x v="2"/>
    <x v="2"/>
    <x v="2"/>
    <n v="1"/>
    <n v="1"/>
    <n v="0"/>
  </r>
  <r>
    <s v="E10438"/>
    <x v="2"/>
    <x v="1"/>
    <s v="Male"/>
    <n v="30"/>
    <s v="26-35"/>
    <x v="0"/>
    <d v="2023-08-11T00:00:00"/>
    <n v="0.9"/>
    <x v="3"/>
    <n v="5350"/>
    <x v="0"/>
    <x v="2"/>
    <n v="3"/>
    <n v="46"/>
    <x v="0"/>
    <d v="2024-06-23T00:00:00"/>
    <x v="0"/>
    <x v="0"/>
    <x v="0"/>
    <n v="1"/>
    <n v="0"/>
    <n v="1"/>
  </r>
  <r>
    <s v="E10439"/>
    <x v="5"/>
    <x v="1"/>
    <s v="Male"/>
    <n v="28"/>
    <s v="26-35"/>
    <x v="1"/>
    <d v="2023-11-08T00:00:00"/>
    <n v="2.1"/>
    <x v="0"/>
    <n v="4350"/>
    <x v="0"/>
    <x v="2"/>
    <n v="3"/>
    <n v="21"/>
    <x v="1"/>
    <m/>
    <x v="2"/>
    <x v="2"/>
    <x v="2"/>
    <n v="1"/>
    <n v="1"/>
    <n v="0"/>
  </r>
  <r>
    <s v="E10440"/>
    <x v="5"/>
    <x v="0"/>
    <s v="Male"/>
    <n v="26"/>
    <s v="26-35"/>
    <x v="0"/>
    <d v="2023-05-18T00:00:00"/>
    <n v="2.6"/>
    <x v="0"/>
    <n v="3950"/>
    <x v="1"/>
    <x v="1"/>
    <n v="2"/>
    <n v="13"/>
    <x v="1"/>
    <m/>
    <x v="2"/>
    <x v="2"/>
    <x v="2"/>
    <n v="1"/>
    <n v="1"/>
    <n v="0"/>
  </r>
  <r>
    <s v="E10441"/>
    <x v="0"/>
    <x v="0"/>
    <s v="Male"/>
    <n v="21"/>
    <s v="20-25"/>
    <x v="1"/>
    <d v="2025-10-08T00:00:00"/>
    <n v="0.2"/>
    <x v="3"/>
    <n v="3150"/>
    <x v="0"/>
    <x v="1"/>
    <n v="4"/>
    <n v="34"/>
    <x v="1"/>
    <m/>
    <x v="2"/>
    <x v="2"/>
    <x v="2"/>
    <n v="1"/>
    <n v="1"/>
    <n v="0"/>
  </r>
  <r>
    <s v="E10442"/>
    <x v="0"/>
    <x v="3"/>
    <s v="Male"/>
    <n v="45"/>
    <s v="36-45"/>
    <x v="0"/>
    <d v="2013-01-01T00:00:00"/>
    <n v="13"/>
    <x v="1"/>
    <n v="7900"/>
    <x v="1"/>
    <x v="2"/>
    <n v="5"/>
    <n v="24"/>
    <x v="1"/>
    <m/>
    <x v="2"/>
    <x v="2"/>
    <x v="2"/>
    <n v="1"/>
    <n v="1"/>
    <n v="0"/>
  </r>
  <r>
    <s v="E10443"/>
    <x v="3"/>
    <x v="0"/>
    <s v="Female"/>
    <n v="27"/>
    <s v="26-35"/>
    <x v="0"/>
    <d v="2023-08-09T00:00:00"/>
    <n v="2.4"/>
    <x v="0"/>
    <n v="5600"/>
    <x v="0"/>
    <x v="0"/>
    <n v="3"/>
    <n v="29"/>
    <x v="1"/>
    <m/>
    <x v="2"/>
    <x v="2"/>
    <x v="2"/>
    <n v="1"/>
    <n v="1"/>
    <n v="0"/>
  </r>
  <r>
    <s v="E10444"/>
    <x v="5"/>
    <x v="2"/>
    <s v="Male"/>
    <n v="45"/>
    <s v="36-45"/>
    <x v="2"/>
    <d v="2011-04-03T00:00:00"/>
    <n v="14.6"/>
    <x v="1"/>
    <n v="8450"/>
    <x v="0"/>
    <x v="1"/>
    <n v="4"/>
    <n v="19"/>
    <x v="0"/>
    <d v="2025-11-05T00:00:00"/>
    <x v="1"/>
    <x v="10"/>
    <x v="1"/>
    <n v="1"/>
    <n v="0"/>
    <n v="1"/>
  </r>
  <r>
    <s v="E10445"/>
    <x v="6"/>
    <x v="2"/>
    <s v="Male"/>
    <n v="37"/>
    <s v="36-45"/>
    <x v="2"/>
    <d v="2013-09-13T00:00:00"/>
    <n v="12.3"/>
    <x v="1"/>
    <n v="6900"/>
    <x v="1"/>
    <x v="1"/>
    <n v="2"/>
    <n v="30"/>
    <x v="1"/>
    <m/>
    <x v="2"/>
    <x v="2"/>
    <x v="2"/>
    <n v="1"/>
    <n v="1"/>
    <n v="0"/>
  </r>
  <r>
    <s v="E10446"/>
    <x v="2"/>
    <x v="0"/>
    <s v="Female"/>
    <n v="24"/>
    <s v="20-25"/>
    <x v="2"/>
    <d v="2025-05-29T00:00:00"/>
    <n v="0.6"/>
    <x v="3"/>
    <n v="4950"/>
    <x v="1"/>
    <x v="0"/>
    <n v="3"/>
    <n v="32"/>
    <x v="1"/>
    <m/>
    <x v="2"/>
    <x v="2"/>
    <x v="2"/>
    <n v="1"/>
    <n v="1"/>
    <n v="0"/>
  </r>
  <r>
    <s v="E10447"/>
    <x v="3"/>
    <x v="0"/>
    <s v="Male"/>
    <n v="25"/>
    <s v="20-25"/>
    <x v="1"/>
    <d v="2025-01-20T00:00:00"/>
    <n v="0.9"/>
    <x v="3"/>
    <n v="5000"/>
    <x v="0"/>
    <x v="4"/>
    <n v="4"/>
    <n v="35"/>
    <x v="1"/>
    <m/>
    <x v="2"/>
    <x v="2"/>
    <x v="2"/>
    <n v="1"/>
    <n v="1"/>
    <n v="0"/>
  </r>
  <r>
    <s v="E10448"/>
    <x v="3"/>
    <x v="1"/>
    <s v="Male"/>
    <n v="30"/>
    <s v="26-35"/>
    <x v="1"/>
    <d v="2024-11-18T00:00:00"/>
    <n v="1.1000000000000001"/>
    <x v="0"/>
    <n v="7950"/>
    <x v="0"/>
    <x v="0"/>
    <n v="5"/>
    <n v="22"/>
    <x v="1"/>
    <m/>
    <x v="2"/>
    <x v="2"/>
    <x v="2"/>
    <n v="1"/>
    <n v="1"/>
    <n v="0"/>
  </r>
  <r>
    <s v="E10449"/>
    <x v="5"/>
    <x v="3"/>
    <s v="Male"/>
    <n v="50"/>
    <s v="46+"/>
    <x v="0"/>
    <d v="2014-09-14T00:00:00"/>
    <n v="11.3"/>
    <x v="1"/>
    <n v="13000"/>
    <x v="1"/>
    <x v="2"/>
    <n v="3"/>
    <n v="11"/>
    <x v="1"/>
    <m/>
    <x v="2"/>
    <x v="2"/>
    <x v="2"/>
    <n v="1"/>
    <n v="1"/>
    <n v="0"/>
  </r>
  <r>
    <s v="E10450"/>
    <x v="2"/>
    <x v="0"/>
    <s v="Male"/>
    <n v="22"/>
    <s v="20-25"/>
    <x v="1"/>
    <d v="2025-10-26T00:00:00"/>
    <n v="0.2"/>
    <x v="3"/>
    <n v="3950"/>
    <x v="0"/>
    <x v="1"/>
    <n v="2"/>
    <n v="6"/>
    <x v="1"/>
    <m/>
    <x v="2"/>
    <x v="2"/>
    <x v="2"/>
    <n v="1"/>
    <n v="1"/>
    <n v="0"/>
  </r>
  <r>
    <s v="E10451"/>
    <x v="2"/>
    <x v="1"/>
    <s v="Male"/>
    <n v="21"/>
    <s v="20-25"/>
    <x v="1"/>
    <d v="2025-10-05T00:00:00"/>
    <n v="0.2"/>
    <x v="3"/>
    <n v="5300"/>
    <x v="0"/>
    <x v="0"/>
    <n v="3"/>
    <n v="17"/>
    <x v="1"/>
    <m/>
    <x v="2"/>
    <x v="2"/>
    <x v="2"/>
    <n v="1"/>
    <n v="1"/>
    <n v="0"/>
  </r>
  <r>
    <s v="E10452"/>
    <x v="1"/>
    <x v="1"/>
    <s v="Female"/>
    <n v="32"/>
    <s v="26-35"/>
    <x v="0"/>
    <d v="2024-02-21T00:00:00"/>
    <n v="1.9"/>
    <x v="0"/>
    <n v="4400"/>
    <x v="1"/>
    <x v="1"/>
    <n v="2"/>
    <n v="26"/>
    <x v="1"/>
    <m/>
    <x v="2"/>
    <x v="2"/>
    <x v="2"/>
    <n v="1"/>
    <n v="1"/>
    <n v="0"/>
  </r>
  <r>
    <s v="E10453"/>
    <x v="5"/>
    <x v="0"/>
    <s v="Female"/>
    <n v="33"/>
    <s v="26-35"/>
    <x v="1"/>
    <d v="2018-10-08T00:00:00"/>
    <n v="7.2"/>
    <x v="1"/>
    <n v="4450"/>
    <x v="1"/>
    <x v="2"/>
    <n v="5"/>
    <n v="38"/>
    <x v="1"/>
    <m/>
    <x v="2"/>
    <x v="2"/>
    <x v="2"/>
    <n v="1"/>
    <n v="1"/>
    <n v="0"/>
  </r>
  <r>
    <s v="E10454"/>
    <x v="1"/>
    <x v="0"/>
    <s v="Male"/>
    <n v="28"/>
    <s v="26-35"/>
    <x v="0"/>
    <d v="2021-03-17T00:00:00"/>
    <n v="4.8"/>
    <x v="2"/>
    <n v="3200"/>
    <x v="1"/>
    <x v="1"/>
    <n v="4"/>
    <n v="10"/>
    <x v="1"/>
    <m/>
    <x v="2"/>
    <x v="2"/>
    <x v="2"/>
    <n v="1"/>
    <n v="1"/>
    <n v="0"/>
  </r>
  <r>
    <s v="E10455"/>
    <x v="6"/>
    <x v="1"/>
    <s v="Male"/>
    <n v="38"/>
    <s v="36-45"/>
    <x v="1"/>
    <d v="2017-08-06T00:00:00"/>
    <n v="6.5"/>
    <x v="1"/>
    <n v="4950"/>
    <x v="0"/>
    <x v="4"/>
    <n v="4"/>
    <n v="39"/>
    <x v="0"/>
    <d v="2024-02-06T00:00:00"/>
    <x v="0"/>
    <x v="6"/>
    <x v="1"/>
    <n v="1"/>
    <n v="0"/>
    <n v="1"/>
  </r>
  <r>
    <s v="E10456"/>
    <x v="1"/>
    <x v="0"/>
    <s v="Male"/>
    <n v="24"/>
    <s v="20-25"/>
    <x v="1"/>
    <d v="2023-10-22T00:00:00"/>
    <n v="2.2000000000000002"/>
    <x v="0"/>
    <n v="3350"/>
    <x v="1"/>
    <x v="2"/>
    <n v="2"/>
    <n v="18"/>
    <x v="1"/>
    <m/>
    <x v="2"/>
    <x v="2"/>
    <x v="2"/>
    <n v="1"/>
    <n v="1"/>
    <n v="0"/>
  </r>
  <r>
    <s v="E10457"/>
    <x v="5"/>
    <x v="0"/>
    <s v="Male"/>
    <n v="29"/>
    <s v="26-35"/>
    <x v="1"/>
    <d v="2023-08-12T00:00:00"/>
    <n v="1.2"/>
    <x v="0"/>
    <n v="3650"/>
    <x v="1"/>
    <x v="4"/>
    <n v="5"/>
    <n v="34"/>
    <x v="0"/>
    <d v="2024-10-11T00:00:00"/>
    <x v="0"/>
    <x v="11"/>
    <x v="3"/>
    <n v="1"/>
    <n v="0"/>
    <n v="1"/>
  </r>
  <r>
    <s v="E10458"/>
    <x v="4"/>
    <x v="0"/>
    <s v="Male"/>
    <n v="24"/>
    <s v="20-25"/>
    <x v="0"/>
    <d v="2023-08-19T00:00:00"/>
    <n v="2.4"/>
    <x v="0"/>
    <n v="4800"/>
    <x v="0"/>
    <x v="1"/>
    <n v="3"/>
    <n v="28"/>
    <x v="1"/>
    <m/>
    <x v="2"/>
    <x v="2"/>
    <x v="2"/>
    <n v="1"/>
    <n v="1"/>
    <n v="0"/>
  </r>
  <r>
    <s v="E10459"/>
    <x v="5"/>
    <x v="1"/>
    <s v="Female"/>
    <n v="31"/>
    <s v="26-35"/>
    <x v="2"/>
    <d v="2021-07-25T00:00:00"/>
    <n v="4.4000000000000004"/>
    <x v="2"/>
    <n v="5150"/>
    <x v="1"/>
    <x v="4"/>
    <n v="4"/>
    <n v="29"/>
    <x v="1"/>
    <m/>
    <x v="2"/>
    <x v="2"/>
    <x v="2"/>
    <n v="1"/>
    <n v="1"/>
    <n v="0"/>
  </r>
  <r>
    <s v="E10460"/>
    <x v="3"/>
    <x v="0"/>
    <s v="Male"/>
    <n v="27"/>
    <s v="26-35"/>
    <x v="2"/>
    <d v="2024-01-06T00:00:00"/>
    <n v="1.1000000000000001"/>
    <x v="0"/>
    <n v="5400"/>
    <x v="0"/>
    <x v="0"/>
    <n v="3"/>
    <n v="33"/>
    <x v="0"/>
    <d v="2025-02-13T00:00:00"/>
    <x v="1"/>
    <x v="6"/>
    <x v="0"/>
    <n v="1"/>
    <n v="0"/>
    <n v="1"/>
  </r>
  <r>
    <s v="E10461"/>
    <x v="0"/>
    <x v="1"/>
    <s v="Male"/>
    <n v="35"/>
    <s v="26-35"/>
    <x v="0"/>
    <d v="2020-05-19T00:00:00"/>
    <n v="5.6"/>
    <x v="1"/>
    <n v="4050"/>
    <x v="0"/>
    <x v="0"/>
    <n v="4"/>
    <n v="17"/>
    <x v="1"/>
    <m/>
    <x v="2"/>
    <x v="2"/>
    <x v="2"/>
    <n v="1"/>
    <n v="1"/>
    <n v="0"/>
  </r>
  <r>
    <s v="E10462"/>
    <x v="6"/>
    <x v="2"/>
    <s v="Female"/>
    <n v="33"/>
    <s v="26-35"/>
    <x v="1"/>
    <d v="2023-12-20T00:00:00"/>
    <n v="2"/>
    <x v="0"/>
    <n v="6800"/>
    <x v="1"/>
    <x v="3"/>
    <n v="4"/>
    <n v="22"/>
    <x v="1"/>
    <m/>
    <x v="2"/>
    <x v="2"/>
    <x v="2"/>
    <n v="1"/>
    <n v="1"/>
    <n v="0"/>
  </r>
  <r>
    <s v="E10463"/>
    <x v="3"/>
    <x v="1"/>
    <s v="Male"/>
    <n v="35"/>
    <s v="26-35"/>
    <x v="1"/>
    <d v="2023-10-19T00:00:00"/>
    <n v="2.2000000000000002"/>
    <x v="0"/>
    <n v="6600"/>
    <x v="0"/>
    <x v="0"/>
    <n v="5"/>
    <n v="28"/>
    <x v="1"/>
    <m/>
    <x v="2"/>
    <x v="2"/>
    <x v="2"/>
    <n v="1"/>
    <n v="1"/>
    <n v="0"/>
  </r>
  <r>
    <s v="E10464"/>
    <x v="4"/>
    <x v="2"/>
    <s v="Female"/>
    <n v="39"/>
    <s v="36-45"/>
    <x v="1"/>
    <d v="2017-02-21T00:00:00"/>
    <n v="8.9"/>
    <x v="1"/>
    <n v="8650"/>
    <x v="0"/>
    <x v="0"/>
    <n v="3"/>
    <n v="22"/>
    <x v="1"/>
    <m/>
    <x v="2"/>
    <x v="2"/>
    <x v="2"/>
    <n v="1"/>
    <n v="1"/>
    <n v="0"/>
  </r>
  <r>
    <s v="E10465"/>
    <x v="5"/>
    <x v="0"/>
    <s v="Male"/>
    <n v="22"/>
    <s v="20-25"/>
    <x v="1"/>
    <d v="2025-08-22T00:00:00"/>
    <n v="0.4"/>
    <x v="3"/>
    <n v="3900"/>
    <x v="0"/>
    <x v="1"/>
    <n v="3"/>
    <n v="33"/>
    <x v="1"/>
    <m/>
    <x v="2"/>
    <x v="2"/>
    <x v="2"/>
    <n v="1"/>
    <n v="1"/>
    <n v="0"/>
  </r>
  <r>
    <s v="E10466"/>
    <x v="0"/>
    <x v="2"/>
    <s v="Female"/>
    <n v="45"/>
    <s v="36-45"/>
    <x v="1"/>
    <d v="2019-01-14T00:00:00"/>
    <n v="6.2"/>
    <x v="1"/>
    <n v="4850"/>
    <x v="1"/>
    <x v="1"/>
    <n v="4"/>
    <n v="15"/>
    <x v="0"/>
    <d v="2025-04-07T00:00:00"/>
    <x v="1"/>
    <x v="8"/>
    <x v="3"/>
    <n v="1"/>
    <n v="0"/>
    <n v="1"/>
  </r>
  <r>
    <s v="E10467"/>
    <x v="0"/>
    <x v="0"/>
    <s v="Female"/>
    <n v="34"/>
    <s v="26-35"/>
    <x v="1"/>
    <d v="2022-10-02T00:00:00"/>
    <n v="3.2"/>
    <x v="2"/>
    <n v="3150"/>
    <x v="0"/>
    <x v="0"/>
    <n v="2"/>
    <n v="22"/>
    <x v="1"/>
    <m/>
    <x v="2"/>
    <x v="2"/>
    <x v="2"/>
    <n v="1"/>
    <n v="1"/>
    <n v="0"/>
  </r>
  <r>
    <s v="E10468"/>
    <x v="5"/>
    <x v="2"/>
    <s v="Male"/>
    <n v="40"/>
    <s v="36-45"/>
    <x v="1"/>
    <d v="2015-03-25T00:00:00"/>
    <n v="10.8"/>
    <x v="1"/>
    <n v="8550"/>
    <x v="0"/>
    <x v="1"/>
    <n v="3"/>
    <n v="23"/>
    <x v="1"/>
    <m/>
    <x v="2"/>
    <x v="2"/>
    <x v="2"/>
    <n v="1"/>
    <n v="1"/>
    <n v="0"/>
  </r>
  <r>
    <s v="E10469"/>
    <x v="2"/>
    <x v="2"/>
    <s v="Female"/>
    <n v="37"/>
    <s v="36-45"/>
    <x v="0"/>
    <d v="2017-12-28T00:00:00"/>
    <n v="8"/>
    <x v="1"/>
    <n v="7500"/>
    <x v="0"/>
    <x v="1"/>
    <n v="4"/>
    <n v="0"/>
    <x v="1"/>
    <m/>
    <x v="2"/>
    <x v="2"/>
    <x v="2"/>
    <n v="1"/>
    <n v="1"/>
    <n v="0"/>
  </r>
  <r>
    <s v="E10470"/>
    <x v="0"/>
    <x v="1"/>
    <s v="Male"/>
    <n v="46"/>
    <s v="46+"/>
    <x v="2"/>
    <d v="2013-08-06T00:00:00"/>
    <n v="12.4"/>
    <x v="1"/>
    <n v="3300"/>
    <x v="0"/>
    <x v="1"/>
    <n v="4"/>
    <n v="20"/>
    <x v="1"/>
    <m/>
    <x v="2"/>
    <x v="2"/>
    <x v="2"/>
    <n v="1"/>
    <n v="1"/>
    <n v="0"/>
  </r>
  <r>
    <s v="E10471"/>
    <x v="5"/>
    <x v="1"/>
    <s v="Female"/>
    <n v="38"/>
    <s v="36-45"/>
    <x v="0"/>
    <d v="2017-02-19T00:00:00"/>
    <n v="8.1999999999999993"/>
    <x v="1"/>
    <n v="4850"/>
    <x v="0"/>
    <x v="4"/>
    <n v="4"/>
    <n v="37"/>
    <x v="0"/>
    <d v="2025-04-15T00:00:00"/>
    <x v="1"/>
    <x v="8"/>
    <x v="4"/>
    <n v="1"/>
    <n v="0"/>
    <n v="1"/>
  </r>
  <r>
    <s v="E10472"/>
    <x v="5"/>
    <x v="1"/>
    <s v="Male"/>
    <n v="39"/>
    <s v="36-45"/>
    <x v="1"/>
    <d v="2020-05-25T00:00:00"/>
    <n v="3.8"/>
    <x v="2"/>
    <n v="5300"/>
    <x v="1"/>
    <x v="4"/>
    <n v="3"/>
    <n v="44"/>
    <x v="0"/>
    <d v="2024-02-24T00:00:00"/>
    <x v="0"/>
    <x v="6"/>
    <x v="6"/>
    <n v="1"/>
    <n v="0"/>
    <n v="1"/>
  </r>
  <r>
    <s v="E10473"/>
    <x v="3"/>
    <x v="1"/>
    <s v="Male"/>
    <n v="27"/>
    <s v="26-35"/>
    <x v="2"/>
    <d v="2024-08-12T00:00:00"/>
    <n v="1.4"/>
    <x v="0"/>
    <n v="8900"/>
    <x v="0"/>
    <x v="2"/>
    <n v="3"/>
    <n v="22"/>
    <x v="1"/>
    <m/>
    <x v="2"/>
    <x v="2"/>
    <x v="2"/>
    <n v="1"/>
    <n v="1"/>
    <n v="0"/>
  </r>
  <r>
    <s v="E10474"/>
    <x v="5"/>
    <x v="0"/>
    <s v="Male"/>
    <n v="21"/>
    <s v="20-25"/>
    <x v="1"/>
    <d v="2025-10-24T00:00:00"/>
    <n v="0.1"/>
    <x v="3"/>
    <n v="4300"/>
    <x v="1"/>
    <x v="1"/>
    <n v="3"/>
    <n v="25"/>
    <x v="0"/>
    <d v="2025-11-28T00:00:00"/>
    <x v="1"/>
    <x v="10"/>
    <x v="3"/>
    <n v="1"/>
    <n v="0"/>
    <n v="1"/>
  </r>
  <r>
    <s v="E10475"/>
    <x v="0"/>
    <x v="3"/>
    <s v="Female"/>
    <n v="52"/>
    <s v="46+"/>
    <x v="1"/>
    <d v="2011-07-12T00:00:00"/>
    <n v="14.5"/>
    <x v="1"/>
    <n v="6500"/>
    <x v="1"/>
    <x v="1"/>
    <n v="3"/>
    <n v="28"/>
    <x v="1"/>
    <m/>
    <x v="2"/>
    <x v="2"/>
    <x v="2"/>
    <n v="1"/>
    <n v="1"/>
    <n v="0"/>
  </r>
  <r>
    <s v="E10476"/>
    <x v="2"/>
    <x v="2"/>
    <s v="Male"/>
    <n v="35"/>
    <s v="26-35"/>
    <x v="0"/>
    <d v="2021-08-14T00:00:00"/>
    <n v="4.4000000000000004"/>
    <x v="2"/>
    <n v="11100"/>
    <x v="0"/>
    <x v="0"/>
    <n v="3"/>
    <n v="8"/>
    <x v="1"/>
    <m/>
    <x v="2"/>
    <x v="2"/>
    <x v="2"/>
    <n v="1"/>
    <n v="1"/>
    <n v="0"/>
  </r>
  <r>
    <s v="E10477"/>
    <x v="2"/>
    <x v="0"/>
    <s v="Male"/>
    <n v="23"/>
    <s v="20-25"/>
    <x v="1"/>
    <d v="2024-06-10T00:00:00"/>
    <n v="1.6"/>
    <x v="0"/>
    <n v="4500"/>
    <x v="0"/>
    <x v="0"/>
    <n v="3"/>
    <n v="23"/>
    <x v="1"/>
    <m/>
    <x v="2"/>
    <x v="2"/>
    <x v="2"/>
    <n v="1"/>
    <n v="1"/>
    <n v="0"/>
  </r>
  <r>
    <s v="E10478"/>
    <x v="3"/>
    <x v="0"/>
    <s v="Male"/>
    <n v="28"/>
    <s v="26-35"/>
    <x v="1"/>
    <d v="2022-10-18T00:00:00"/>
    <n v="3.2"/>
    <x v="2"/>
    <n v="7150"/>
    <x v="0"/>
    <x v="4"/>
    <n v="3"/>
    <n v="3"/>
    <x v="1"/>
    <m/>
    <x v="2"/>
    <x v="2"/>
    <x v="2"/>
    <n v="1"/>
    <n v="1"/>
    <n v="0"/>
  </r>
  <r>
    <s v="E10479"/>
    <x v="1"/>
    <x v="1"/>
    <s v="Male"/>
    <n v="37"/>
    <s v="36-45"/>
    <x v="0"/>
    <d v="2021-11-21T00:00:00"/>
    <n v="4.0999999999999996"/>
    <x v="2"/>
    <n v="4700"/>
    <x v="0"/>
    <x v="1"/>
    <n v="3"/>
    <n v="25"/>
    <x v="1"/>
    <m/>
    <x v="2"/>
    <x v="2"/>
    <x v="2"/>
    <n v="1"/>
    <n v="1"/>
    <n v="0"/>
  </r>
  <r>
    <s v="E10480"/>
    <x v="0"/>
    <x v="0"/>
    <s v="Male"/>
    <n v="35"/>
    <s v="26-35"/>
    <x v="2"/>
    <d v="2016-10-29T00:00:00"/>
    <n v="9.1999999999999993"/>
    <x v="1"/>
    <n v="2450"/>
    <x v="0"/>
    <x v="0"/>
    <n v="3"/>
    <n v="29"/>
    <x v="1"/>
    <m/>
    <x v="2"/>
    <x v="2"/>
    <x v="2"/>
    <n v="1"/>
    <n v="1"/>
    <n v="0"/>
  </r>
  <r>
    <s v="E10481"/>
    <x v="2"/>
    <x v="1"/>
    <s v="Male"/>
    <n v="29"/>
    <s v="26-35"/>
    <x v="1"/>
    <d v="2022-04-06T00:00:00"/>
    <n v="3.7"/>
    <x v="2"/>
    <n v="6750"/>
    <x v="0"/>
    <x v="0"/>
    <n v="4"/>
    <n v="33"/>
    <x v="1"/>
    <m/>
    <x v="2"/>
    <x v="2"/>
    <x v="2"/>
    <n v="1"/>
    <n v="1"/>
    <n v="0"/>
  </r>
  <r>
    <s v="E10482"/>
    <x v="5"/>
    <x v="2"/>
    <s v="Female"/>
    <n v="30"/>
    <s v="26-35"/>
    <x v="1"/>
    <d v="2024-10-15T00:00:00"/>
    <n v="0.8"/>
    <x v="3"/>
    <n v="6200"/>
    <x v="0"/>
    <x v="4"/>
    <n v="3"/>
    <n v="30"/>
    <x v="0"/>
    <d v="2025-07-22T00:00:00"/>
    <x v="1"/>
    <x v="4"/>
    <x v="0"/>
    <n v="1"/>
    <n v="0"/>
    <n v="1"/>
  </r>
  <r>
    <s v="E10483"/>
    <x v="4"/>
    <x v="0"/>
    <s v="Male"/>
    <n v="21"/>
    <s v="20-25"/>
    <x v="1"/>
    <d v="2025-12-07T00:00:00"/>
    <n v="0.1"/>
    <x v="3"/>
    <n v="3300"/>
    <x v="0"/>
    <x v="0"/>
    <n v="3"/>
    <n v="0"/>
    <x v="1"/>
    <m/>
    <x v="2"/>
    <x v="2"/>
    <x v="2"/>
    <n v="1"/>
    <n v="1"/>
    <n v="0"/>
  </r>
  <r>
    <s v="E10484"/>
    <x v="6"/>
    <x v="0"/>
    <s v="Female"/>
    <n v="21"/>
    <s v="20-25"/>
    <x v="0"/>
    <d v="2025-11-29T00:00:00"/>
    <n v="0.1"/>
    <x v="3"/>
    <n v="4250"/>
    <x v="0"/>
    <x v="0"/>
    <n v="4"/>
    <n v="31"/>
    <x v="1"/>
    <m/>
    <x v="2"/>
    <x v="2"/>
    <x v="2"/>
    <n v="1"/>
    <n v="1"/>
    <n v="0"/>
  </r>
  <r>
    <s v="E10485"/>
    <x v="0"/>
    <x v="1"/>
    <s v="Male"/>
    <n v="26"/>
    <s v="26-35"/>
    <x v="1"/>
    <d v="2024-10-15T00:00:00"/>
    <n v="0.1"/>
    <x v="3"/>
    <n v="3100"/>
    <x v="0"/>
    <x v="1"/>
    <n v="4"/>
    <n v="38"/>
    <x v="0"/>
    <d v="2024-11-10T00:00:00"/>
    <x v="0"/>
    <x v="10"/>
    <x v="0"/>
    <n v="1"/>
    <n v="0"/>
    <n v="1"/>
  </r>
  <r>
    <s v="E10486"/>
    <x v="3"/>
    <x v="2"/>
    <s v="Male"/>
    <n v="36"/>
    <s v="36-45"/>
    <x v="0"/>
    <d v="2016-03-09T00:00:00"/>
    <n v="9.8000000000000007"/>
    <x v="1"/>
    <n v="10750"/>
    <x v="0"/>
    <x v="0"/>
    <n v="2"/>
    <n v="27"/>
    <x v="1"/>
    <m/>
    <x v="2"/>
    <x v="2"/>
    <x v="2"/>
    <n v="1"/>
    <n v="1"/>
    <n v="0"/>
  </r>
  <r>
    <s v="E10487"/>
    <x v="4"/>
    <x v="0"/>
    <s v="Male"/>
    <n v="21"/>
    <s v="20-25"/>
    <x v="1"/>
    <d v="2025-09-23T00:00:00"/>
    <n v="0.3"/>
    <x v="3"/>
    <n v="4150"/>
    <x v="0"/>
    <x v="2"/>
    <n v="5"/>
    <n v="32"/>
    <x v="1"/>
    <m/>
    <x v="2"/>
    <x v="2"/>
    <x v="2"/>
    <n v="1"/>
    <n v="1"/>
    <n v="0"/>
  </r>
  <r>
    <s v="E10488"/>
    <x v="6"/>
    <x v="1"/>
    <s v="Female"/>
    <n v="37"/>
    <s v="36-45"/>
    <x v="1"/>
    <d v="2020-01-27T00:00:00"/>
    <n v="5.9"/>
    <x v="1"/>
    <n v="5200"/>
    <x v="0"/>
    <x v="0"/>
    <n v="3"/>
    <n v="17"/>
    <x v="1"/>
    <m/>
    <x v="2"/>
    <x v="2"/>
    <x v="2"/>
    <n v="1"/>
    <n v="1"/>
    <n v="0"/>
  </r>
  <r>
    <s v="E10489"/>
    <x v="5"/>
    <x v="1"/>
    <s v="Male"/>
    <n v="27"/>
    <s v="26-35"/>
    <x v="0"/>
    <d v="2023-02-09T00:00:00"/>
    <n v="1.9"/>
    <x v="0"/>
    <n v="4550"/>
    <x v="0"/>
    <x v="0"/>
    <n v="3"/>
    <n v="1"/>
    <x v="0"/>
    <d v="2025-01-07T00:00:00"/>
    <x v="1"/>
    <x v="7"/>
    <x v="0"/>
    <n v="1"/>
    <n v="0"/>
    <n v="1"/>
  </r>
  <r>
    <s v="E10490"/>
    <x v="1"/>
    <x v="0"/>
    <s v="Female"/>
    <n v="26"/>
    <s v="26-35"/>
    <x v="1"/>
    <d v="2022-11-04T00:00:00"/>
    <n v="3.2"/>
    <x v="2"/>
    <n v="3600"/>
    <x v="0"/>
    <x v="4"/>
    <n v="3"/>
    <n v="19"/>
    <x v="1"/>
    <m/>
    <x v="2"/>
    <x v="2"/>
    <x v="2"/>
    <n v="1"/>
    <n v="1"/>
    <n v="0"/>
  </r>
  <r>
    <s v="E10491"/>
    <x v="6"/>
    <x v="1"/>
    <s v="Male"/>
    <n v="29"/>
    <s v="26-35"/>
    <x v="0"/>
    <d v="2021-04-30T00:00:00"/>
    <n v="4.7"/>
    <x v="2"/>
    <n v="5600"/>
    <x v="0"/>
    <x v="0"/>
    <n v="4"/>
    <n v="22"/>
    <x v="1"/>
    <m/>
    <x v="2"/>
    <x v="2"/>
    <x v="2"/>
    <n v="1"/>
    <n v="1"/>
    <n v="0"/>
  </r>
  <r>
    <s v="E10492"/>
    <x v="0"/>
    <x v="0"/>
    <s v="Male"/>
    <n v="21"/>
    <s v="20-25"/>
    <x v="1"/>
    <d v="2025-09-24T00:00:00"/>
    <n v="0.3"/>
    <x v="3"/>
    <n v="3150"/>
    <x v="1"/>
    <x v="1"/>
    <n v="3"/>
    <n v="35"/>
    <x v="1"/>
    <m/>
    <x v="2"/>
    <x v="2"/>
    <x v="2"/>
    <n v="1"/>
    <n v="1"/>
    <n v="0"/>
  </r>
  <r>
    <s v="E10493"/>
    <x v="1"/>
    <x v="1"/>
    <s v="Male"/>
    <n v="22"/>
    <s v="20-25"/>
    <x v="2"/>
    <d v="2025-10-11T00:00:00"/>
    <n v="0.2"/>
    <x v="3"/>
    <n v="4250"/>
    <x v="0"/>
    <x v="0"/>
    <n v="5"/>
    <n v="34"/>
    <x v="1"/>
    <m/>
    <x v="2"/>
    <x v="2"/>
    <x v="2"/>
    <n v="1"/>
    <n v="1"/>
    <n v="0"/>
  </r>
  <r>
    <s v="E10494"/>
    <x v="3"/>
    <x v="1"/>
    <s v="Female"/>
    <n v="40"/>
    <s v="36-45"/>
    <x v="1"/>
    <d v="2021-10-04T00:00:00"/>
    <n v="4.2"/>
    <x v="2"/>
    <n v="10450"/>
    <x v="0"/>
    <x v="1"/>
    <n v="5"/>
    <n v="12"/>
    <x v="1"/>
    <m/>
    <x v="2"/>
    <x v="2"/>
    <x v="2"/>
    <n v="1"/>
    <n v="1"/>
    <n v="0"/>
  </r>
  <r>
    <s v="E10495"/>
    <x v="0"/>
    <x v="1"/>
    <s v="Male"/>
    <n v="32"/>
    <s v="26-35"/>
    <x v="1"/>
    <d v="2023-03-05T00:00:00"/>
    <n v="2.5"/>
    <x v="0"/>
    <n v="4100"/>
    <x v="1"/>
    <x v="1"/>
    <n v="2"/>
    <n v="1"/>
    <x v="0"/>
    <d v="2025-09-21T00:00:00"/>
    <x v="1"/>
    <x v="12"/>
    <x v="3"/>
    <n v="1"/>
    <n v="0"/>
    <n v="1"/>
  </r>
  <r>
    <s v="E10496"/>
    <x v="6"/>
    <x v="1"/>
    <s v="Female"/>
    <n v="34"/>
    <s v="26-35"/>
    <x v="2"/>
    <d v="2023-10-28T00:00:00"/>
    <n v="2.2000000000000002"/>
    <x v="0"/>
    <n v="4600"/>
    <x v="0"/>
    <x v="1"/>
    <n v="4"/>
    <n v="28"/>
    <x v="1"/>
    <m/>
    <x v="2"/>
    <x v="2"/>
    <x v="2"/>
    <n v="1"/>
    <n v="1"/>
    <n v="0"/>
  </r>
  <r>
    <s v="E10497"/>
    <x v="5"/>
    <x v="2"/>
    <s v="Female"/>
    <n v="36"/>
    <s v="36-45"/>
    <x v="1"/>
    <d v="2022-09-19T00:00:00"/>
    <n v="3.3"/>
    <x v="2"/>
    <n v="6200"/>
    <x v="1"/>
    <x v="1"/>
    <n v="2"/>
    <n v="33"/>
    <x v="1"/>
    <m/>
    <x v="2"/>
    <x v="2"/>
    <x v="2"/>
    <n v="1"/>
    <n v="1"/>
    <n v="0"/>
  </r>
  <r>
    <s v="E10498"/>
    <x v="3"/>
    <x v="0"/>
    <s v="Female"/>
    <n v="26"/>
    <s v="26-35"/>
    <x v="1"/>
    <d v="2024-02-15T00:00:00"/>
    <n v="1.9"/>
    <x v="0"/>
    <n v="6900"/>
    <x v="0"/>
    <x v="0"/>
    <n v="3"/>
    <n v="14"/>
    <x v="1"/>
    <m/>
    <x v="2"/>
    <x v="2"/>
    <x v="2"/>
    <n v="1"/>
    <n v="1"/>
    <n v="0"/>
  </r>
  <r>
    <s v="E10499"/>
    <x v="3"/>
    <x v="3"/>
    <s v="Male"/>
    <n v="44"/>
    <s v="36-45"/>
    <x v="1"/>
    <d v="2014-08-25T00:00:00"/>
    <n v="11.4"/>
    <x v="1"/>
    <n v="13550"/>
    <x v="0"/>
    <x v="4"/>
    <n v="4"/>
    <n v="26"/>
    <x v="1"/>
    <m/>
    <x v="2"/>
    <x v="2"/>
    <x v="2"/>
    <n v="1"/>
    <n v="1"/>
    <n v="0"/>
  </r>
  <r>
    <s v="E10500"/>
    <x v="2"/>
    <x v="2"/>
    <s v="Male"/>
    <n v="39"/>
    <s v="36-45"/>
    <x v="0"/>
    <d v="2021-04-26T00:00:00"/>
    <n v="4.7"/>
    <x v="2"/>
    <n v="9350"/>
    <x v="1"/>
    <x v="1"/>
    <n v="3"/>
    <n v="20"/>
    <x v="1"/>
    <m/>
    <x v="2"/>
    <x v="2"/>
    <x v="2"/>
    <n v="1"/>
    <n v="1"/>
    <n v="0"/>
  </r>
  <r>
    <s v="E10501"/>
    <x v="3"/>
    <x v="3"/>
    <s v="Female"/>
    <n v="43"/>
    <s v="36-45"/>
    <x v="1"/>
    <d v="2018-04-09T00:00:00"/>
    <n v="7.7"/>
    <x v="1"/>
    <n v="16050"/>
    <x v="0"/>
    <x v="4"/>
    <n v="3"/>
    <n v="42"/>
    <x v="1"/>
    <m/>
    <x v="2"/>
    <x v="2"/>
    <x v="2"/>
    <n v="1"/>
    <n v="1"/>
    <n v="0"/>
  </r>
  <r>
    <s v="E10502"/>
    <x v="1"/>
    <x v="1"/>
    <s v="Female"/>
    <n v="38"/>
    <s v="36-45"/>
    <x v="0"/>
    <d v="2022-10-06T00:00:00"/>
    <n v="3.2"/>
    <x v="2"/>
    <n v="3550"/>
    <x v="0"/>
    <x v="0"/>
    <n v="3"/>
    <n v="34"/>
    <x v="1"/>
    <m/>
    <x v="2"/>
    <x v="2"/>
    <x v="2"/>
    <n v="1"/>
    <n v="1"/>
    <n v="0"/>
  </r>
  <r>
    <s v="E10503"/>
    <x v="0"/>
    <x v="1"/>
    <s v="Male"/>
    <n v="31"/>
    <s v="26-35"/>
    <x v="1"/>
    <d v="2024-01-21T00:00:00"/>
    <n v="1.1000000000000001"/>
    <x v="0"/>
    <n v="3400"/>
    <x v="0"/>
    <x v="4"/>
    <n v="2"/>
    <n v="25"/>
    <x v="0"/>
    <d v="2025-02-08T00:00:00"/>
    <x v="1"/>
    <x v="6"/>
    <x v="6"/>
    <n v="1"/>
    <n v="0"/>
    <n v="1"/>
  </r>
  <r>
    <s v="E10504"/>
    <x v="2"/>
    <x v="1"/>
    <s v="Male"/>
    <n v="32"/>
    <s v="26-35"/>
    <x v="0"/>
    <d v="2018-05-04T00:00:00"/>
    <n v="7.7"/>
    <x v="1"/>
    <n v="7400"/>
    <x v="1"/>
    <x v="1"/>
    <n v="3"/>
    <n v="16"/>
    <x v="1"/>
    <m/>
    <x v="2"/>
    <x v="2"/>
    <x v="2"/>
    <n v="1"/>
    <n v="1"/>
    <n v="0"/>
  </r>
  <r>
    <s v="E10505"/>
    <x v="4"/>
    <x v="1"/>
    <s v="Female"/>
    <n v="27"/>
    <s v="26-35"/>
    <x v="0"/>
    <d v="2021-09-19T00:00:00"/>
    <n v="4.3"/>
    <x v="2"/>
    <n v="6900"/>
    <x v="0"/>
    <x v="1"/>
    <n v="3"/>
    <n v="18"/>
    <x v="1"/>
    <m/>
    <x v="2"/>
    <x v="2"/>
    <x v="2"/>
    <n v="1"/>
    <n v="1"/>
    <n v="0"/>
  </r>
  <r>
    <s v="E10506"/>
    <x v="3"/>
    <x v="0"/>
    <s v="Female"/>
    <n v="25"/>
    <s v="20-25"/>
    <x v="0"/>
    <d v="2023-11-12T00:00:00"/>
    <n v="2.1"/>
    <x v="0"/>
    <n v="6250"/>
    <x v="1"/>
    <x v="0"/>
    <n v="3"/>
    <n v="30"/>
    <x v="1"/>
    <m/>
    <x v="2"/>
    <x v="2"/>
    <x v="2"/>
    <n v="1"/>
    <n v="1"/>
    <n v="0"/>
  </r>
  <r>
    <s v="E10507"/>
    <x v="3"/>
    <x v="0"/>
    <s v="Male"/>
    <n v="36"/>
    <s v="36-45"/>
    <x v="1"/>
    <d v="2017-08-13T00:00:00"/>
    <n v="8.4"/>
    <x v="1"/>
    <n v="5150"/>
    <x v="0"/>
    <x v="1"/>
    <n v="3"/>
    <n v="38"/>
    <x v="1"/>
    <m/>
    <x v="2"/>
    <x v="2"/>
    <x v="2"/>
    <n v="1"/>
    <n v="1"/>
    <n v="0"/>
  </r>
  <r>
    <s v="E10508"/>
    <x v="3"/>
    <x v="0"/>
    <s v="Male"/>
    <n v="23"/>
    <s v="20-25"/>
    <x v="1"/>
    <d v="2024-10-15T00:00:00"/>
    <n v="1.2"/>
    <x v="0"/>
    <n v="6400"/>
    <x v="0"/>
    <x v="1"/>
    <n v="3"/>
    <n v="9"/>
    <x v="1"/>
    <m/>
    <x v="2"/>
    <x v="2"/>
    <x v="2"/>
    <n v="1"/>
    <n v="1"/>
    <n v="0"/>
  </r>
  <r>
    <s v="E10509"/>
    <x v="2"/>
    <x v="1"/>
    <s v="Female"/>
    <n v="43"/>
    <s v="36-45"/>
    <x v="0"/>
    <d v="2011-02-15T00:00:00"/>
    <n v="14.9"/>
    <x v="1"/>
    <n v="6200"/>
    <x v="0"/>
    <x v="4"/>
    <n v="5"/>
    <n v="33"/>
    <x v="1"/>
    <m/>
    <x v="2"/>
    <x v="2"/>
    <x v="2"/>
    <n v="1"/>
    <n v="1"/>
    <n v="0"/>
  </r>
  <r>
    <s v="E10510"/>
    <x v="5"/>
    <x v="0"/>
    <s v="Male"/>
    <n v="24"/>
    <s v="20-25"/>
    <x v="2"/>
    <d v="2023-11-22T00:00:00"/>
    <n v="2.1"/>
    <x v="0"/>
    <n v="3550"/>
    <x v="0"/>
    <x v="1"/>
    <n v="2"/>
    <n v="29"/>
    <x v="1"/>
    <m/>
    <x v="2"/>
    <x v="2"/>
    <x v="2"/>
    <n v="1"/>
    <n v="1"/>
    <n v="0"/>
  </r>
  <r>
    <s v="E10511"/>
    <x v="0"/>
    <x v="0"/>
    <s v="Male"/>
    <n v="25"/>
    <s v="20-25"/>
    <x v="1"/>
    <d v="2024-09-25T00:00:00"/>
    <n v="1.3"/>
    <x v="0"/>
    <n v="3150"/>
    <x v="0"/>
    <x v="0"/>
    <n v="3"/>
    <n v="14"/>
    <x v="1"/>
    <m/>
    <x v="2"/>
    <x v="2"/>
    <x v="2"/>
    <n v="1"/>
    <n v="1"/>
    <n v="0"/>
  </r>
  <r>
    <s v="E10512"/>
    <x v="3"/>
    <x v="0"/>
    <s v="Female"/>
    <n v="23"/>
    <s v="20-25"/>
    <x v="1"/>
    <d v="2024-12-17T00:00:00"/>
    <n v="1"/>
    <x v="3"/>
    <n v="7100"/>
    <x v="0"/>
    <x v="2"/>
    <n v="4"/>
    <n v="14"/>
    <x v="1"/>
    <m/>
    <x v="2"/>
    <x v="2"/>
    <x v="2"/>
    <n v="1"/>
    <n v="1"/>
    <n v="0"/>
  </r>
  <r>
    <s v="E10513"/>
    <x v="5"/>
    <x v="0"/>
    <s v="Male"/>
    <n v="33"/>
    <s v="26-35"/>
    <x v="0"/>
    <d v="2019-06-04T00:00:00"/>
    <n v="6.6"/>
    <x v="1"/>
    <n v="4300"/>
    <x v="0"/>
    <x v="2"/>
    <n v="4"/>
    <n v="24"/>
    <x v="1"/>
    <m/>
    <x v="2"/>
    <x v="2"/>
    <x v="2"/>
    <n v="1"/>
    <n v="1"/>
    <n v="0"/>
  </r>
  <r>
    <s v="E10514"/>
    <x v="6"/>
    <x v="0"/>
    <s v="Male"/>
    <n v="26"/>
    <s v="26-35"/>
    <x v="0"/>
    <d v="2024-09-11T00:00:00"/>
    <n v="1.3"/>
    <x v="0"/>
    <n v="3650"/>
    <x v="0"/>
    <x v="0"/>
    <n v="2"/>
    <n v="31"/>
    <x v="1"/>
    <m/>
    <x v="2"/>
    <x v="2"/>
    <x v="2"/>
    <n v="1"/>
    <n v="1"/>
    <n v="0"/>
  </r>
  <r>
    <s v="E10515"/>
    <x v="3"/>
    <x v="1"/>
    <s v="Female"/>
    <n v="32"/>
    <s v="26-35"/>
    <x v="0"/>
    <d v="2021-04-20T00:00:00"/>
    <n v="4.7"/>
    <x v="2"/>
    <n v="5450"/>
    <x v="0"/>
    <x v="1"/>
    <n v="2"/>
    <n v="34"/>
    <x v="1"/>
    <m/>
    <x v="2"/>
    <x v="2"/>
    <x v="2"/>
    <n v="1"/>
    <n v="1"/>
    <n v="0"/>
  </r>
  <r>
    <s v="E10516"/>
    <x v="4"/>
    <x v="2"/>
    <s v="Female"/>
    <n v="44"/>
    <s v="36-45"/>
    <x v="1"/>
    <d v="2021-04-19T00:00:00"/>
    <n v="4.7"/>
    <x v="2"/>
    <n v="9000"/>
    <x v="0"/>
    <x v="1"/>
    <n v="3"/>
    <n v="33"/>
    <x v="1"/>
    <m/>
    <x v="2"/>
    <x v="2"/>
    <x v="2"/>
    <n v="1"/>
    <n v="1"/>
    <n v="0"/>
  </r>
  <r>
    <s v="E10517"/>
    <x v="1"/>
    <x v="1"/>
    <s v="Female"/>
    <n v="32"/>
    <s v="26-35"/>
    <x v="0"/>
    <d v="2019-12-02T00:00:00"/>
    <n v="6.1"/>
    <x v="1"/>
    <n v="4150"/>
    <x v="0"/>
    <x v="1"/>
    <n v="3"/>
    <n v="39"/>
    <x v="1"/>
    <m/>
    <x v="2"/>
    <x v="2"/>
    <x v="2"/>
    <n v="1"/>
    <n v="1"/>
    <n v="0"/>
  </r>
  <r>
    <s v="E10518"/>
    <x v="0"/>
    <x v="3"/>
    <s v="Female"/>
    <n v="40"/>
    <s v="36-45"/>
    <x v="0"/>
    <d v="2012-07-26T00:00:00"/>
    <n v="13.4"/>
    <x v="1"/>
    <n v="6050"/>
    <x v="1"/>
    <x v="1"/>
    <n v="4"/>
    <n v="14"/>
    <x v="1"/>
    <m/>
    <x v="2"/>
    <x v="2"/>
    <x v="2"/>
    <n v="1"/>
    <n v="1"/>
    <n v="0"/>
  </r>
  <r>
    <s v="E10519"/>
    <x v="1"/>
    <x v="0"/>
    <s v="Female"/>
    <n v="21"/>
    <s v="20-25"/>
    <x v="1"/>
    <d v="2025-11-16T00:00:00"/>
    <n v="0.1"/>
    <x v="3"/>
    <n v="3450"/>
    <x v="1"/>
    <x v="2"/>
    <n v="5"/>
    <n v="20"/>
    <x v="1"/>
    <m/>
    <x v="2"/>
    <x v="2"/>
    <x v="2"/>
    <n v="1"/>
    <n v="1"/>
    <n v="0"/>
  </r>
  <r>
    <s v="E10520"/>
    <x v="2"/>
    <x v="0"/>
    <s v="Female"/>
    <n v="21"/>
    <s v="20-25"/>
    <x v="1"/>
    <d v="2025-10-14T00:00:00"/>
    <n v="0.2"/>
    <x v="3"/>
    <n v="4550"/>
    <x v="0"/>
    <x v="0"/>
    <n v="4"/>
    <n v="38"/>
    <x v="1"/>
    <m/>
    <x v="2"/>
    <x v="2"/>
    <x v="2"/>
    <n v="1"/>
    <n v="1"/>
    <n v="0"/>
  </r>
  <r>
    <s v="E10521"/>
    <x v="5"/>
    <x v="3"/>
    <s v="Male"/>
    <n v="41"/>
    <s v="36-45"/>
    <x v="2"/>
    <d v="2012-10-03T00:00:00"/>
    <n v="12.2"/>
    <x v="1"/>
    <n v="8900"/>
    <x v="1"/>
    <x v="1"/>
    <n v="3"/>
    <n v="15"/>
    <x v="0"/>
    <d v="2025-01-01T00:00:00"/>
    <x v="1"/>
    <x v="7"/>
    <x v="3"/>
    <n v="1"/>
    <n v="0"/>
    <n v="1"/>
  </r>
  <r>
    <s v="E10522"/>
    <x v="2"/>
    <x v="2"/>
    <s v="Female"/>
    <n v="38"/>
    <s v="36-45"/>
    <x v="2"/>
    <d v="2012-08-21T00:00:00"/>
    <n v="13.4"/>
    <x v="1"/>
    <n v="10850"/>
    <x v="0"/>
    <x v="0"/>
    <n v="3"/>
    <n v="16"/>
    <x v="1"/>
    <m/>
    <x v="2"/>
    <x v="2"/>
    <x v="2"/>
    <n v="1"/>
    <n v="1"/>
    <n v="0"/>
  </r>
  <r>
    <s v="E10523"/>
    <x v="0"/>
    <x v="1"/>
    <s v="Male"/>
    <n v="36"/>
    <s v="36-45"/>
    <x v="0"/>
    <d v="2019-11-15T00:00:00"/>
    <n v="6.1"/>
    <x v="1"/>
    <n v="4450"/>
    <x v="0"/>
    <x v="0"/>
    <n v="3"/>
    <n v="19"/>
    <x v="1"/>
    <m/>
    <x v="2"/>
    <x v="2"/>
    <x v="2"/>
    <n v="1"/>
    <n v="1"/>
    <n v="0"/>
  </r>
  <r>
    <s v="E10524"/>
    <x v="4"/>
    <x v="0"/>
    <s v="Male"/>
    <n v="24"/>
    <s v="20-25"/>
    <x v="1"/>
    <d v="2024-04-17T00:00:00"/>
    <n v="1.7"/>
    <x v="0"/>
    <n v="4800"/>
    <x v="0"/>
    <x v="1"/>
    <n v="4"/>
    <n v="28"/>
    <x v="1"/>
    <m/>
    <x v="2"/>
    <x v="2"/>
    <x v="2"/>
    <n v="1"/>
    <n v="1"/>
    <n v="0"/>
  </r>
  <r>
    <s v="E10525"/>
    <x v="0"/>
    <x v="0"/>
    <s v="Male"/>
    <n v="21"/>
    <s v="20-25"/>
    <x v="0"/>
    <d v="2025-10-11T00:00:00"/>
    <n v="0.2"/>
    <x v="3"/>
    <n v="2350"/>
    <x v="0"/>
    <x v="1"/>
    <n v="4"/>
    <n v="17"/>
    <x v="1"/>
    <m/>
    <x v="2"/>
    <x v="2"/>
    <x v="2"/>
    <n v="1"/>
    <n v="1"/>
    <n v="0"/>
  </r>
  <r>
    <s v="E10526"/>
    <x v="0"/>
    <x v="1"/>
    <s v="Male"/>
    <n v="31"/>
    <s v="26-35"/>
    <x v="2"/>
    <d v="2020-03-07T00:00:00"/>
    <n v="5.8"/>
    <x v="1"/>
    <n v="3650"/>
    <x v="1"/>
    <x v="2"/>
    <n v="3"/>
    <n v="33"/>
    <x v="1"/>
    <m/>
    <x v="2"/>
    <x v="2"/>
    <x v="2"/>
    <n v="1"/>
    <n v="1"/>
    <n v="0"/>
  </r>
  <r>
    <s v="E10527"/>
    <x v="5"/>
    <x v="0"/>
    <s v="Female"/>
    <n v="34"/>
    <s v="26-35"/>
    <x v="1"/>
    <d v="2023-04-29T00:00:00"/>
    <n v="1.3"/>
    <x v="0"/>
    <n v="4150"/>
    <x v="1"/>
    <x v="4"/>
    <n v="3"/>
    <n v="13"/>
    <x v="0"/>
    <d v="2024-09-02T00:00:00"/>
    <x v="0"/>
    <x v="12"/>
    <x v="5"/>
    <n v="1"/>
    <n v="0"/>
    <n v="1"/>
  </r>
  <r>
    <s v="E10528"/>
    <x v="5"/>
    <x v="0"/>
    <s v="Male"/>
    <n v="31"/>
    <s v="26-35"/>
    <x v="1"/>
    <d v="2018-06-28T00:00:00"/>
    <n v="5.8"/>
    <x v="1"/>
    <n v="3600"/>
    <x v="1"/>
    <x v="1"/>
    <n v="4"/>
    <n v="26"/>
    <x v="0"/>
    <d v="2024-04-06T00:00:00"/>
    <x v="0"/>
    <x v="8"/>
    <x v="0"/>
    <n v="1"/>
    <n v="0"/>
    <n v="1"/>
  </r>
  <r>
    <s v="E10529"/>
    <x v="0"/>
    <x v="2"/>
    <s v="Female"/>
    <n v="32"/>
    <s v="26-35"/>
    <x v="1"/>
    <d v="2023-01-18T00:00:00"/>
    <n v="3"/>
    <x v="0"/>
    <n v="5350"/>
    <x v="0"/>
    <x v="1"/>
    <n v="3"/>
    <n v="23"/>
    <x v="1"/>
    <m/>
    <x v="2"/>
    <x v="2"/>
    <x v="2"/>
    <n v="1"/>
    <n v="1"/>
    <n v="0"/>
  </r>
  <r>
    <s v="E10530"/>
    <x v="1"/>
    <x v="2"/>
    <s v="Male"/>
    <n v="32"/>
    <s v="26-35"/>
    <x v="1"/>
    <d v="2019-01-29T00:00:00"/>
    <n v="6.9"/>
    <x v="1"/>
    <n v="6600"/>
    <x v="1"/>
    <x v="0"/>
    <n v="3"/>
    <n v="12"/>
    <x v="1"/>
    <m/>
    <x v="2"/>
    <x v="2"/>
    <x v="2"/>
    <n v="1"/>
    <n v="1"/>
    <n v="0"/>
  </r>
  <r>
    <s v="E10531"/>
    <x v="5"/>
    <x v="1"/>
    <s v="Female"/>
    <n v="33"/>
    <s v="26-35"/>
    <x v="1"/>
    <d v="2017-07-23T00:00:00"/>
    <n v="8.4"/>
    <x v="1"/>
    <n v="5450"/>
    <x v="1"/>
    <x v="1"/>
    <n v="3"/>
    <n v="18"/>
    <x v="1"/>
    <m/>
    <x v="2"/>
    <x v="2"/>
    <x v="2"/>
    <n v="1"/>
    <n v="1"/>
    <n v="0"/>
  </r>
  <r>
    <s v="E10532"/>
    <x v="5"/>
    <x v="1"/>
    <s v="Male"/>
    <n v="32"/>
    <s v="26-35"/>
    <x v="1"/>
    <d v="2023-03-03T00:00:00"/>
    <n v="2.8"/>
    <x v="0"/>
    <n v="7200"/>
    <x v="1"/>
    <x v="1"/>
    <n v="3"/>
    <n v="29"/>
    <x v="1"/>
    <m/>
    <x v="2"/>
    <x v="2"/>
    <x v="2"/>
    <n v="1"/>
    <n v="1"/>
    <n v="0"/>
  </r>
  <r>
    <s v="E10533"/>
    <x v="4"/>
    <x v="1"/>
    <s v="Female"/>
    <n v="33"/>
    <s v="26-35"/>
    <x v="0"/>
    <d v="2023-06-12T00:00:00"/>
    <n v="2.6"/>
    <x v="0"/>
    <n v="5050"/>
    <x v="0"/>
    <x v="0"/>
    <n v="2"/>
    <n v="25"/>
    <x v="1"/>
    <m/>
    <x v="2"/>
    <x v="2"/>
    <x v="2"/>
    <n v="1"/>
    <n v="1"/>
    <n v="0"/>
  </r>
  <r>
    <s v="E10534"/>
    <x v="3"/>
    <x v="1"/>
    <s v="Female"/>
    <n v="33"/>
    <s v="26-35"/>
    <x v="1"/>
    <d v="2020-02-02T00:00:00"/>
    <n v="5.8"/>
    <x v="1"/>
    <n v="8850"/>
    <x v="0"/>
    <x v="0"/>
    <n v="4"/>
    <n v="28"/>
    <x v="0"/>
    <d v="2025-11-26T00:00:00"/>
    <x v="1"/>
    <x v="10"/>
    <x v="1"/>
    <n v="1"/>
    <n v="0"/>
    <n v="1"/>
  </r>
  <r>
    <s v="E10535"/>
    <x v="1"/>
    <x v="0"/>
    <s v="Male"/>
    <n v="21"/>
    <s v="20-25"/>
    <x v="1"/>
    <d v="2025-11-19T00:00:00"/>
    <n v="0.1"/>
    <x v="3"/>
    <n v="3300"/>
    <x v="0"/>
    <x v="2"/>
    <n v="3"/>
    <n v="35"/>
    <x v="1"/>
    <m/>
    <x v="2"/>
    <x v="2"/>
    <x v="2"/>
    <n v="1"/>
    <n v="1"/>
    <n v="0"/>
  </r>
  <r>
    <s v="E10536"/>
    <x v="5"/>
    <x v="0"/>
    <s v="Male"/>
    <n v="24"/>
    <s v="20-25"/>
    <x v="1"/>
    <d v="2025-01-10T00:00:00"/>
    <n v="0.4"/>
    <x v="3"/>
    <n v="4000"/>
    <x v="0"/>
    <x v="0"/>
    <n v="3"/>
    <n v="16"/>
    <x v="0"/>
    <d v="2025-05-31T00:00:00"/>
    <x v="1"/>
    <x v="9"/>
    <x v="1"/>
    <n v="1"/>
    <n v="0"/>
    <n v="1"/>
  </r>
  <r>
    <s v="E10537"/>
    <x v="1"/>
    <x v="1"/>
    <s v="Female"/>
    <n v="34"/>
    <s v="26-35"/>
    <x v="2"/>
    <d v="2018-05-30T00:00:00"/>
    <n v="7.1"/>
    <x v="1"/>
    <n v="3750"/>
    <x v="1"/>
    <x v="1"/>
    <n v="3"/>
    <n v="17"/>
    <x v="0"/>
    <d v="2025-06-26T00:00:00"/>
    <x v="1"/>
    <x v="0"/>
    <x v="5"/>
    <n v="1"/>
    <n v="0"/>
    <n v="1"/>
  </r>
  <r>
    <s v="E10538"/>
    <x v="3"/>
    <x v="1"/>
    <s v="Male"/>
    <n v="26"/>
    <s v="26-35"/>
    <x v="1"/>
    <d v="2024-02-15T00:00:00"/>
    <n v="1.9"/>
    <x v="0"/>
    <n v="7750"/>
    <x v="0"/>
    <x v="2"/>
    <n v="4"/>
    <n v="1"/>
    <x v="1"/>
    <m/>
    <x v="2"/>
    <x v="2"/>
    <x v="2"/>
    <n v="1"/>
    <n v="1"/>
    <n v="0"/>
  </r>
  <r>
    <s v="E10539"/>
    <x v="0"/>
    <x v="1"/>
    <s v="Female"/>
    <n v="31"/>
    <s v="26-35"/>
    <x v="1"/>
    <d v="2021-03-31T00:00:00"/>
    <n v="4.8"/>
    <x v="2"/>
    <n v="3650"/>
    <x v="0"/>
    <x v="0"/>
    <n v="3"/>
    <n v="23"/>
    <x v="1"/>
    <m/>
    <x v="2"/>
    <x v="2"/>
    <x v="2"/>
    <n v="1"/>
    <n v="1"/>
    <n v="0"/>
  </r>
  <r>
    <s v="E10540"/>
    <x v="4"/>
    <x v="0"/>
    <s v="Male"/>
    <n v="27"/>
    <s v="26-35"/>
    <x v="1"/>
    <d v="2023-11-27T00:00:00"/>
    <n v="2.1"/>
    <x v="0"/>
    <n v="4750"/>
    <x v="0"/>
    <x v="0"/>
    <n v="3"/>
    <n v="32"/>
    <x v="1"/>
    <m/>
    <x v="2"/>
    <x v="2"/>
    <x v="2"/>
    <n v="1"/>
    <n v="1"/>
    <n v="0"/>
  </r>
  <r>
    <s v="E10541"/>
    <x v="1"/>
    <x v="1"/>
    <s v="Female"/>
    <n v="35"/>
    <s v="26-35"/>
    <x v="0"/>
    <d v="2020-01-27T00:00:00"/>
    <n v="5.9"/>
    <x v="1"/>
    <n v="4650"/>
    <x v="0"/>
    <x v="0"/>
    <n v="5"/>
    <n v="14"/>
    <x v="1"/>
    <m/>
    <x v="2"/>
    <x v="2"/>
    <x v="2"/>
    <n v="1"/>
    <n v="1"/>
    <n v="0"/>
  </r>
  <r>
    <s v="E10542"/>
    <x v="0"/>
    <x v="0"/>
    <s v="Female"/>
    <n v="28"/>
    <s v="26-35"/>
    <x v="0"/>
    <d v="2023-04-05T00:00:00"/>
    <n v="2.7"/>
    <x v="0"/>
    <n v="3300"/>
    <x v="0"/>
    <x v="0"/>
    <n v="3"/>
    <n v="27"/>
    <x v="1"/>
    <m/>
    <x v="2"/>
    <x v="2"/>
    <x v="2"/>
    <n v="1"/>
    <n v="1"/>
    <n v="0"/>
  </r>
  <r>
    <s v="E10543"/>
    <x v="4"/>
    <x v="2"/>
    <s v="Male"/>
    <n v="44"/>
    <s v="36-45"/>
    <x v="0"/>
    <d v="2021-10-03T00:00:00"/>
    <n v="4.2"/>
    <x v="2"/>
    <n v="8550"/>
    <x v="0"/>
    <x v="1"/>
    <n v="2"/>
    <n v="14"/>
    <x v="1"/>
    <m/>
    <x v="2"/>
    <x v="2"/>
    <x v="2"/>
    <n v="1"/>
    <n v="1"/>
    <n v="0"/>
  </r>
  <r>
    <s v="E10544"/>
    <x v="2"/>
    <x v="3"/>
    <s v="Female"/>
    <n v="40"/>
    <s v="36-45"/>
    <x v="0"/>
    <d v="2021-10-10T00:00:00"/>
    <n v="4.2"/>
    <x v="2"/>
    <n v="12550"/>
    <x v="0"/>
    <x v="1"/>
    <n v="3"/>
    <n v="34"/>
    <x v="1"/>
    <m/>
    <x v="2"/>
    <x v="2"/>
    <x v="2"/>
    <n v="1"/>
    <n v="1"/>
    <n v="0"/>
  </r>
  <r>
    <s v="E10545"/>
    <x v="1"/>
    <x v="0"/>
    <s v="Female"/>
    <n v="29"/>
    <s v="26-35"/>
    <x v="1"/>
    <d v="2022-10-13T00:00:00"/>
    <n v="3.2"/>
    <x v="2"/>
    <n v="3200"/>
    <x v="0"/>
    <x v="1"/>
    <n v="3"/>
    <n v="6"/>
    <x v="1"/>
    <m/>
    <x v="2"/>
    <x v="2"/>
    <x v="2"/>
    <n v="1"/>
    <n v="1"/>
    <n v="0"/>
  </r>
  <r>
    <s v="E10546"/>
    <x v="2"/>
    <x v="0"/>
    <s v="Male"/>
    <n v="30"/>
    <s v="26-35"/>
    <x v="2"/>
    <d v="2022-05-19T00:00:00"/>
    <n v="3.6"/>
    <x v="2"/>
    <n v="4800"/>
    <x v="0"/>
    <x v="4"/>
    <n v="2"/>
    <n v="23"/>
    <x v="1"/>
    <m/>
    <x v="2"/>
    <x v="2"/>
    <x v="2"/>
    <n v="1"/>
    <n v="1"/>
    <n v="0"/>
  </r>
  <r>
    <s v="E10547"/>
    <x v="0"/>
    <x v="1"/>
    <s v="Male"/>
    <n v="31"/>
    <s v="26-35"/>
    <x v="0"/>
    <d v="2023-01-02T00:00:00"/>
    <n v="2.6"/>
    <x v="0"/>
    <n v="3500"/>
    <x v="0"/>
    <x v="4"/>
    <n v="4"/>
    <n v="20"/>
    <x v="0"/>
    <d v="2025-08-03T00:00:00"/>
    <x v="1"/>
    <x v="1"/>
    <x v="3"/>
    <n v="1"/>
    <n v="0"/>
    <n v="1"/>
  </r>
  <r>
    <s v="E10548"/>
    <x v="1"/>
    <x v="2"/>
    <s v="Female"/>
    <n v="39"/>
    <s v="36-45"/>
    <x v="0"/>
    <d v="2017-07-18T00:00:00"/>
    <n v="8.5"/>
    <x v="1"/>
    <n v="8400"/>
    <x v="1"/>
    <x v="4"/>
    <n v="5"/>
    <n v="6"/>
    <x v="1"/>
    <m/>
    <x v="2"/>
    <x v="2"/>
    <x v="2"/>
    <n v="1"/>
    <n v="1"/>
    <n v="0"/>
  </r>
  <r>
    <s v="E10549"/>
    <x v="0"/>
    <x v="1"/>
    <s v="Female"/>
    <n v="31"/>
    <s v="26-35"/>
    <x v="0"/>
    <d v="2024-10-02T00:00:00"/>
    <n v="1.2"/>
    <x v="0"/>
    <n v="3650"/>
    <x v="0"/>
    <x v="1"/>
    <n v="3"/>
    <n v="23"/>
    <x v="1"/>
    <m/>
    <x v="2"/>
    <x v="2"/>
    <x v="2"/>
    <n v="1"/>
    <n v="1"/>
    <n v="0"/>
  </r>
  <r>
    <s v="E10550"/>
    <x v="0"/>
    <x v="2"/>
    <s v="Male"/>
    <n v="38"/>
    <s v="36-45"/>
    <x v="1"/>
    <d v="2014-02-07T00:00:00"/>
    <n v="11.9"/>
    <x v="1"/>
    <n v="4350"/>
    <x v="0"/>
    <x v="4"/>
    <n v="3"/>
    <n v="33"/>
    <x v="1"/>
    <m/>
    <x v="2"/>
    <x v="2"/>
    <x v="2"/>
    <n v="1"/>
    <n v="1"/>
    <n v="0"/>
  </r>
  <r>
    <s v="E10551"/>
    <x v="1"/>
    <x v="1"/>
    <s v="Female"/>
    <n v="27"/>
    <s v="26-35"/>
    <x v="1"/>
    <d v="2023-02-22T00:00:00"/>
    <n v="2.9"/>
    <x v="0"/>
    <n v="3950"/>
    <x v="0"/>
    <x v="1"/>
    <n v="3"/>
    <n v="12"/>
    <x v="1"/>
    <m/>
    <x v="2"/>
    <x v="2"/>
    <x v="2"/>
    <n v="1"/>
    <n v="1"/>
    <n v="0"/>
  </r>
  <r>
    <s v="E10552"/>
    <x v="5"/>
    <x v="0"/>
    <s v="Female"/>
    <n v="28"/>
    <s v="26-35"/>
    <x v="1"/>
    <d v="2023-06-21T00:00:00"/>
    <n v="1.1000000000000001"/>
    <x v="0"/>
    <n v="3200"/>
    <x v="1"/>
    <x v="4"/>
    <n v="5"/>
    <n v="33"/>
    <x v="0"/>
    <d v="2024-07-11T00:00:00"/>
    <x v="0"/>
    <x v="4"/>
    <x v="0"/>
    <n v="1"/>
    <n v="0"/>
    <n v="1"/>
  </r>
  <r>
    <s v="E10553"/>
    <x v="5"/>
    <x v="3"/>
    <s v="Male"/>
    <n v="46"/>
    <s v="46+"/>
    <x v="0"/>
    <d v="2017-02-11T00:00:00"/>
    <n v="8.9"/>
    <x v="1"/>
    <n v="12600"/>
    <x v="0"/>
    <x v="2"/>
    <n v="4"/>
    <n v="29"/>
    <x v="1"/>
    <m/>
    <x v="2"/>
    <x v="2"/>
    <x v="2"/>
    <n v="1"/>
    <n v="1"/>
    <n v="0"/>
  </r>
  <r>
    <s v="E10554"/>
    <x v="3"/>
    <x v="1"/>
    <s v="Male"/>
    <n v="32"/>
    <s v="26-35"/>
    <x v="1"/>
    <d v="2017-05-12T00:00:00"/>
    <n v="8.6"/>
    <x v="1"/>
    <n v="8550"/>
    <x v="0"/>
    <x v="2"/>
    <n v="3"/>
    <n v="22"/>
    <x v="1"/>
    <m/>
    <x v="2"/>
    <x v="2"/>
    <x v="2"/>
    <n v="1"/>
    <n v="1"/>
    <n v="0"/>
  </r>
  <r>
    <s v="E10555"/>
    <x v="5"/>
    <x v="1"/>
    <s v="Male"/>
    <n v="31"/>
    <s v="26-35"/>
    <x v="1"/>
    <d v="2023-12-21T00:00:00"/>
    <n v="2"/>
    <x v="0"/>
    <n v="4950"/>
    <x v="0"/>
    <x v="2"/>
    <n v="3"/>
    <n v="30"/>
    <x v="1"/>
    <m/>
    <x v="2"/>
    <x v="2"/>
    <x v="2"/>
    <n v="1"/>
    <n v="1"/>
    <n v="0"/>
  </r>
  <r>
    <s v="E10556"/>
    <x v="4"/>
    <x v="0"/>
    <s v="Female"/>
    <n v="27"/>
    <s v="26-35"/>
    <x v="0"/>
    <d v="2021-07-04T00:00:00"/>
    <n v="4.5"/>
    <x v="2"/>
    <n v="5500"/>
    <x v="0"/>
    <x v="1"/>
    <n v="5"/>
    <n v="37"/>
    <x v="1"/>
    <m/>
    <x v="2"/>
    <x v="2"/>
    <x v="2"/>
    <n v="1"/>
    <n v="1"/>
    <n v="0"/>
  </r>
  <r>
    <s v="E10557"/>
    <x v="0"/>
    <x v="2"/>
    <s v="Female"/>
    <n v="38"/>
    <s v="36-45"/>
    <x v="0"/>
    <d v="2022-01-21T00:00:00"/>
    <n v="3.9"/>
    <x v="2"/>
    <n v="5300"/>
    <x v="1"/>
    <x v="1"/>
    <n v="5"/>
    <n v="18"/>
    <x v="1"/>
    <m/>
    <x v="2"/>
    <x v="2"/>
    <x v="2"/>
    <n v="1"/>
    <n v="1"/>
    <n v="0"/>
  </r>
  <r>
    <s v="E10558"/>
    <x v="1"/>
    <x v="2"/>
    <s v="Female"/>
    <n v="39"/>
    <s v="36-45"/>
    <x v="1"/>
    <d v="2016-08-25T00:00:00"/>
    <n v="9.3000000000000007"/>
    <x v="1"/>
    <n v="5900"/>
    <x v="0"/>
    <x v="2"/>
    <n v="4"/>
    <n v="8"/>
    <x v="1"/>
    <m/>
    <x v="2"/>
    <x v="2"/>
    <x v="2"/>
    <n v="1"/>
    <n v="1"/>
    <n v="0"/>
  </r>
  <r>
    <s v="E10559"/>
    <x v="0"/>
    <x v="0"/>
    <s v="Female"/>
    <n v="28"/>
    <s v="26-35"/>
    <x v="0"/>
    <d v="2023-12-14T00:00:00"/>
    <n v="2"/>
    <x v="0"/>
    <n v="2850"/>
    <x v="0"/>
    <x v="1"/>
    <n v="4"/>
    <n v="25"/>
    <x v="1"/>
    <m/>
    <x v="2"/>
    <x v="2"/>
    <x v="2"/>
    <n v="1"/>
    <n v="1"/>
    <n v="0"/>
  </r>
  <r>
    <s v="E10560"/>
    <x v="1"/>
    <x v="1"/>
    <s v="Male"/>
    <n v="24"/>
    <s v="20-25"/>
    <x v="0"/>
    <d v="2024-06-18T00:00:00"/>
    <n v="1.5"/>
    <x v="0"/>
    <n v="4400"/>
    <x v="1"/>
    <x v="0"/>
    <n v="2"/>
    <n v="31"/>
    <x v="1"/>
    <m/>
    <x v="2"/>
    <x v="2"/>
    <x v="2"/>
    <n v="1"/>
    <n v="1"/>
    <n v="0"/>
  </r>
  <r>
    <s v="E10561"/>
    <x v="5"/>
    <x v="0"/>
    <s v="Male"/>
    <n v="31"/>
    <s v="26-35"/>
    <x v="1"/>
    <d v="2019-09-10T00:00:00"/>
    <n v="6.3"/>
    <x v="1"/>
    <n v="4550"/>
    <x v="0"/>
    <x v="1"/>
    <n v="3"/>
    <n v="8"/>
    <x v="1"/>
    <m/>
    <x v="2"/>
    <x v="2"/>
    <x v="2"/>
    <n v="1"/>
    <n v="1"/>
    <n v="0"/>
  </r>
  <r>
    <s v="E10562"/>
    <x v="5"/>
    <x v="2"/>
    <s v="Female"/>
    <n v="39"/>
    <s v="36-45"/>
    <x v="1"/>
    <d v="2023-06-22T00:00:00"/>
    <n v="2.5"/>
    <x v="0"/>
    <n v="6850"/>
    <x v="1"/>
    <x v="4"/>
    <n v="3"/>
    <n v="23"/>
    <x v="1"/>
    <m/>
    <x v="2"/>
    <x v="2"/>
    <x v="2"/>
    <n v="1"/>
    <n v="1"/>
    <n v="0"/>
  </r>
  <r>
    <s v="E10563"/>
    <x v="1"/>
    <x v="1"/>
    <s v="Male"/>
    <n v="26"/>
    <s v="26-35"/>
    <x v="1"/>
    <d v="2023-04-07T00:00:00"/>
    <n v="2.7"/>
    <x v="0"/>
    <n v="4300"/>
    <x v="1"/>
    <x v="0"/>
    <n v="4"/>
    <n v="25"/>
    <x v="1"/>
    <m/>
    <x v="2"/>
    <x v="2"/>
    <x v="2"/>
    <n v="1"/>
    <n v="1"/>
    <n v="0"/>
  </r>
  <r>
    <s v="E10564"/>
    <x v="3"/>
    <x v="3"/>
    <s v="Male"/>
    <n v="46"/>
    <s v="46+"/>
    <x v="1"/>
    <d v="2014-01-29T00:00:00"/>
    <n v="11.9"/>
    <x v="1"/>
    <n v="16350"/>
    <x v="1"/>
    <x v="4"/>
    <n v="3"/>
    <n v="20"/>
    <x v="1"/>
    <m/>
    <x v="2"/>
    <x v="2"/>
    <x v="2"/>
    <n v="1"/>
    <n v="1"/>
    <n v="0"/>
  </r>
  <r>
    <s v="E10565"/>
    <x v="3"/>
    <x v="1"/>
    <s v="Male"/>
    <n v="32"/>
    <s v="26-35"/>
    <x v="0"/>
    <d v="2023-03-17T00:00:00"/>
    <n v="2.8"/>
    <x v="0"/>
    <n v="8400"/>
    <x v="0"/>
    <x v="0"/>
    <n v="4"/>
    <n v="32"/>
    <x v="1"/>
    <m/>
    <x v="2"/>
    <x v="2"/>
    <x v="2"/>
    <n v="1"/>
    <n v="1"/>
    <n v="0"/>
  </r>
  <r>
    <s v="E10566"/>
    <x v="2"/>
    <x v="1"/>
    <s v="Male"/>
    <n v="36"/>
    <s v="36-45"/>
    <x v="0"/>
    <d v="2023-12-09T00:00:00"/>
    <n v="2.1"/>
    <x v="0"/>
    <n v="6800"/>
    <x v="0"/>
    <x v="1"/>
    <n v="5"/>
    <n v="34"/>
    <x v="1"/>
    <m/>
    <x v="2"/>
    <x v="2"/>
    <x v="2"/>
    <n v="1"/>
    <n v="1"/>
    <n v="0"/>
  </r>
  <r>
    <s v="E10567"/>
    <x v="2"/>
    <x v="0"/>
    <s v="Female"/>
    <n v="29"/>
    <s v="26-35"/>
    <x v="1"/>
    <d v="2021-11-20T00:00:00"/>
    <n v="4.0999999999999996"/>
    <x v="2"/>
    <n v="4400"/>
    <x v="0"/>
    <x v="0"/>
    <n v="3"/>
    <n v="25"/>
    <x v="1"/>
    <m/>
    <x v="2"/>
    <x v="2"/>
    <x v="2"/>
    <n v="1"/>
    <n v="1"/>
    <n v="0"/>
  </r>
  <r>
    <s v="E10568"/>
    <x v="1"/>
    <x v="0"/>
    <s v="Female"/>
    <n v="30"/>
    <s v="26-35"/>
    <x v="2"/>
    <d v="2023-02-11T00:00:00"/>
    <n v="2.9"/>
    <x v="0"/>
    <n v="3600"/>
    <x v="0"/>
    <x v="2"/>
    <n v="5"/>
    <n v="18"/>
    <x v="1"/>
    <m/>
    <x v="2"/>
    <x v="2"/>
    <x v="2"/>
    <n v="1"/>
    <n v="1"/>
    <n v="0"/>
  </r>
  <r>
    <s v="E10569"/>
    <x v="0"/>
    <x v="0"/>
    <s v="Female"/>
    <n v="32"/>
    <s v="26-35"/>
    <x v="1"/>
    <d v="2022-02-26T00:00:00"/>
    <n v="3"/>
    <x v="0"/>
    <n v="2050"/>
    <x v="0"/>
    <x v="2"/>
    <n v="3"/>
    <n v="37"/>
    <x v="0"/>
    <d v="2025-02-10T00:00:00"/>
    <x v="1"/>
    <x v="6"/>
    <x v="0"/>
    <n v="1"/>
    <n v="0"/>
    <n v="1"/>
  </r>
  <r>
    <s v="E10570"/>
    <x v="6"/>
    <x v="0"/>
    <s v="Male"/>
    <n v="30"/>
    <s v="26-35"/>
    <x v="0"/>
    <d v="2021-01-20T00:00:00"/>
    <n v="4.9000000000000004"/>
    <x v="2"/>
    <n v="4700"/>
    <x v="0"/>
    <x v="4"/>
    <n v="3"/>
    <n v="22"/>
    <x v="1"/>
    <m/>
    <x v="2"/>
    <x v="2"/>
    <x v="2"/>
    <n v="1"/>
    <n v="1"/>
    <n v="0"/>
  </r>
  <r>
    <s v="E10571"/>
    <x v="1"/>
    <x v="2"/>
    <s v="Male"/>
    <n v="44"/>
    <s v="36-45"/>
    <x v="1"/>
    <d v="2021-09-24T00:00:00"/>
    <n v="4.3"/>
    <x v="2"/>
    <n v="6900"/>
    <x v="1"/>
    <x v="1"/>
    <n v="3"/>
    <n v="21"/>
    <x v="1"/>
    <m/>
    <x v="2"/>
    <x v="2"/>
    <x v="2"/>
    <n v="1"/>
    <n v="1"/>
    <n v="0"/>
  </r>
  <r>
    <s v="E10572"/>
    <x v="0"/>
    <x v="1"/>
    <s v="Male"/>
    <n v="24"/>
    <s v="20-25"/>
    <x v="1"/>
    <d v="2024-02-23T00:00:00"/>
    <n v="0.6"/>
    <x v="3"/>
    <n v="3800"/>
    <x v="1"/>
    <x v="4"/>
    <n v="5"/>
    <n v="31"/>
    <x v="0"/>
    <d v="2024-09-21T00:00:00"/>
    <x v="0"/>
    <x v="12"/>
    <x v="3"/>
    <n v="1"/>
    <n v="0"/>
    <n v="1"/>
  </r>
  <r>
    <s v="E10573"/>
    <x v="3"/>
    <x v="3"/>
    <s v="Male"/>
    <n v="45"/>
    <s v="36-45"/>
    <x v="1"/>
    <d v="2013-10-03T00:00:00"/>
    <n v="10.9"/>
    <x v="1"/>
    <n v="14450"/>
    <x v="0"/>
    <x v="1"/>
    <n v="4"/>
    <n v="16"/>
    <x v="0"/>
    <d v="2024-08-17T00:00:00"/>
    <x v="0"/>
    <x v="1"/>
    <x v="0"/>
    <n v="1"/>
    <n v="0"/>
    <n v="1"/>
  </r>
  <r>
    <s v="E10574"/>
    <x v="3"/>
    <x v="1"/>
    <s v="Male"/>
    <n v="35"/>
    <s v="26-35"/>
    <x v="1"/>
    <d v="2023-10-14T00:00:00"/>
    <n v="2.2000000000000002"/>
    <x v="0"/>
    <n v="7800"/>
    <x v="1"/>
    <x v="0"/>
    <n v="5"/>
    <n v="31"/>
    <x v="1"/>
    <m/>
    <x v="2"/>
    <x v="2"/>
    <x v="2"/>
    <n v="1"/>
    <n v="1"/>
    <n v="0"/>
  </r>
  <r>
    <s v="E10575"/>
    <x v="0"/>
    <x v="3"/>
    <s v="Male"/>
    <n v="40"/>
    <s v="36-45"/>
    <x v="1"/>
    <d v="2015-11-24T00:00:00"/>
    <n v="10.1"/>
    <x v="1"/>
    <n v="7900"/>
    <x v="0"/>
    <x v="0"/>
    <n v="2"/>
    <n v="24"/>
    <x v="1"/>
    <m/>
    <x v="2"/>
    <x v="2"/>
    <x v="2"/>
    <n v="1"/>
    <n v="1"/>
    <n v="0"/>
  </r>
  <r>
    <s v="E10576"/>
    <x v="6"/>
    <x v="0"/>
    <s v="Male"/>
    <n v="36"/>
    <s v="36-45"/>
    <x v="0"/>
    <d v="2020-03-18T00:00:00"/>
    <n v="5.8"/>
    <x v="1"/>
    <n v="3850"/>
    <x v="0"/>
    <x v="1"/>
    <n v="3"/>
    <n v="35"/>
    <x v="1"/>
    <m/>
    <x v="2"/>
    <x v="2"/>
    <x v="2"/>
    <n v="1"/>
    <n v="1"/>
    <n v="0"/>
  </r>
  <r>
    <s v="E10577"/>
    <x v="4"/>
    <x v="0"/>
    <s v="Female"/>
    <n v="25"/>
    <s v="20-25"/>
    <x v="1"/>
    <d v="2024-07-26T00:00:00"/>
    <n v="1.4"/>
    <x v="0"/>
    <n v="3550"/>
    <x v="1"/>
    <x v="1"/>
    <n v="3"/>
    <n v="38"/>
    <x v="1"/>
    <m/>
    <x v="2"/>
    <x v="2"/>
    <x v="2"/>
    <n v="1"/>
    <n v="1"/>
    <n v="0"/>
  </r>
  <r>
    <s v="E10578"/>
    <x v="1"/>
    <x v="1"/>
    <s v="Male"/>
    <n v="36"/>
    <s v="36-45"/>
    <x v="1"/>
    <d v="2014-03-08T00:00:00"/>
    <n v="10.4"/>
    <x v="1"/>
    <n v="4600"/>
    <x v="1"/>
    <x v="3"/>
    <n v="5"/>
    <n v="24"/>
    <x v="0"/>
    <d v="2024-07-22T00:00:00"/>
    <x v="0"/>
    <x v="4"/>
    <x v="3"/>
    <n v="1"/>
    <n v="0"/>
    <n v="1"/>
  </r>
  <r>
    <s v="E10579"/>
    <x v="3"/>
    <x v="1"/>
    <s v="Female"/>
    <n v="32"/>
    <s v="26-35"/>
    <x v="0"/>
    <d v="2017-12-28T00:00:00"/>
    <n v="8"/>
    <x v="1"/>
    <n v="9250"/>
    <x v="0"/>
    <x v="1"/>
    <n v="4"/>
    <n v="23"/>
    <x v="1"/>
    <m/>
    <x v="2"/>
    <x v="2"/>
    <x v="2"/>
    <n v="1"/>
    <n v="1"/>
    <n v="0"/>
  </r>
  <r>
    <s v="E10580"/>
    <x v="0"/>
    <x v="0"/>
    <s v="Female"/>
    <n v="21"/>
    <s v="20-25"/>
    <x v="1"/>
    <d v="2025-12-12T00:00:00"/>
    <n v="0"/>
    <x v="3"/>
    <n v="2250"/>
    <x v="1"/>
    <x v="4"/>
    <n v="4"/>
    <n v="27"/>
    <x v="0"/>
    <d v="2025-12-27T00:00:00"/>
    <x v="1"/>
    <x v="5"/>
    <x v="0"/>
    <n v="1"/>
    <n v="0"/>
    <n v="1"/>
  </r>
  <r>
    <s v="E10581"/>
    <x v="1"/>
    <x v="3"/>
    <s v="Male"/>
    <n v="44"/>
    <s v="36-45"/>
    <x v="2"/>
    <d v="2020-10-19T00:00:00"/>
    <n v="5.2"/>
    <x v="1"/>
    <n v="8000"/>
    <x v="1"/>
    <x v="0"/>
    <n v="4"/>
    <n v="49"/>
    <x v="1"/>
    <m/>
    <x v="2"/>
    <x v="2"/>
    <x v="2"/>
    <n v="1"/>
    <n v="1"/>
    <n v="0"/>
  </r>
  <r>
    <s v="E10582"/>
    <x v="0"/>
    <x v="1"/>
    <s v="Male"/>
    <n v="28"/>
    <s v="26-35"/>
    <x v="1"/>
    <d v="2025-01-27T00:00:00"/>
    <n v="0.9"/>
    <x v="3"/>
    <n v="4650"/>
    <x v="1"/>
    <x v="1"/>
    <n v="3"/>
    <n v="27"/>
    <x v="1"/>
    <m/>
    <x v="2"/>
    <x v="2"/>
    <x v="2"/>
    <n v="1"/>
    <n v="1"/>
    <n v="0"/>
  </r>
  <r>
    <s v="E10583"/>
    <x v="0"/>
    <x v="2"/>
    <s v="Male"/>
    <n v="37"/>
    <s v="36-45"/>
    <x v="0"/>
    <d v="2015-04-11T00:00:00"/>
    <n v="10.7"/>
    <x v="1"/>
    <n v="5200"/>
    <x v="1"/>
    <x v="1"/>
    <n v="2"/>
    <n v="29"/>
    <x v="1"/>
    <m/>
    <x v="2"/>
    <x v="2"/>
    <x v="2"/>
    <n v="1"/>
    <n v="1"/>
    <n v="0"/>
  </r>
  <r>
    <s v="E10584"/>
    <x v="0"/>
    <x v="2"/>
    <s v="Male"/>
    <n v="47"/>
    <s v="46+"/>
    <x v="2"/>
    <d v="2014-06-22T00:00:00"/>
    <n v="11.5"/>
    <x v="1"/>
    <n v="6650"/>
    <x v="0"/>
    <x v="0"/>
    <n v="3"/>
    <n v="17"/>
    <x v="1"/>
    <m/>
    <x v="2"/>
    <x v="2"/>
    <x v="2"/>
    <n v="1"/>
    <n v="1"/>
    <n v="0"/>
  </r>
  <r>
    <s v="E10585"/>
    <x v="0"/>
    <x v="1"/>
    <s v="Male"/>
    <n v="23"/>
    <s v="20-25"/>
    <x v="1"/>
    <d v="2025-05-17T00:00:00"/>
    <n v="0.6"/>
    <x v="3"/>
    <n v="3800"/>
    <x v="1"/>
    <x v="1"/>
    <n v="3"/>
    <n v="20"/>
    <x v="1"/>
    <m/>
    <x v="2"/>
    <x v="2"/>
    <x v="2"/>
    <n v="1"/>
    <n v="1"/>
    <n v="0"/>
  </r>
  <r>
    <s v="E10586"/>
    <x v="0"/>
    <x v="0"/>
    <s v="Male"/>
    <n v="28"/>
    <s v="26-35"/>
    <x v="0"/>
    <d v="2023-05-07T00:00:00"/>
    <n v="2.7"/>
    <x v="0"/>
    <n v="3000"/>
    <x v="0"/>
    <x v="2"/>
    <n v="5"/>
    <n v="0"/>
    <x v="1"/>
    <m/>
    <x v="2"/>
    <x v="2"/>
    <x v="2"/>
    <n v="1"/>
    <n v="1"/>
    <n v="0"/>
  </r>
  <r>
    <s v="E10587"/>
    <x v="1"/>
    <x v="2"/>
    <s v="Male"/>
    <n v="32"/>
    <s v="26-35"/>
    <x v="0"/>
    <d v="2024-03-13T00:00:00"/>
    <n v="1.8"/>
    <x v="0"/>
    <n v="5050"/>
    <x v="1"/>
    <x v="1"/>
    <n v="3"/>
    <n v="4"/>
    <x v="1"/>
    <m/>
    <x v="2"/>
    <x v="2"/>
    <x v="2"/>
    <n v="1"/>
    <n v="1"/>
    <n v="0"/>
  </r>
  <r>
    <s v="E10588"/>
    <x v="5"/>
    <x v="0"/>
    <s v="Male"/>
    <n v="23"/>
    <s v="20-25"/>
    <x v="1"/>
    <d v="2024-10-15T00:00:00"/>
    <n v="0.8"/>
    <x v="3"/>
    <n v="4050"/>
    <x v="1"/>
    <x v="1"/>
    <n v="3"/>
    <n v="17"/>
    <x v="0"/>
    <d v="2025-07-22T00:00:00"/>
    <x v="1"/>
    <x v="4"/>
    <x v="3"/>
    <n v="1"/>
    <n v="0"/>
    <n v="1"/>
  </r>
  <r>
    <s v="E10589"/>
    <x v="5"/>
    <x v="0"/>
    <s v="Female"/>
    <n v="23"/>
    <s v="20-25"/>
    <x v="0"/>
    <d v="2024-08-08T00:00:00"/>
    <n v="0.8"/>
    <x v="3"/>
    <n v="4300"/>
    <x v="0"/>
    <x v="0"/>
    <n v="3"/>
    <n v="33"/>
    <x v="0"/>
    <d v="2025-05-10T00:00:00"/>
    <x v="1"/>
    <x v="9"/>
    <x v="3"/>
    <n v="1"/>
    <n v="0"/>
    <n v="1"/>
  </r>
  <r>
    <s v="E10590"/>
    <x v="2"/>
    <x v="0"/>
    <s v="Male"/>
    <n v="30"/>
    <s v="26-35"/>
    <x v="0"/>
    <d v="2024-03-22T00:00:00"/>
    <n v="1.8"/>
    <x v="0"/>
    <n v="4750"/>
    <x v="0"/>
    <x v="0"/>
    <n v="3"/>
    <n v="43"/>
    <x v="1"/>
    <m/>
    <x v="2"/>
    <x v="2"/>
    <x v="2"/>
    <n v="1"/>
    <n v="1"/>
    <n v="0"/>
  </r>
  <r>
    <s v="E10591"/>
    <x v="3"/>
    <x v="0"/>
    <s v="Male"/>
    <n v="26"/>
    <s v="26-35"/>
    <x v="1"/>
    <d v="2023-07-09T00:00:00"/>
    <n v="2.5"/>
    <x v="0"/>
    <n v="5500"/>
    <x v="0"/>
    <x v="1"/>
    <n v="3"/>
    <n v="31"/>
    <x v="1"/>
    <m/>
    <x v="2"/>
    <x v="2"/>
    <x v="2"/>
    <n v="1"/>
    <n v="1"/>
    <n v="0"/>
  </r>
  <r>
    <s v="E10592"/>
    <x v="2"/>
    <x v="1"/>
    <s v="Male"/>
    <n v="26"/>
    <s v="26-35"/>
    <x v="1"/>
    <d v="2024-10-07T00:00:00"/>
    <n v="1.2"/>
    <x v="0"/>
    <n v="6950"/>
    <x v="0"/>
    <x v="0"/>
    <n v="4"/>
    <n v="12"/>
    <x v="1"/>
    <m/>
    <x v="2"/>
    <x v="2"/>
    <x v="2"/>
    <n v="1"/>
    <n v="1"/>
    <n v="0"/>
  </r>
  <r>
    <s v="E10593"/>
    <x v="0"/>
    <x v="2"/>
    <s v="Male"/>
    <n v="50"/>
    <s v="46+"/>
    <x v="0"/>
    <d v="2019-11-08T00:00:00"/>
    <n v="6.1"/>
    <x v="1"/>
    <n v="5400"/>
    <x v="0"/>
    <x v="1"/>
    <n v="2"/>
    <n v="24"/>
    <x v="1"/>
    <m/>
    <x v="2"/>
    <x v="2"/>
    <x v="2"/>
    <n v="1"/>
    <n v="1"/>
    <n v="0"/>
  </r>
  <r>
    <s v="E10594"/>
    <x v="2"/>
    <x v="0"/>
    <s v="Female"/>
    <n v="26"/>
    <s v="26-35"/>
    <x v="0"/>
    <d v="2022-08-03T00:00:00"/>
    <n v="3.4"/>
    <x v="2"/>
    <n v="5850"/>
    <x v="1"/>
    <x v="4"/>
    <n v="4"/>
    <n v="37"/>
    <x v="1"/>
    <m/>
    <x v="2"/>
    <x v="2"/>
    <x v="2"/>
    <n v="1"/>
    <n v="1"/>
    <n v="0"/>
  </r>
  <r>
    <s v="E10595"/>
    <x v="3"/>
    <x v="2"/>
    <s v="Female"/>
    <n v="46"/>
    <s v="46+"/>
    <x v="1"/>
    <d v="2021-12-23T00:00:00"/>
    <n v="4"/>
    <x v="2"/>
    <n v="10800"/>
    <x v="0"/>
    <x v="0"/>
    <n v="4"/>
    <n v="23"/>
    <x v="1"/>
    <m/>
    <x v="2"/>
    <x v="2"/>
    <x v="2"/>
    <n v="1"/>
    <n v="1"/>
    <n v="0"/>
  </r>
  <r>
    <s v="E10596"/>
    <x v="4"/>
    <x v="1"/>
    <s v="Female"/>
    <n v="36"/>
    <s v="36-45"/>
    <x v="0"/>
    <d v="2016-09-05T00:00:00"/>
    <n v="9.3000000000000007"/>
    <x v="1"/>
    <n v="5250"/>
    <x v="0"/>
    <x v="0"/>
    <n v="2"/>
    <n v="20"/>
    <x v="1"/>
    <m/>
    <x v="2"/>
    <x v="2"/>
    <x v="2"/>
    <n v="1"/>
    <n v="1"/>
    <n v="0"/>
  </r>
  <r>
    <s v="E10597"/>
    <x v="4"/>
    <x v="2"/>
    <s v="Female"/>
    <n v="43"/>
    <s v="36-45"/>
    <x v="2"/>
    <d v="2019-02-03T00:00:00"/>
    <n v="6.9"/>
    <x v="1"/>
    <n v="9350"/>
    <x v="0"/>
    <x v="0"/>
    <n v="3"/>
    <n v="23"/>
    <x v="1"/>
    <m/>
    <x v="2"/>
    <x v="2"/>
    <x v="2"/>
    <n v="1"/>
    <n v="1"/>
    <n v="0"/>
  </r>
  <r>
    <s v="E10598"/>
    <x v="2"/>
    <x v="0"/>
    <s v="Female"/>
    <n v="26"/>
    <s v="26-35"/>
    <x v="0"/>
    <d v="2025-04-13T00:00:00"/>
    <n v="0.7"/>
    <x v="3"/>
    <n v="5150"/>
    <x v="0"/>
    <x v="0"/>
    <n v="3"/>
    <n v="29"/>
    <x v="1"/>
    <m/>
    <x v="2"/>
    <x v="2"/>
    <x v="2"/>
    <n v="1"/>
    <n v="1"/>
    <n v="0"/>
  </r>
  <r>
    <s v="E10599"/>
    <x v="0"/>
    <x v="0"/>
    <s v="Male"/>
    <n v="23"/>
    <s v="20-25"/>
    <x v="1"/>
    <d v="2025-01-26T00:00:00"/>
    <n v="0.7"/>
    <x v="3"/>
    <n v="2800"/>
    <x v="1"/>
    <x v="4"/>
    <n v="5"/>
    <n v="23"/>
    <x v="0"/>
    <d v="2025-10-15T00:00:00"/>
    <x v="1"/>
    <x v="11"/>
    <x v="3"/>
    <n v="1"/>
    <n v="0"/>
    <n v="1"/>
  </r>
  <r>
    <s v="E10600"/>
    <x v="5"/>
    <x v="0"/>
    <s v="Male"/>
    <n v="21"/>
    <s v="20-25"/>
    <x v="1"/>
    <d v="2025-12-10T00:00:00"/>
    <n v="0.1"/>
    <x v="3"/>
    <n v="4000"/>
    <x v="0"/>
    <x v="1"/>
    <n v="3"/>
    <n v="12"/>
    <x v="1"/>
    <m/>
    <x v="2"/>
    <x v="2"/>
    <x v="2"/>
    <n v="1"/>
    <n v="1"/>
    <n v="0"/>
  </r>
  <r>
    <s v="E10601"/>
    <x v="5"/>
    <x v="3"/>
    <s v="Male"/>
    <n v="51"/>
    <s v="46+"/>
    <x v="0"/>
    <d v="2015-04-11T00:00:00"/>
    <n v="10.7"/>
    <x v="1"/>
    <n v="9200"/>
    <x v="0"/>
    <x v="0"/>
    <n v="4"/>
    <n v="22"/>
    <x v="1"/>
    <m/>
    <x v="2"/>
    <x v="2"/>
    <x v="2"/>
    <n v="1"/>
    <n v="1"/>
    <n v="0"/>
  </r>
  <r>
    <s v="E10602"/>
    <x v="5"/>
    <x v="0"/>
    <s v="Female"/>
    <n v="23"/>
    <s v="20-25"/>
    <x v="1"/>
    <d v="2025-06-10T00:00:00"/>
    <n v="0"/>
    <x v="3"/>
    <n v="3650"/>
    <x v="0"/>
    <x v="0"/>
    <n v="2"/>
    <n v="26"/>
    <x v="0"/>
    <d v="2025-06-21T00:00:00"/>
    <x v="1"/>
    <x v="0"/>
    <x v="0"/>
    <n v="1"/>
    <n v="0"/>
    <n v="1"/>
  </r>
  <r>
    <s v="E10603"/>
    <x v="0"/>
    <x v="1"/>
    <s v="Male"/>
    <n v="33"/>
    <s v="26-35"/>
    <x v="1"/>
    <d v="2023-09-12T00:00:00"/>
    <n v="2.2999999999999998"/>
    <x v="0"/>
    <n v="3500"/>
    <x v="0"/>
    <x v="1"/>
    <n v="3"/>
    <n v="25"/>
    <x v="1"/>
    <m/>
    <x v="2"/>
    <x v="2"/>
    <x v="2"/>
    <n v="1"/>
    <n v="1"/>
    <n v="0"/>
  </r>
  <r>
    <s v="E10604"/>
    <x v="2"/>
    <x v="0"/>
    <s v="Male"/>
    <n v="24"/>
    <s v="20-25"/>
    <x v="1"/>
    <d v="2024-03-06T00:00:00"/>
    <n v="1.8"/>
    <x v="0"/>
    <n v="5800"/>
    <x v="0"/>
    <x v="0"/>
    <n v="3"/>
    <n v="14"/>
    <x v="1"/>
    <m/>
    <x v="2"/>
    <x v="2"/>
    <x v="2"/>
    <n v="1"/>
    <n v="1"/>
    <n v="0"/>
  </r>
  <r>
    <s v="E10605"/>
    <x v="5"/>
    <x v="1"/>
    <s v="Male"/>
    <n v="33"/>
    <s v="26-35"/>
    <x v="0"/>
    <d v="2024-05-23T00:00:00"/>
    <n v="1.6"/>
    <x v="0"/>
    <n v="6350"/>
    <x v="1"/>
    <x v="4"/>
    <n v="4"/>
    <n v="37"/>
    <x v="1"/>
    <m/>
    <x v="2"/>
    <x v="2"/>
    <x v="2"/>
    <n v="1"/>
    <n v="1"/>
    <n v="0"/>
  </r>
  <r>
    <s v="E10606"/>
    <x v="3"/>
    <x v="0"/>
    <s v="Female"/>
    <n v="44"/>
    <s v="36-45"/>
    <x v="1"/>
    <d v="2020-06-10T00:00:00"/>
    <n v="5.6"/>
    <x v="1"/>
    <n v="5100"/>
    <x v="0"/>
    <x v="1"/>
    <n v="3"/>
    <n v="20"/>
    <x v="1"/>
    <m/>
    <x v="2"/>
    <x v="2"/>
    <x v="2"/>
    <n v="1"/>
    <n v="1"/>
    <n v="0"/>
  </r>
  <r>
    <s v="E10607"/>
    <x v="4"/>
    <x v="3"/>
    <s v="Male"/>
    <n v="42"/>
    <s v="36-45"/>
    <x v="0"/>
    <d v="2012-03-16T00:00:00"/>
    <n v="13.8"/>
    <x v="1"/>
    <n v="9350"/>
    <x v="0"/>
    <x v="0"/>
    <n v="3"/>
    <n v="15"/>
    <x v="1"/>
    <m/>
    <x v="2"/>
    <x v="2"/>
    <x v="2"/>
    <n v="1"/>
    <n v="1"/>
    <n v="0"/>
  </r>
  <r>
    <s v="E10608"/>
    <x v="5"/>
    <x v="1"/>
    <s v="Female"/>
    <n v="37"/>
    <s v="36-45"/>
    <x v="0"/>
    <d v="2023-11-06T00:00:00"/>
    <n v="0.7"/>
    <x v="3"/>
    <n v="4450"/>
    <x v="1"/>
    <x v="4"/>
    <n v="3"/>
    <n v="21"/>
    <x v="0"/>
    <d v="2024-07-10T00:00:00"/>
    <x v="0"/>
    <x v="4"/>
    <x v="3"/>
    <n v="1"/>
    <n v="0"/>
    <n v="1"/>
  </r>
  <r>
    <s v="E10609"/>
    <x v="3"/>
    <x v="1"/>
    <s v="Male"/>
    <n v="28"/>
    <s v="26-35"/>
    <x v="0"/>
    <d v="2024-06-01T00:00:00"/>
    <n v="1.6"/>
    <x v="0"/>
    <n v="8650"/>
    <x v="1"/>
    <x v="1"/>
    <n v="3"/>
    <n v="42"/>
    <x v="1"/>
    <m/>
    <x v="2"/>
    <x v="2"/>
    <x v="2"/>
    <n v="1"/>
    <n v="1"/>
    <n v="0"/>
  </r>
  <r>
    <s v="E10610"/>
    <x v="0"/>
    <x v="2"/>
    <s v="Female"/>
    <n v="31"/>
    <s v="26-35"/>
    <x v="1"/>
    <d v="2020-09-05T00:00:00"/>
    <n v="5.3"/>
    <x v="1"/>
    <n v="4750"/>
    <x v="0"/>
    <x v="2"/>
    <n v="4"/>
    <n v="27"/>
    <x v="1"/>
    <m/>
    <x v="2"/>
    <x v="2"/>
    <x v="2"/>
    <n v="1"/>
    <n v="1"/>
    <n v="0"/>
  </r>
  <r>
    <s v="E10611"/>
    <x v="1"/>
    <x v="2"/>
    <s v="Male"/>
    <n v="42"/>
    <s v="36-45"/>
    <x v="2"/>
    <d v="2012-04-13T00:00:00"/>
    <n v="13.7"/>
    <x v="1"/>
    <n v="7250"/>
    <x v="0"/>
    <x v="1"/>
    <n v="3"/>
    <n v="19"/>
    <x v="1"/>
    <m/>
    <x v="2"/>
    <x v="2"/>
    <x v="2"/>
    <n v="1"/>
    <n v="1"/>
    <n v="0"/>
  </r>
  <r>
    <s v="E10612"/>
    <x v="5"/>
    <x v="0"/>
    <s v="Female"/>
    <n v="21"/>
    <s v="20-25"/>
    <x v="1"/>
    <d v="2025-11-06T00:00:00"/>
    <n v="0.2"/>
    <x v="3"/>
    <n v="3400"/>
    <x v="1"/>
    <x v="0"/>
    <n v="3"/>
    <n v="14"/>
    <x v="1"/>
    <m/>
    <x v="2"/>
    <x v="2"/>
    <x v="2"/>
    <n v="1"/>
    <n v="1"/>
    <n v="0"/>
  </r>
  <r>
    <s v="E10613"/>
    <x v="5"/>
    <x v="0"/>
    <s v="Female"/>
    <n v="22"/>
    <s v="20-25"/>
    <x v="1"/>
    <d v="2025-06-04T00:00:00"/>
    <n v="0.6"/>
    <x v="3"/>
    <n v="4400"/>
    <x v="0"/>
    <x v="1"/>
    <n v="4"/>
    <n v="33"/>
    <x v="1"/>
    <m/>
    <x v="2"/>
    <x v="2"/>
    <x v="2"/>
    <n v="1"/>
    <n v="1"/>
    <n v="0"/>
  </r>
  <r>
    <s v="E10614"/>
    <x v="3"/>
    <x v="0"/>
    <s v="Male"/>
    <n v="25"/>
    <s v="20-25"/>
    <x v="1"/>
    <d v="2025-01-13T00:00:00"/>
    <n v="1"/>
    <x v="3"/>
    <n v="5850"/>
    <x v="0"/>
    <x v="0"/>
    <n v="3"/>
    <n v="16"/>
    <x v="1"/>
    <m/>
    <x v="2"/>
    <x v="2"/>
    <x v="2"/>
    <n v="1"/>
    <n v="1"/>
    <n v="0"/>
  </r>
  <r>
    <s v="E10615"/>
    <x v="0"/>
    <x v="0"/>
    <s v="Male"/>
    <n v="30"/>
    <s v="26-35"/>
    <x v="1"/>
    <d v="2023-08-31T00:00:00"/>
    <n v="1.4"/>
    <x v="0"/>
    <n v="2250"/>
    <x v="1"/>
    <x v="1"/>
    <n v="3"/>
    <n v="13"/>
    <x v="0"/>
    <d v="2025-01-21T00:00:00"/>
    <x v="1"/>
    <x v="7"/>
    <x v="0"/>
    <n v="1"/>
    <n v="0"/>
    <n v="1"/>
  </r>
  <r>
    <s v="E10616"/>
    <x v="3"/>
    <x v="0"/>
    <s v="Female"/>
    <n v="23"/>
    <s v="20-25"/>
    <x v="0"/>
    <d v="2025-05-16T00:00:00"/>
    <n v="0.6"/>
    <x v="3"/>
    <n v="5550"/>
    <x v="0"/>
    <x v="0"/>
    <n v="3"/>
    <n v="27"/>
    <x v="1"/>
    <m/>
    <x v="2"/>
    <x v="2"/>
    <x v="2"/>
    <n v="1"/>
    <n v="1"/>
    <n v="0"/>
  </r>
  <r>
    <s v="E10617"/>
    <x v="6"/>
    <x v="3"/>
    <s v="Male"/>
    <n v="50"/>
    <s v="46+"/>
    <x v="1"/>
    <d v="2021-11-05T00:00:00"/>
    <n v="4.2"/>
    <x v="2"/>
    <n v="9350"/>
    <x v="1"/>
    <x v="0"/>
    <n v="5"/>
    <n v="27"/>
    <x v="1"/>
    <m/>
    <x v="2"/>
    <x v="2"/>
    <x v="2"/>
    <n v="1"/>
    <n v="1"/>
    <n v="0"/>
  </r>
  <r>
    <s v="E10618"/>
    <x v="0"/>
    <x v="1"/>
    <s v="Male"/>
    <n v="24"/>
    <s v="20-25"/>
    <x v="0"/>
    <d v="2025-07-08T00:00:00"/>
    <n v="0.5"/>
    <x v="3"/>
    <n v="3700"/>
    <x v="0"/>
    <x v="1"/>
    <n v="3"/>
    <n v="40"/>
    <x v="1"/>
    <m/>
    <x v="2"/>
    <x v="2"/>
    <x v="2"/>
    <n v="1"/>
    <n v="1"/>
    <n v="0"/>
  </r>
  <r>
    <s v="E10619"/>
    <x v="1"/>
    <x v="1"/>
    <s v="Male"/>
    <n v="30"/>
    <s v="26-35"/>
    <x v="1"/>
    <d v="2024-04-23T00:00:00"/>
    <n v="1.7"/>
    <x v="0"/>
    <n v="2550"/>
    <x v="0"/>
    <x v="0"/>
    <n v="5"/>
    <n v="26"/>
    <x v="1"/>
    <m/>
    <x v="2"/>
    <x v="2"/>
    <x v="2"/>
    <n v="1"/>
    <n v="1"/>
    <n v="0"/>
  </r>
  <r>
    <s v="E10620"/>
    <x v="0"/>
    <x v="1"/>
    <s v="Female"/>
    <n v="34"/>
    <s v="26-35"/>
    <x v="1"/>
    <d v="2018-11-01T00:00:00"/>
    <n v="5.8"/>
    <x v="1"/>
    <n v="4000"/>
    <x v="1"/>
    <x v="4"/>
    <n v="3"/>
    <n v="22"/>
    <x v="0"/>
    <d v="2024-08-08T00:00:00"/>
    <x v="0"/>
    <x v="1"/>
    <x v="3"/>
    <n v="1"/>
    <n v="0"/>
    <n v="1"/>
  </r>
  <r>
    <s v="E10621"/>
    <x v="1"/>
    <x v="0"/>
    <s v="Male"/>
    <n v="21"/>
    <s v="20-25"/>
    <x v="1"/>
    <d v="2025-12-13T00:00:00"/>
    <n v="0"/>
    <x v="3"/>
    <n v="3050"/>
    <x v="1"/>
    <x v="1"/>
    <n v="3"/>
    <n v="13"/>
    <x v="1"/>
    <m/>
    <x v="2"/>
    <x v="2"/>
    <x v="2"/>
    <n v="1"/>
    <n v="1"/>
    <n v="0"/>
  </r>
  <r>
    <s v="E10622"/>
    <x v="3"/>
    <x v="3"/>
    <s v="Female"/>
    <n v="45"/>
    <s v="36-45"/>
    <x v="1"/>
    <d v="2013-06-01T00:00:00"/>
    <n v="12.6"/>
    <x v="1"/>
    <n v="17400"/>
    <x v="0"/>
    <x v="1"/>
    <n v="3"/>
    <n v="36"/>
    <x v="1"/>
    <m/>
    <x v="2"/>
    <x v="2"/>
    <x v="2"/>
    <n v="1"/>
    <n v="1"/>
    <n v="0"/>
  </r>
  <r>
    <s v="E10623"/>
    <x v="4"/>
    <x v="0"/>
    <s v="Female"/>
    <n v="21"/>
    <s v="20-25"/>
    <x v="1"/>
    <d v="2025-09-16T00:00:00"/>
    <n v="0.2"/>
    <x v="3"/>
    <n v="3500"/>
    <x v="1"/>
    <x v="1"/>
    <n v="2"/>
    <n v="13"/>
    <x v="0"/>
    <d v="2025-11-29T00:00:00"/>
    <x v="1"/>
    <x v="10"/>
    <x v="1"/>
    <n v="1"/>
    <n v="0"/>
    <n v="1"/>
  </r>
  <r>
    <s v="E10624"/>
    <x v="3"/>
    <x v="0"/>
    <s v="Male"/>
    <n v="23"/>
    <s v="20-25"/>
    <x v="1"/>
    <d v="2024-06-03T00:00:00"/>
    <n v="1.6"/>
    <x v="0"/>
    <n v="7100"/>
    <x v="1"/>
    <x v="2"/>
    <n v="3"/>
    <n v="28"/>
    <x v="1"/>
    <m/>
    <x v="2"/>
    <x v="2"/>
    <x v="2"/>
    <n v="1"/>
    <n v="1"/>
    <n v="0"/>
  </r>
  <r>
    <s v="E10625"/>
    <x v="0"/>
    <x v="2"/>
    <s v="Male"/>
    <n v="34"/>
    <s v="26-35"/>
    <x v="0"/>
    <d v="2021-05-15T00:00:00"/>
    <n v="4.5999999999999996"/>
    <x v="2"/>
    <n v="5700"/>
    <x v="0"/>
    <x v="0"/>
    <n v="4"/>
    <n v="26"/>
    <x v="1"/>
    <m/>
    <x v="2"/>
    <x v="2"/>
    <x v="2"/>
    <n v="1"/>
    <n v="1"/>
    <n v="0"/>
  </r>
  <r>
    <s v="E10626"/>
    <x v="5"/>
    <x v="0"/>
    <s v="Female"/>
    <n v="21"/>
    <s v="20-25"/>
    <x v="2"/>
    <d v="2025-12-03T00:00:00"/>
    <n v="0"/>
    <x v="3"/>
    <n v="3800"/>
    <x v="0"/>
    <x v="3"/>
    <n v="4"/>
    <n v="35"/>
    <x v="0"/>
    <d v="2025-12-14T00:00:00"/>
    <x v="1"/>
    <x v="5"/>
    <x v="0"/>
    <n v="1"/>
    <n v="0"/>
    <n v="1"/>
  </r>
  <r>
    <s v="E10627"/>
    <x v="4"/>
    <x v="2"/>
    <s v="Female"/>
    <n v="45"/>
    <s v="36-45"/>
    <x v="0"/>
    <d v="2019-03-04T00:00:00"/>
    <n v="6.8"/>
    <x v="1"/>
    <n v="8100"/>
    <x v="0"/>
    <x v="0"/>
    <n v="3"/>
    <n v="28"/>
    <x v="1"/>
    <m/>
    <x v="2"/>
    <x v="2"/>
    <x v="2"/>
    <n v="1"/>
    <n v="1"/>
    <n v="0"/>
  </r>
  <r>
    <s v="E10628"/>
    <x v="3"/>
    <x v="0"/>
    <s v="Male"/>
    <n v="24"/>
    <s v="20-25"/>
    <x v="0"/>
    <d v="2025-04-07T00:00:00"/>
    <n v="0.6"/>
    <x v="3"/>
    <n v="5300"/>
    <x v="0"/>
    <x v="4"/>
    <n v="4"/>
    <n v="38"/>
    <x v="0"/>
    <d v="2025-11-10T00:00:00"/>
    <x v="1"/>
    <x v="10"/>
    <x v="0"/>
    <n v="1"/>
    <n v="0"/>
    <n v="1"/>
  </r>
  <r>
    <s v="E10629"/>
    <x v="5"/>
    <x v="0"/>
    <s v="Female"/>
    <n v="21"/>
    <s v="20-25"/>
    <x v="1"/>
    <d v="2025-11-04T00:00:00"/>
    <n v="0.2"/>
    <x v="3"/>
    <n v="3450"/>
    <x v="0"/>
    <x v="0"/>
    <n v="3"/>
    <n v="33"/>
    <x v="1"/>
    <m/>
    <x v="2"/>
    <x v="2"/>
    <x v="2"/>
    <n v="1"/>
    <n v="1"/>
    <n v="0"/>
  </r>
  <r>
    <s v="E10630"/>
    <x v="0"/>
    <x v="3"/>
    <s v="Male"/>
    <n v="41"/>
    <s v="36-45"/>
    <x v="1"/>
    <d v="2018-04-12T00:00:00"/>
    <n v="7.7"/>
    <x v="1"/>
    <n v="7150"/>
    <x v="1"/>
    <x v="3"/>
    <n v="4"/>
    <n v="43"/>
    <x v="1"/>
    <m/>
    <x v="2"/>
    <x v="2"/>
    <x v="2"/>
    <n v="1"/>
    <n v="1"/>
    <n v="0"/>
  </r>
  <r>
    <s v="E10631"/>
    <x v="0"/>
    <x v="1"/>
    <s v="Female"/>
    <n v="36"/>
    <s v="36-45"/>
    <x v="1"/>
    <d v="2015-10-26T00:00:00"/>
    <n v="10.199999999999999"/>
    <x v="1"/>
    <n v="3900"/>
    <x v="0"/>
    <x v="1"/>
    <n v="3"/>
    <n v="20"/>
    <x v="1"/>
    <m/>
    <x v="2"/>
    <x v="2"/>
    <x v="2"/>
    <n v="1"/>
    <n v="1"/>
    <n v="0"/>
  </r>
  <r>
    <s v="E10632"/>
    <x v="0"/>
    <x v="0"/>
    <s v="Male"/>
    <n v="36"/>
    <s v="36-45"/>
    <x v="0"/>
    <d v="2016-10-20T00:00:00"/>
    <n v="7.9"/>
    <x v="1"/>
    <n v="3450"/>
    <x v="0"/>
    <x v="1"/>
    <n v="3"/>
    <n v="39"/>
    <x v="0"/>
    <d v="2024-09-04T00:00:00"/>
    <x v="0"/>
    <x v="12"/>
    <x v="5"/>
    <n v="1"/>
    <n v="0"/>
    <n v="1"/>
  </r>
  <r>
    <s v="E10633"/>
    <x v="5"/>
    <x v="2"/>
    <s v="Female"/>
    <n v="42"/>
    <s v="36-45"/>
    <x v="2"/>
    <d v="2018-01-05T00:00:00"/>
    <n v="8"/>
    <x v="1"/>
    <n v="8300"/>
    <x v="0"/>
    <x v="0"/>
    <n v="3"/>
    <n v="22"/>
    <x v="1"/>
    <m/>
    <x v="2"/>
    <x v="2"/>
    <x v="2"/>
    <n v="1"/>
    <n v="1"/>
    <n v="0"/>
  </r>
  <r>
    <s v="E10634"/>
    <x v="0"/>
    <x v="1"/>
    <s v="Female"/>
    <n v="33"/>
    <s v="26-35"/>
    <x v="0"/>
    <d v="2023-12-06T00:00:00"/>
    <n v="2.1"/>
    <x v="0"/>
    <n v="4200"/>
    <x v="0"/>
    <x v="0"/>
    <n v="4"/>
    <n v="23"/>
    <x v="1"/>
    <m/>
    <x v="2"/>
    <x v="2"/>
    <x v="2"/>
    <n v="1"/>
    <n v="1"/>
    <n v="0"/>
  </r>
  <r>
    <s v="E10635"/>
    <x v="5"/>
    <x v="1"/>
    <s v="Female"/>
    <n v="36"/>
    <s v="36-45"/>
    <x v="1"/>
    <d v="2022-06-24T00:00:00"/>
    <n v="3.5"/>
    <x v="2"/>
    <n v="4600"/>
    <x v="0"/>
    <x v="1"/>
    <n v="3"/>
    <n v="30"/>
    <x v="1"/>
    <m/>
    <x v="2"/>
    <x v="2"/>
    <x v="2"/>
    <n v="1"/>
    <n v="1"/>
    <n v="0"/>
  </r>
  <r>
    <s v="E10636"/>
    <x v="5"/>
    <x v="0"/>
    <s v="Male"/>
    <n v="21"/>
    <s v="20-25"/>
    <x v="1"/>
    <d v="2025-10-19T00:00:00"/>
    <n v="0"/>
    <x v="3"/>
    <n v="4350"/>
    <x v="1"/>
    <x v="4"/>
    <n v="3"/>
    <n v="41"/>
    <x v="0"/>
    <d v="2025-11-01T00:00:00"/>
    <x v="1"/>
    <x v="10"/>
    <x v="6"/>
    <n v="1"/>
    <n v="0"/>
    <n v="1"/>
  </r>
  <r>
    <s v="E10637"/>
    <x v="4"/>
    <x v="1"/>
    <s v="Male"/>
    <n v="40"/>
    <s v="36-45"/>
    <x v="2"/>
    <d v="2022-06-03T00:00:00"/>
    <n v="3.6"/>
    <x v="2"/>
    <n v="5750"/>
    <x v="0"/>
    <x v="0"/>
    <n v="5"/>
    <n v="25"/>
    <x v="1"/>
    <m/>
    <x v="2"/>
    <x v="2"/>
    <x v="2"/>
    <n v="1"/>
    <n v="1"/>
    <n v="0"/>
  </r>
  <r>
    <s v="E10638"/>
    <x v="5"/>
    <x v="0"/>
    <s v="Male"/>
    <n v="28"/>
    <s v="26-35"/>
    <x v="0"/>
    <d v="2023-02-23T00:00:00"/>
    <n v="2.9"/>
    <x v="0"/>
    <n v="4150"/>
    <x v="1"/>
    <x v="1"/>
    <n v="3"/>
    <n v="9"/>
    <x v="1"/>
    <m/>
    <x v="2"/>
    <x v="2"/>
    <x v="2"/>
    <n v="1"/>
    <n v="1"/>
    <n v="0"/>
  </r>
  <r>
    <s v="E10639"/>
    <x v="5"/>
    <x v="1"/>
    <s v="Male"/>
    <n v="23"/>
    <s v="20-25"/>
    <x v="1"/>
    <d v="2024-09-01T00:00:00"/>
    <n v="1.3"/>
    <x v="0"/>
    <n v="4950"/>
    <x v="0"/>
    <x v="1"/>
    <n v="3"/>
    <n v="38"/>
    <x v="1"/>
    <m/>
    <x v="2"/>
    <x v="2"/>
    <x v="2"/>
    <n v="1"/>
    <n v="1"/>
    <n v="0"/>
  </r>
  <r>
    <s v="E10640"/>
    <x v="4"/>
    <x v="1"/>
    <s v="Male"/>
    <n v="34"/>
    <s v="26-35"/>
    <x v="1"/>
    <d v="2016-10-13T00:00:00"/>
    <n v="9.1999999999999993"/>
    <x v="1"/>
    <n v="5900"/>
    <x v="1"/>
    <x v="1"/>
    <n v="3"/>
    <n v="26"/>
    <x v="1"/>
    <m/>
    <x v="2"/>
    <x v="2"/>
    <x v="2"/>
    <n v="1"/>
    <n v="1"/>
    <n v="0"/>
  </r>
  <r>
    <s v="E10641"/>
    <x v="0"/>
    <x v="0"/>
    <s v="Female"/>
    <n v="32"/>
    <s v="26-35"/>
    <x v="0"/>
    <d v="2022-03-29T00:00:00"/>
    <n v="3.8"/>
    <x v="2"/>
    <n v="2800"/>
    <x v="1"/>
    <x v="0"/>
    <n v="3"/>
    <n v="27"/>
    <x v="1"/>
    <m/>
    <x v="2"/>
    <x v="2"/>
    <x v="2"/>
    <n v="1"/>
    <n v="1"/>
    <n v="0"/>
  </r>
  <r>
    <s v="E10642"/>
    <x v="2"/>
    <x v="0"/>
    <s v="Male"/>
    <n v="22"/>
    <s v="20-25"/>
    <x v="0"/>
    <d v="2025-04-05T00:00:00"/>
    <n v="0.7"/>
    <x v="3"/>
    <n v="5450"/>
    <x v="1"/>
    <x v="1"/>
    <n v="4"/>
    <n v="21"/>
    <x v="1"/>
    <m/>
    <x v="2"/>
    <x v="2"/>
    <x v="2"/>
    <n v="1"/>
    <n v="1"/>
    <n v="0"/>
  </r>
  <r>
    <s v="E10643"/>
    <x v="6"/>
    <x v="0"/>
    <s v="Female"/>
    <n v="21"/>
    <s v="20-25"/>
    <x v="0"/>
    <d v="2025-09-17T00:00:00"/>
    <n v="0.3"/>
    <x v="3"/>
    <n v="4200"/>
    <x v="0"/>
    <x v="0"/>
    <n v="4"/>
    <n v="27"/>
    <x v="1"/>
    <m/>
    <x v="2"/>
    <x v="2"/>
    <x v="2"/>
    <n v="1"/>
    <n v="1"/>
    <n v="0"/>
  </r>
  <r>
    <s v="E10644"/>
    <x v="1"/>
    <x v="1"/>
    <s v="Male"/>
    <n v="32"/>
    <s v="26-35"/>
    <x v="1"/>
    <d v="2018-09-18T00:00:00"/>
    <n v="7.3"/>
    <x v="1"/>
    <n v="4100"/>
    <x v="0"/>
    <x v="0"/>
    <n v="4"/>
    <n v="21"/>
    <x v="1"/>
    <m/>
    <x v="2"/>
    <x v="2"/>
    <x v="2"/>
    <n v="1"/>
    <n v="1"/>
    <n v="0"/>
  </r>
  <r>
    <s v="E10645"/>
    <x v="2"/>
    <x v="0"/>
    <s v="Female"/>
    <n v="28"/>
    <s v="26-35"/>
    <x v="1"/>
    <d v="2024-08-02T00:00:00"/>
    <n v="0.9"/>
    <x v="3"/>
    <n v="5550"/>
    <x v="0"/>
    <x v="2"/>
    <n v="4"/>
    <n v="15"/>
    <x v="0"/>
    <d v="2025-06-29T00:00:00"/>
    <x v="1"/>
    <x v="0"/>
    <x v="3"/>
    <n v="1"/>
    <n v="0"/>
    <n v="1"/>
  </r>
  <r>
    <s v="E10646"/>
    <x v="3"/>
    <x v="1"/>
    <s v="Male"/>
    <n v="27"/>
    <s v="26-35"/>
    <x v="1"/>
    <d v="2023-05-05T00:00:00"/>
    <n v="1.1000000000000001"/>
    <x v="0"/>
    <n v="7750"/>
    <x v="1"/>
    <x v="1"/>
    <n v="4"/>
    <n v="30"/>
    <x v="0"/>
    <d v="2024-06-28T00:00:00"/>
    <x v="0"/>
    <x v="0"/>
    <x v="1"/>
    <n v="1"/>
    <n v="0"/>
    <n v="1"/>
  </r>
  <r>
    <s v="E10647"/>
    <x v="4"/>
    <x v="2"/>
    <s v="Male"/>
    <n v="33"/>
    <s v="26-35"/>
    <x v="0"/>
    <d v="2021-12-23T00:00:00"/>
    <n v="4"/>
    <x v="2"/>
    <n v="8000"/>
    <x v="0"/>
    <x v="0"/>
    <n v="2"/>
    <n v="31"/>
    <x v="1"/>
    <m/>
    <x v="2"/>
    <x v="2"/>
    <x v="2"/>
    <n v="1"/>
    <n v="1"/>
    <n v="0"/>
  </r>
  <r>
    <s v="E10648"/>
    <x v="3"/>
    <x v="1"/>
    <s v="Male"/>
    <n v="34"/>
    <s v="26-35"/>
    <x v="2"/>
    <d v="2017-12-28T00:00:00"/>
    <n v="8"/>
    <x v="1"/>
    <n v="7750"/>
    <x v="0"/>
    <x v="0"/>
    <n v="3"/>
    <n v="40"/>
    <x v="1"/>
    <m/>
    <x v="2"/>
    <x v="2"/>
    <x v="2"/>
    <n v="1"/>
    <n v="1"/>
    <n v="0"/>
  </r>
  <r>
    <s v="E10649"/>
    <x v="5"/>
    <x v="3"/>
    <s v="Female"/>
    <n v="47"/>
    <s v="46+"/>
    <x v="2"/>
    <d v="2020-08-15T00:00:00"/>
    <n v="5.4"/>
    <x v="1"/>
    <n v="11700"/>
    <x v="0"/>
    <x v="0"/>
    <n v="3"/>
    <n v="21"/>
    <x v="1"/>
    <m/>
    <x v="2"/>
    <x v="2"/>
    <x v="2"/>
    <n v="1"/>
    <n v="1"/>
    <n v="0"/>
  </r>
  <r>
    <s v="E10650"/>
    <x v="1"/>
    <x v="0"/>
    <s v="Male"/>
    <n v="26"/>
    <s v="26-35"/>
    <x v="2"/>
    <d v="2022-06-15T00:00:00"/>
    <n v="2.9"/>
    <x v="0"/>
    <n v="4300"/>
    <x v="0"/>
    <x v="4"/>
    <n v="5"/>
    <n v="34"/>
    <x v="0"/>
    <d v="2025-04-26T00:00:00"/>
    <x v="1"/>
    <x v="8"/>
    <x v="1"/>
    <n v="1"/>
    <n v="0"/>
    <n v="1"/>
  </r>
  <r>
    <s v="E10651"/>
    <x v="0"/>
    <x v="2"/>
    <s v="Male"/>
    <n v="42"/>
    <s v="36-45"/>
    <x v="1"/>
    <d v="2016-07-30T00:00:00"/>
    <n v="9.4"/>
    <x v="1"/>
    <n v="4950"/>
    <x v="0"/>
    <x v="1"/>
    <n v="4"/>
    <n v="28"/>
    <x v="1"/>
    <m/>
    <x v="2"/>
    <x v="2"/>
    <x v="2"/>
    <n v="1"/>
    <n v="1"/>
    <n v="0"/>
  </r>
  <r>
    <s v="E10652"/>
    <x v="1"/>
    <x v="1"/>
    <s v="Male"/>
    <n v="27"/>
    <s v="26-35"/>
    <x v="1"/>
    <d v="2024-03-07T00:00:00"/>
    <n v="0.2"/>
    <x v="3"/>
    <n v="4000"/>
    <x v="0"/>
    <x v="1"/>
    <n v="4"/>
    <n v="6"/>
    <x v="0"/>
    <d v="2024-05-23T00:00:00"/>
    <x v="0"/>
    <x v="9"/>
    <x v="5"/>
    <n v="1"/>
    <n v="0"/>
    <n v="1"/>
  </r>
  <r>
    <s v="E10653"/>
    <x v="1"/>
    <x v="0"/>
    <s v="Male"/>
    <n v="21"/>
    <s v="20-25"/>
    <x v="1"/>
    <d v="2025-11-30T00:00:00"/>
    <n v="0"/>
    <x v="3"/>
    <n v="3350"/>
    <x v="1"/>
    <x v="4"/>
    <n v="3"/>
    <n v="8"/>
    <x v="0"/>
    <d v="2025-12-07T00:00:00"/>
    <x v="1"/>
    <x v="5"/>
    <x v="0"/>
    <n v="1"/>
    <n v="0"/>
    <n v="1"/>
  </r>
  <r>
    <s v="E10654"/>
    <x v="1"/>
    <x v="0"/>
    <s v="Male"/>
    <n v="25"/>
    <s v="20-25"/>
    <x v="0"/>
    <d v="2023-07-16T00:00:00"/>
    <n v="2"/>
    <x v="0"/>
    <n v="3700"/>
    <x v="0"/>
    <x v="0"/>
    <n v="3"/>
    <n v="33"/>
    <x v="0"/>
    <d v="2025-07-27T00:00:00"/>
    <x v="1"/>
    <x v="4"/>
    <x v="5"/>
    <n v="1"/>
    <n v="0"/>
    <n v="1"/>
  </r>
  <r>
    <s v="E10655"/>
    <x v="6"/>
    <x v="2"/>
    <s v="Male"/>
    <n v="27"/>
    <s v="26-35"/>
    <x v="0"/>
    <d v="2023-09-26T00:00:00"/>
    <n v="2.2999999999999998"/>
    <x v="0"/>
    <n v="6450"/>
    <x v="0"/>
    <x v="2"/>
    <n v="4"/>
    <n v="1"/>
    <x v="1"/>
    <m/>
    <x v="2"/>
    <x v="2"/>
    <x v="2"/>
    <n v="1"/>
    <n v="1"/>
    <n v="0"/>
  </r>
  <r>
    <s v="E10656"/>
    <x v="4"/>
    <x v="1"/>
    <s v="Male"/>
    <n v="32"/>
    <s v="26-35"/>
    <x v="1"/>
    <d v="2018-03-12T00:00:00"/>
    <n v="7.8"/>
    <x v="1"/>
    <n v="5300"/>
    <x v="0"/>
    <x v="1"/>
    <n v="3"/>
    <n v="18"/>
    <x v="0"/>
    <d v="2025-12-17T00:00:00"/>
    <x v="1"/>
    <x v="5"/>
    <x v="3"/>
    <n v="1"/>
    <n v="0"/>
    <n v="1"/>
  </r>
  <r>
    <s v="E10657"/>
    <x v="1"/>
    <x v="3"/>
    <s v="Male"/>
    <n v="38"/>
    <s v="36-45"/>
    <x v="1"/>
    <d v="2013-07-11T00:00:00"/>
    <n v="12.1"/>
    <x v="1"/>
    <n v="8850"/>
    <x v="0"/>
    <x v="2"/>
    <n v="3"/>
    <n v="39"/>
    <x v="0"/>
    <d v="2025-08-29T00:00:00"/>
    <x v="1"/>
    <x v="1"/>
    <x v="1"/>
    <n v="1"/>
    <n v="0"/>
    <n v="1"/>
  </r>
  <r>
    <s v="E10658"/>
    <x v="6"/>
    <x v="1"/>
    <s v="Male"/>
    <n v="30"/>
    <s v="26-35"/>
    <x v="1"/>
    <d v="2018-12-28T00:00:00"/>
    <n v="7"/>
    <x v="1"/>
    <n v="4800"/>
    <x v="1"/>
    <x v="1"/>
    <n v="3"/>
    <n v="31"/>
    <x v="1"/>
    <m/>
    <x v="2"/>
    <x v="2"/>
    <x v="2"/>
    <n v="1"/>
    <n v="1"/>
    <n v="0"/>
  </r>
  <r>
    <s v="E10659"/>
    <x v="3"/>
    <x v="1"/>
    <s v="Female"/>
    <n v="31"/>
    <s v="26-35"/>
    <x v="2"/>
    <d v="2020-10-29T00:00:00"/>
    <n v="5.2"/>
    <x v="1"/>
    <n v="9050"/>
    <x v="0"/>
    <x v="2"/>
    <n v="3"/>
    <n v="25"/>
    <x v="1"/>
    <m/>
    <x v="2"/>
    <x v="2"/>
    <x v="2"/>
    <n v="1"/>
    <n v="1"/>
    <n v="0"/>
  </r>
  <r>
    <s v="E10660"/>
    <x v="2"/>
    <x v="0"/>
    <s v="Female"/>
    <n v="21"/>
    <s v="20-25"/>
    <x v="1"/>
    <d v="2025-09-19T00:00:00"/>
    <n v="0.3"/>
    <x v="3"/>
    <n v="4750"/>
    <x v="0"/>
    <x v="4"/>
    <n v="2"/>
    <n v="13"/>
    <x v="1"/>
    <m/>
    <x v="2"/>
    <x v="2"/>
    <x v="2"/>
    <n v="1"/>
    <n v="1"/>
    <n v="0"/>
  </r>
  <r>
    <s v="E10661"/>
    <x v="5"/>
    <x v="1"/>
    <s v="Male"/>
    <n v="39"/>
    <s v="36-45"/>
    <x v="1"/>
    <d v="2013-02-04T00:00:00"/>
    <n v="12.9"/>
    <x v="1"/>
    <n v="5450"/>
    <x v="1"/>
    <x v="0"/>
    <n v="5"/>
    <n v="27"/>
    <x v="1"/>
    <m/>
    <x v="2"/>
    <x v="2"/>
    <x v="2"/>
    <n v="1"/>
    <n v="1"/>
    <n v="0"/>
  </r>
  <r>
    <s v="E10662"/>
    <x v="2"/>
    <x v="0"/>
    <s v="Male"/>
    <n v="21"/>
    <s v="20-25"/>
    <x v="1"/>
    <d v="2025-10-11T00:00:00"/>
    <n v="0"/>
    <x v="3"/>
    <n v="5800"/>
    <x v="1"/>
    <x v="1"/>
    <n v="3"/>
    <n v="30"/>
    <x v="0"/>
    <d v="2025-10-17T00:00:00"/>
    <x v="1"/>
    <x v="11"/>
    <x v="1"/>
    <n v="1"/>
    <n v="0"/>
    <n v="1"/>
  </r>
  <r>
    <s v="E10663"/>
    <x v="1"/>
    <x v="2"/>
    <s v="Male"/>
    <n v="38"/>
    <s v="36-45"/>
    <x v="1"/>
    <d v="2017-03-01T00:00:00"/>
    <n v="8.8000000000000007"/>
    <x v="1"/>
    <n v="6000"/>
    <x v="1"/>
    <x v="1"/>
    <n v="4"/>
    <n v="18"/>
    <x v="1"/>
    <m/>
    <x v="2"/>
    <x v="2"/>
    <x v="2"/>
    <n v="1"/>
    <n v="1"/>
    <n v="0"/>
  </r>
  <r>
    <s v="E10664"/>
    <x v="3"/>
    <x v="0"/>
    <s v="Male"/>
    <n v="25"/>
    <s v="20-25"/>
    <x v="0"/>
    <d v="2023-07-11T00:00:00"/>
    <n v="2.5"/>
    <x v="0"/>
    <n v="6200"/>
    <x v="1"/>
    <x v="0"/>
    <n v="2"/>
    <n v="41"/>
    <x v="1"/>
    <m/>
    <x v="2"/>
    <x v="2"/>
    <x v="2"/>
    <n v="1"/>
    <n v="1"/>
    <n v="0"/>
  </r>
  <r>
    <s v="E10665"/>
    <x v="0"/>
    <x v="1"/>
    <s v="Female"/>
    <n v="36"/>
    <s v="36-45"/>
    <x v="0"/>
    <d v="2018-07-03T00:00:00"/>
    <n v="7.2"/>
    <x v="1"/>
    <n v="3500"/>
    <x v="0"/>
    <x v="1"/>
    <n v="4"/>
    <n v="18"/>
    <x v="0"/>
    <d v="2025-09-26T00:00:00"/>
    <x v="1"/>
    <x v="12"/>
    <x v="1"/>
    <n v="1"/>
    <n v="0"/>
    <n v="1"/>
  </r>
  <r>
    <s v="E10666"/>
    <x v="0"/>
    <x v="1"/>
    <s v="Female"/>
    <n v="30"/>
    <s v="26-35"/>
    <x v="0"/>
    <d v="2021-04-16T00:00:00"/>
    <n v="4.7"/>
    <x v="2"/>
    <n v="4300"/>
    <x v="0"/>
    <x v="0"/>
    <n v="5"/>
    <n v="14"/>
    <x v="1"/>
    <m/>
    <x v="2"/>
    <x v="2"/>
    <x v="2"/>
    <n v="1"/>
    <n v="1"/>
    <n v="0"/>
  </r>
  <r>
    <s v="E10667"/>
    <x v="1"/>
    <x v="2"/>
    <s v="Female"/>
    <n v="43"/>
    <s v="36-45"/>
    <x v="2"/>
    <d v="2012-06-04T00:00:00"/>
    <n v="13.6"/>
    <x v="1"/>
    <n v="5850"/>
    <x v="0"/>
    <x v="0"/>
    <n v="3"/>
    <n v="38"/>
    <x v="1"/>
    <m/>
    <x v="2"/>
    <x v="2"/>
    <x v="2"/>
    <n v="1"/>
    <n v="1"/>
    <n v="0"/>
  </r>
  <r>
    <s v="E10668"/>
    <x v="0"/>
    <x v="1"/>
    <s v="Female"/>
    <n v="36"/>
    <s v="36-45"/>
    <x v="0"/>
    <d v="2017-05-21T00:00:00"/>
    <n v="8.6"/>
    <x v="1"/>
    <n v="3800"/>
    <x v="1"/>
    <x v="1"/>
    <n v="4"/>
    <n v="19"/>
    <x v="1"/>
    <m/>
    <x v="2"/>
    <x v="2"/>
    <x v="2"/>
    <n v="1"/>
    <n v="1"/>
    <n v="0"/>
  </r>
  <r>
    <s v="E10669"/>
    <x v="5"/>
    <x v="0"/>
    <s v="Female"/>
    <n v="21"/>
    <s v="20-25"/>
    <x v="0"/>
    <d v="2025-10-01T00:00:00"/>
    <n v="0.1"/>
    <x v="3"/>
    <n v="4350"/>
    <x v="1"/>
    <x v="4"/>
    <n v="4"/>
    <n v="7"/>
    <x v="0"/>
    <d v="2025-11-20T00:00:00"/>
    <x v="1"/>
    <x v="10"/>
    <x v="1"/>
    <n v="1"/>
    <n v="0"/>
    <n v="1"/>
  </r>
  <r>
    <s v="E10670"/>
    <x v="3"/>
    <x v="0"/>
    <s v="Male"/>
    <n v="32"/>
    <s v="26-35"/>
    <x v="1"/>
    <d v="2022-03-30T00:00:00"/>
    <n v="3.8"/>
    <x v="2"/>
    <n v="6200"/>
    <x v="0"/>
    <x v="0"/>
    <n v="3"/>
    <n v="20"/>
    <x v="1"/>
    <m/>
    <x v="2"/>
    <x v="2"/>
    <x v="2"/>
    <n v="1"/>
    <n v="1"/>
    <n v="0"/>
  </r>
  <r>
    <s v="E10671"/>
    <x v="0"/>
    <x v="1"/>
    <s v="Male"/>
    <n v="42"/>
    <s v="36-45"/>
    <x v="1"/>
    <d v="2021-04-19T00:00:00"/>
    <n v="4.7"/>
    <x v="2"/>
    <n v="3850"/>
    <x v="0"/>
    <x v="0"/>
    <n v="5"/>
    <n v="8"/>
    <x v="1"/>
    <m/>
    <x v="2"/>
    <x v="2"/>
    <x v="2"/>
    <n v="1"/>
    <n v="1"/>
    <n v="0"/>
  </r>
  <r>
    <s v="E10672"/>
    <x v="3"/>
    <x v="0"/>
    <s v="Male"/>
    <n v="28"/>
    <s v="26-35"/>
    <x v="1"/>
    <d v="2022-03-30T00:00:00"/>
    <n v="3.8"/>
    <x v="2"/>
    <n v="5750"/>
    <x v="0"/>
    <x v="0"/>
    <n v="4"/>
    <n v="28"/>
    <x v="1"/>
    <m/>
    <x v="2"/>
    <x v="2"/>
    <x v="2"/>
    <n v="1"/>
    <n v="1"/>
    <n v="0"/>
  </r>
  <r>
    <s v="E10673"/>
    <x v="5"/>
    <x v="1"/>
    <s v="Male"/>
    <n v="43"/>
    <s v="36-45"/>
    <x v="0"/>
    <d v="2017-11-09T00:00:00"/>
    <n v="6.8"/>
    <x v="1"/>
    <n v="5250"/>
    <x v="0"/>
    <x v="0"/>
    <n v="2"/>
    <n v="29"/>
    <x v="0"/>
    <d v="2024-08-12T00:00:00"/>
    <x v="0"/>
    <x v="1"/>
    <x v="1"/>
    <n v="1"/>
    <n v="0"/>
    <n v="1"/>
  </r>
  <r>
    <s v="E10674"/>
    <x v="0"/>
    <x v="1"/>
    <s v="Female"/>
    <n v="26"/>
    <s v="26-35"/>
    <x v="1"/>
    <d v="2022-03-20T00:00:00"/>
    <n v="3.8"/>
    <x v="2"/>
    <n v="3700"/>
    <x v="1"/>
    <x v="0"/>
    <n v="3"/>
    <n v="24"/>
    <x v="1"/>
    <m/>
    <x v="2"/>
    <x v="2"/>
    <x v="2"/>
    <n v="1"/>
    <n v="1"/>
    <n v="0"/>
  </r>
  <r>
    <s v="E10675"/>
    <x v="3"/>
    <x v="1"/>
    <s v="Female"/>
    <n v="32"/>
    <s v="26-35"/>
    <x v="0"/>
    <d v="2019-09-14T00:00:00"/>
    <n v="6.3"/>
    <x v="1"/>
    <n v="8050"/>
    <x v="1"/>
    <x v="1"/>
    <n v="3"/>
    <n v="43"/>
    <x v="1"/>
    <m/>
    <x v="2"/>
    <x v="2"/>
    <x v="2"/>
    <n v="1"/>
    <n v="1"/>
    <n v="0"/>
  </r>
  <r>
    <s v="E10676"/>
    <x v="5"/>
    <x v="2"/>
    <s v="Male"/>
    <n v="36"/>
    <s v="36-45"/>
    <x v="1"/>
    <d v="2019-03-16T00:00:00"/>
    <n v="6.8"/>
    <x v="1"/>
    <n v="8450"/>
    <x v="0"/>
    <x v="1"/>
    <n v="3"/>
    <n v="23"/>
    <x v="1"/>
    <m/>
    <x v="2"/>
    <x v="2"/>
    <x v="2"/>
    <n v="1"/>
    <n v="1"/>
    <n v="0"/>
  </r>
  <r>
    <s v="E10677"/>
    <x v="0"/>
    <x v="2"/>
    <s v="Male"/>
    <n v="41"/>
    <s v="36-45"/>
    <x v="1"/>
    <d v="2011-05-26T00:00:00"/>
    <n v="12.7"/>
    <x v="1"/>
    <n v="4800"/>
    <x v="1"/>
    <x v="1"/>
    <n v="2"/>
    <n v="34"/>
    <x v="0"/>
    <d v="2024-01-31T00:00:00"/>
    <x v="0"/>
    <x v="7"/>
    <x v="3"/>
    <n v="1"/>
    <n v="0"/>
    <n v="1"/>
  </r>
  <r>
    <s v="E10678"/>
    <x v="1"/>
    <x v="0"/>
    <s v="Male"/>
    <n v="26"/>
    <s v="26-35"/>
    <x v="1"/>
    <d v="2022-10-29T00:00:00"/>
    <n v="3.2"/>
    <x v="2"/>
    <n v="3550"/>
    <x v="0"/>
    <x v="0"/>
    <n v="4"/>
    <n v="16"/>
    <x v="1"/>
    <m/>
    <x v="2"/>
    <x v="2"/>
    <x v="2"/>
    <n v="1"/>
    <n v="1"/>
    <n v="0"/>
  </r>
  <r>
    <s v="E10679"/>
    <x v="4"/>
    <x v="0"/>
    <s v="Male"/>
    <n v="24"/>
    <s v="20-25"/>
    <x v="1"/>
    <d v="2023-10-10T00:00:00"/>
    <n v="2.2000000000000002"/>
    <x v="0"/>
    <n v="5950"/>
    <x v="0"/>
    <x v="0"/>
    <n v="4"/>
    <n v="20"/>
    <x v="1"/>
    <m/>
    <x v="2"/>
    <x v="2"/>
    <x v="2"/>
    <n v="1"/>
    <n v="1"/>
    <n v="0"/>
  </r>
  <r>
    <s v="E10680"/>
    <x v="5"/>
    <x v="0"/>
    <s v="Male"/>
    <n v="23"/>
    <s v="20-25"/>
    <x v="2"/>
    <d v="2024-08-24T00:00:00"/>
    <n v="1.4"/>
    <x v="0"/>
    <n v="4200"/>
    <x v="0"/>
    <x v="2"/>
    <n v="3"/>
    <n v="23"/>
    <x v="1"/>
    <m/>
    <x v="2"/>
    <x v="2"/>
    <x v="2"/>
    <n v="1"/>
    <n v="1"/>
    <n v="0"/>
  </r>
  <r>
    <s v="E10681"/>
    <x v="3"/>
    <x v="1"/>
    <s v="Male"/>
    <n v="30"/>
    <s v="26-35"/>
    <x v="1"/>
    <d v="2022-01-19T00:00:00"/>
    <n v="3.9"/>
    <x v="2"/>
    <n v="8300"/>
    <x v="1"/>
    <x v="1"/>
    <n v="3"/>
    <n v="25"/>
    <x v="1"/>
    <m/>
    <x v="2"/>
    <x v="2"/>
    <x v="2"/>
    <n v="1"/>
    <n v="1"/>
    <n v="0"/>
  </r>
  <r>
    <s v="E10682"/>
    <x v="1"/>
    <x v="0"/>
    <s v="Male"/>
    <n v="26"/>
    <s v="26-35"/>
    <x v="1"/>
    <d v="2022-01-02T00:00:00"/>
    <n v="4"/>
    <x v="2"/>
    <n v="2350"/>
    <x v="0"/>
    <x v="1"/>
    <n v="3"/>
    <n v="36"/>
    <x v="1"/>
    <m/>
    <x v="2"/>
    <x v="2"/>
    <x v="2"/>
    <n v="1"/>
    <n v="1"/>
    <n v="0"/>
  </r>
  <r>
    <s v="E10683"/>
    <x v="3"/>
    <x v="0"/>
    <s v="Male"/>
    <n v="27"/>
    <s v="26-35"/>
    <x v="1"/>
    <d v="2024-02-24T00:00:00"/>
    <n v="1.9"/>
    <x v="0"/>
    <n v="5400"/>
    <x v="0"/>
    <x v="0"/>
    <n v="3"/>
    <n v="13"/>
    <x v="1"/>
    <m/>
    <x v="2"/>
    <x v="2"/>
    <x v="2"/>
    <n v="1"/>
    <n v="1"/>
    <n v="0"/>
  </r>
  <r>
    <s v="E10684"/>
    <x v="5"/>
    <x v="0"/>
    <s v="Male"/>
    <n v="36"/>
    <s v="36-45"/>
    <x v="0"/>
    <d v="2019-09-08T00:00:00"/>
    <n v="5.3"/>
    <x v="1"/>
    <n v="3350"/>
    <x v="1"/>
    <x v="1"/>
    <n v="5"/>
    <n v="14"/>
    <x v="0"/>
    <d v="2024-12-24T00:00:00"/>
    <x v="0"/>
    <x v="5"/>
    <x v="0"/>
    <n v="1"/>
    <n v="0"/>
    <n v="1"/>
  </r>
  <r>
    <s v="E10685"/>
    <x v="1"/>
    <x v="1"/>
    <s v="Male"/>
    <n v="42"/>
    <s v="36-45"/>
    <x v="1"/>
    <d v="2021-02-18T00:00:00"/>
    <n v="4.9000000000000004"/>
    <x v="2"/>
    <n v="4200"/>
    <x v="1"/>
    <x v="3"/>
    <n v="3"/>
    <n v="24"/>
    <x v="1"/>
    <m/>
    <x v="2"/>
    <x v="2"/>
    <x v="2"/>
    <n v="1"/>
    <n v="1"/>
    <n v="0"/>
  </r>
  <r>
    <s v="E10686"/>
    <x v="0"/>
    <x v="1"/>
    <s v="Male"/>
    <n v="39"/>
    <s v="36-45"/>
    <x v="0"/>
    <d v="2012-01-04T00:00:00"/>
    <n v="14"/>
    <x v="1"/>
    <n v="4450"/>
    <x v="0"/>
    <x v="0"/>
    <n v="3"/>
    <n v="31"/>
    <x v="1"/>
    <m/>
    <x v="2"/>
    <x v="2"/>
    <x v="2"/>
    <n v="1"/>
    <n v="1"/>
    <n v="0"/>
  </r>
  <r>
    <s v="E10687"/>
    <x v="0"/>
    <x v="1"/>
    <s v="Male"/>
    <n v="21"/>
    <s v="20-25"/>
    <x v="0"/>
    <d v="2025-10-07T00:00:00"/>
    <n v="0.2"/>
    <x v="3"/>
    <n v="4150"/>
    <x v="0"/>
    <x v="0"/>
    <n v="3"/>
    <n v="19"/>
    <x v="1"/>
    <m/>
    <x v="2"/>
    <x v="2"/>
    <x v="2"/>
    <n v="1"/>
    <n v="1"/>
    <n v="0"/>
  </r>
  <r>
    <s v="E10688"/>
    <x v="0"/>
    <x v="3"/>
    <s v="Male"/>
    <n v="59"/>
    <s v="46+"/>
    <x v="1"/>
    <d v="2015-11-24T00:00:00"/>
    <n v="10.1"/>
    <x v="1"/>
    <n v="8000"/>
    <x v="0"/>
    <x v="2"/>
    <n v="3"/>
    <n v="18"/>
    <x v="1"/>
    <m/>
    <x v="2"/>
    <x v="2"/>
    <x v="2"/>
    <n v="1"/>
    <n v="1"/>
    <n v="0"/>
  </r>
  <r>
    <s v="E10689"/>
    <x v="5"/>
    <x v="1"/>
    <s v="Male"/>
    <n v="32"/>
    <s v="26-35"/>
    <x v="1"/>
    <d v="2022-11-18T00:00:00"/>
    <n v="1.7"/>
    <x v="0"/>
    <n v="5000"/>
    <x v="1"/>
    <x v="1"/>
    <n v="4"/>
    <n v="10"/>
    <x v="0"/>
    <d v="2024-07-29T00:00:00"/>
    <x v="0"/>
    <x v="4"/>
    <x v="4"/>
    <n v="1"/>
    <n v="0"/>
    <n v="1"/>
  </r>
  <r>
    <s v="E10690"/>
    <x v="3"/>
    <x v="1"/>
    <s v="Male"/>
    <n v="31"/>
    <s v="26-35"/>
    <x v="1"/>
    <d v="2018-12-06T00:00:00"/>
    <n v="7.1"/>
    <x v="1"/>
    <n v="7750"/>
    <x v="1"/>
    <x v="2"/>
    <n v="3"/>
    <n v="10"/>
    <x v="1"/>
    <m/>
    <x v="2"/>
    <x v="2"/>
    <x v="2"/>
    <n v="1"/>
    <n v="1"/>
    <n v="0"/>
  </r>
  <r>
    <s v="E10691"/>
    <x v="1"/>
    <x v="0"/>
    <s v="Female"/>
    <n v="22"/>
    <s v="20-25"/>
    <x v="2"/>
    <d v="2025-08-16T00:00:00"/>
    <n v="0.2"/>
    <x v="3"/>
    <n v="3650"/>
    <x v="1"/>
    <x v="4"/>
    <n v="3"/>
    <n v="23"/>
    <x v="0"/>
    <d v="2025-11-11T00:00:00"/>
    <x v="1"/>
    <x v="10"/>
    <x v="3"/>
    <n v="1"/>
    <n v="0"/>
    <n v="1"/>
  </r>
  <r>
    <s v="E10692"/>
    <x v="1"/>
    <x v="1"/>
    <s v="Female"/>
    <n v="33"/>
    <s v="26-35"/>
    <x v="1"/>
    <d v="2020-08-12T00:00:00"/>
    <n v="5.4"/>
    <x v="1"/>
    <n v="3500"/>
    <x v="1"/>
    <x v="1"/>
    <n v="4"/>
    <n v="21"/>
    <x v="1"/>
    <m/>
    <x v="2"/>
    <x v="2"/>
    <x v="2"/>
    <n v="1"/>
    <n v="1"/>
    <n v="0"/>
  </r>
  <r>
    <s v="E10693"/>
    <x v="3"/>
    <x v="1"/>
    <s v="Female"/>
    <n v="24"/>
    <s v="20-25"/>
    <x v="0"/>
    <d v="2024-06-09T00:00:00"/>
    <n v="1.6"/>
    <x v="0"/>
    <n v="7850"/>
    <x v="0"/>
    <x v="0"/>
    <n v="3"/>
    <n v="21"/>
    <x v="1"/>
    <m/>
    <x v="2"/>
    <x v="2"/>
    <x v="2"/>
    <n v="1"/>
    <n v="1"/>
    <n v="0"/>
  </r>
  <r>
    <s v="E10694"/>
    <x v="1"/>
    <x v="0"/>
    <s v="Female"/>
    <n v="21"/>
    <s v="20-25"/>
    <x v="1"/>
    <d v="2025-10-30T00:00:00"/>
    <n v="0.2"/>
    <x v="3"/>
    <n v="3700"/>
    <x v="0"/>
    <x v="0"/>
    <n v="4"/>
    <n v="0"/>
    <x v="1"/>
    <m/>
    <x v="2"/>
    <x v="2"/>
    <x v="2"/>
    <n v="1"/>
    <n v="1"/>
    <n v="0"/>
  </r>
  <r>
    <s v="E10695"/>
    <x v="1"/>
    <x v="1"/>
    <s v="Male"/>
    <n v="36"/>
    <s v="36-45"/>
    <x v="0"/>
    <d v="2022-06-26T00:00:00"/>
    <n v="3.5"/>
    <x v="2"/>
    <n v="3450"/>
    <x v="1"/>
    <x v="1"/>
    <n v="2"/>
    <n v="26"/>
    <x v="1"/>
    <m/>
    <x v="2"/>
    <x v="2"/>
    <x v="2"/>
    <n v="1"/>
    <n v="1"/>
    <n v="0"/>
  </r>
  <r>
    <s v="E10696"/>
    <x v="4"/>
    <x v="1"/>
    <s v="Male"/>
    <n v="38"/>
    <s v="36-45"/>
    <x v="2"/>
    <d v="2021-10-14T00:00:00"/>
    <n v="4.2"/>
    <x v="2"/>
    <n v="5450"/>
    <x v="0"/>
    <x v="0"/>
    <n v="3"/>
    <n v="37"/>
    <x v="1"/>
    <m/>
    <x v="2"/>
    <x v="2"/>
    <x v="2"/>
    <n v="1"/>
    <n v="1"/>
    <n v="0"/>
  </r>
  <r>
    <s v="E10697"/>
    <x v="1"/>
    <x v="0"/>
    <s v="Male"/>
    <n v="29"/>
    <s v="26-35"/>
    <x v="1"/>
    <d v="2023-07-29T00:00:00"/>
    <n v="2.4"/>
    <x v="0"/>
    <n v="3150"/>
    <x v="0"/>
    <x v="1"/>
    <n v="4"/>
    <n v="35"/>
    <x v="1"/>
    <m/>
    <x v="2"/>
    <x v="2"/>
    <x v="2"/>
    <n v="1"/>
    <n v="1"/>
    <n v="0"/>
  </r>
  <r>
    <s v="E10698"/>
    <x v="5"/>
    <x v="0"/>
    <s v="Female"/>
    <n v="35"/>
    <s v="26-35"/>
    <x v="2"/>
    <d v="2019-01-21T00:00:00"/>
    <n v="6.9"/>
    <x v="1"/>
    <n v="4050"/>
    <x v="0"/>
    <x v="3"/>
    <n v="5"/>
    <n v="32"/>
    <x v="1"/>
    <m/>
    <x v="2"/>
    <x v="2"/>
    <x v="2"/>
    <n v="1"/>
    <n v="1"/>
    <n v="0"/>
  </r>
  <r>
    <s v="E10699"/>
    <x v="3"/>
    <x v="2"/>
    <s v="Female"/>
    <n v="43"/>
    <s v="36-45"/>
    <x v="0"/>
    <d v="2017-10-19T00:00:00"/>
    <n v="7.6"/>
    <x v="1"/>
    <n v="11000"/>
    <x v="0"/>
    <x v="0"/>
    <n v="3"/>
    <n v="32"/>
    <x v="0"/>
    <d v="2025-05-25T00:00:00"/>
    <x v="1"/>
    <x v="9"/>
    <x v="6"/>
    <n v="1"/>
    <n v="0"/>
    <n v="1"/>
  </r>
  <r>
    <s v="E10700"/>
    <x v="4"/>
    <x v="1"/>
    <s v="Female"/>
    <n v="30"/>
    <s v="26-35"/>
    <x v="2"/>
    <d v="2022-12-07T00:00:00"/>
    <n v="3.1"/>
    <x v="2"/>
    <n v="4650"/>
    <x v="0"/>
    <x v="4"/>
    <n v="3"/>
    <n v="15"/>
    <x v="1"/>
    <m/>
    <x v="2"/>
    <x v="2"/>
    <x v="2"/>
    <n v="1"/>
    <n v="1"/>
    <n v="0"/>
  </r>
  <r>
    <s v="E10701"/>
    <x v="5"/>
    <x v="1"/>
    <s v="Male"/>
    <n v="37"/>
    <s v="36-45"/>
    <x v="1"/>
    <d v="2022-02-10T00:00:00"/>
    <n v="3.9"/>
    <x v="2"/>
    <n v="5300"/>
    <x v="1"/>
    <x v="1"/>
    <n v="4"/>
    <n v="0"/>
    <x v="1"/>
    <m/>
    <x v="2"/>
    <x v="2"/>
    <x v="2"/>
    <n v="1"/>
    <n v="1"/>
    <n v="0"/>
  </r>
  <r>
    <s v="E10702"/>
    <x v="3"/>
    <x v="1"/>
    <s v="Male"/>
    <n v="39"/>
    <s v="36-45"/>
    <x v="0"/>
    <d v="2015-02-04T00:00:00"/>
    <n v="10.9"/>
    <x v="1"/>
    <n v="8950"/>
    <x v="0"/>
    <x v="0"/>
    <n v="5"/>
    <n v="32"/>
    <x v="1"/>
    <m/>
    <x v="2"/>
    <x v="2"/>
    <x v="2"/>
    <n v="1"/>
    <n v="1"/>
    <n v="0"/>
  </r>
  <r>
    <s v="E10703"/>
    <x v="5"/>
    <x v="1"/>
    <s v="Male"/>
    <n v="33"/>
    <s v="26-35"/>
    <x v="1"/>
    <d v="2021-10-10T00:00:00"/>
    <n v="3.8"/>
    <x v="2"/>
    <n v="4850"/>
    <x v="1"/>
    <x v="2"/>
    <n v="3"/>
    <n v="30"/>
    <x v="0"/>
    <d v="2025-07-16T00:00:00"/>
    <x v="1"/>
    <x v="4"/>
    <x v="5"/>
    <n v="1"/>
    <n v="0"/>
    <n v="1"/>
  </r>
  <r>
    <s v="E10704"/>
    <x v="3"/>
    <x v="1"/>
    <s v="Male"/>
    <n v="33"/>
    <s v="26-35"/>
    <x v="1"/>
    <d v="2019-09-21T00:00:00"/>
    <n v="4.9000000000000004"/>
    <x v="2"/>
    <n v="8100"/>
    <x v="0"/>
    <x v="1"/>
    <n v="4"/>
    <n v="21"/>
    <x v="0"/>
    <d v="2024-08-30T00:00:00"/>
    <x v="0"/>
    <x v="1"/>
    <x v="4"/>
    <n v="1"/>
    <n v="0"/>
    <n v="1"/>
  </r>
  <r>
    <s v="E10705"/>
    <x v="5"/>
    <x v="2"/>
    <s v="Male"/>
    <n v="36"/>
    <s v="36-45"/>
    <x v="1"/>
    <d v="2015-11-13T00:00:00"/>
    <n v="10.1"/>
    <x v="1"/>
    <n v="8800"/>
    <x v="0"/>
    <x v="0"/>
    <n v="3"/>
    <n v="23"/>
    <x v="1"/>
    <m/>
    <x v="2"/>
    <x v="2"/>
    <x v="2"/>
    <n v="1"/>
    <n v="1"/>
    <n v="0"/>
  </r>
  <r>
    <s v="E10706"/>
    <x v="0"/>
    <x v="2"/>
    <s v="Female"/>
    <n v="31"/>
    <s v="26-35"/>
    <x v="1"/>
    <d v="2019-06-14T00:00:00"/>
    <n v="6.5"/>
    <x v="1"/>
    <n v="5200"/>
    <x v="1"/>
    <x v="1"/>
    <n v="4"/>
    <n v="6"/>
    <x v="1"/>
    <m/>
    <x v="2"/>
    <x v="2"/>
    <x v="2"/>
    <n v="1"/>
    <n v="1"/>
    <n v="0"/>
  </r>
  <r>
    <s v="E10707"/>
    <x v="5"/>
    <x v="0"/>
    <s v="Female"/>
    <n v="21"/>
    <s v="20-25"/>
    <x v="1"/>
    <d v="2025-09-23T00:00:00"/>
    <n v="0.2"/>
    <x v="3"/>
    <n v="3550"/>
    <x v="1"/>
    <x v="1"/>
    <n v="5"/>
    <n v="37"/>
    <x v="0"/>
    <d v="2025-12-09T00:00:00"/>
    <x v="1"/>
    <x v="5"/>
    <x v="3"/>
    <n v="1"/>
    <n v="0"/>
    <n v="1"/>
  </r>
  <r>
    <s v="E10708"/>
    <x v="1"/>
    <x v="1"/>
    <s v="Male"/>
    <n v="40"/>
    <s v="36-45"/>
    <x v="1"/>
    <d v="2019-04-19T00:00:00"/>
    <n v="6.7"/>
    <x v="1"/>
    <n v="4500"/>
    <x v="1"/>
    <x v="4"/>
    <n v="3"/>
    <n v="32"/>
    <x v="1"/>
    <m/>
    <x v="2"/>
    <x v="2"/>
    <x v="2"/>
    <n v="1"/>
    <n v="1"/>
    <n v="0"/>
  </r>
  <r>
    <s v="E10709"/>
    <x v="3"/>
    <x v="2"/>
    <s v="Male"/>
    <n v="42"/>
    <s v="36-45"/>
    <x v="1"/>
    <d v="2023-07-30T00:00:00"/>
    <n v="2.4"/>
    <x v="0"/>
    <n v="12200"/>
    <x v="1"/>
    <x v="1"/>
    <n v="2"/>
    <n v="33"/>
    <x v="1"/>
    <m/>
    <x v="2"/>
    <x v="2"/>
    <x v="2"/>
    <n v="1"/>
    <n v="1"/>
    <n v="0"/>
  </r>
  <r>
    <s v="E10710"/>
    <x v="3"/>
    <x v="0"/>
    <s v="Male"/>
    <n v="21"/>
    <s v="20-25"/>
    <x v="1"/>
    <d v="2025-11-15T00:00:00"/>
    <n v="0.1"/>
    <x v="3"/>
    <n v="5500"/>
    <x v="0"/>
    <x v="0"/>
    <n v="4"/>
    <n v="13"/>
    <x v="1"/>
    <m/>
    <x v="2"/>
    <x v="2"/>
    <x v="2"/>
    <n v="1"/>
    <n v="1"/>
    <n v="0"/>
  </r>
  <r>
    <s v="E10711"/>
    <x v="1"/>
    <x v="1"/>
    <s v="Male"/>
    <n v="33"/>
    <s v="26-35"/>
    <x v="0"/>
    <d v="2022-04-30T00:00:00"/>
    <n v="3.7"/>
    <x v="2"/>
    <n v="4000"/>
    <x v="0"/>
    <x v="1"/>
    <n v="2"/>
    <n v="22"/>
    <x v="1"/>
    <m/>
    <x v="2"/>
    <x v="2"/>
    <x v="2"/>
    <n v="1"/>
    <n v="1"/>
    <n v="0"/>
  </r>
  <r>
    <s v="E10712"/>
    <x v="5"/>
    <x v="0"/>
    <s v="Male"/>
    <n v="30"/>
    <s v="26-35"/>
    <x v="1"/>
    <d v="2021-03-14T00:00:00"/>
    <n v="4.4000000000000004"/>
    <x v="2"/>
    <n v="4400"/>
    <x v="1"/>
    <x v="3"/>
    <n v="4"/>
    <n v="16"/>
    <x v="0"/>
    <d v="2025-08-21T00:00:00"/>
    <x v="1"/>
    <x v="1"/>
    <x v="1"/>
    <n v="1"/>
    <n v="0"/>
    <n v="1"/>
  </r>
  <r>
    <s v="E10713"/>
    <x v="3"/>
    <x v="3"/>
    <s v="Female"/>
    <n v="44"/>
    <s v="36-45"/>
    <x v="1"/>
    <d v="2020-03-21T00:00:00"/>
    <n v="5.5"/>
    <x v="1"/>
    <n v="17200"/>
    <x v="0"/>
    <x v="4"/>
    <n v="3"/>
    <n v="5"/>
    <x v="0"/>
    <d v="2025-09-09T00:00:00"/>
    <x v="1"/>
    <x v="12"/>
    <x v="1"/>
    <n v="1"/>
    <n v="0"/>
    <n v="1"/>
  </r>
  <r>
    <s v="E10714"/>
    <x v="3"/>
    <x v="1"/>
    <s v="Male"/>
    <n v="30"/>
    <s v="26-35"/>
    <x v="2"/>
    <d v="2021-11-17T00:00:00"/>
    <n v="4.0999999999999996"/>
    <x v="2"/>
    <n v="5400"/>
    <x v="0"/>
    <x v="1"/>
    <n v="2"/>
    <n v="26"/>
    <x v="1"/>
    <m/>
    <x v="2"/>
    <x v="2"/>
    <x v="2"/>
    <n v="1"/>
    <n v="1"/>
    <n v="0"/>
  </r>
  <r>
    <s v="E10715"/>
    <x v="3"/>
    <x v="3"/>
    <s v="Male"/>
    <n v="46"/>
    <s v="46+"/>
    <x v="1"/>
    <d v="2011-09-23T00:00:00"/>
    <n v="14.3"/>
    <x v="1"/>
    <n v="14400"/>
    <x v="0"/>
    <x v="4"/>
    <n v="4"/>
    <n v="12"/>
    <x v="1"/>
    <m/>
    <x v="2"/>
    <x v="2"/>
    <x v="2"/>
    <n v="1"/>
    <n v="1"/>
    <n v="0"/>
  </r>
  <r>
    <s v="E10716"/>
    <x v="6"/>
    <x v="3"/>
    <s v="Male"/>
    <n v="57"/>
    <s v="46+"/>
    <x v="0"/>
    <d v="2022-10-01T00:00:00"/>
    <n v="3.2"/>
    <x v="2"/>
    <n v="7900"/>
    <x v="0"/>
    <x v="0"/>
    <n v="4"/>
    <n v="11"/>
    <x v="1"/>
    <m/>
    <x v="2"/>
    <x v="2"/>
    <x v="2"/>
    <n v="1"/>
    <n v="1"/>
    <n v="0"/>
  </r>
  <r>
    <s v="E10717"/>
    <x v="3"/>
    <x v="0"/>
    <s v="Male"/>
    <n v="23"/>
    <s v="20-25"/>
    <x v="1"/>
    <d v="2025-06-19T00:00:00"/>
    <n v="0.5"/>
    <x v="3"/>
    <n v="6500"/>
    <x v="0"/>
    <x v="0"/>
    <n v="4"/>
    <n v="29"/>
    <x v="1"/>
    <m/>
    <x v="2"/>
    <x v="2"/>
    <x v="2"/>
    <n v="1"/>
    <n v="1"/>
    <n v="0"/>
  </r>
  <r>
    <s v="E10718"/>
    <x v="0"/>
    <x v="1"/>
    <s v="Male"/>
    <n v="34"/>
    <s v="26-35"/>
    <x v="1"/>
    <d v="2024-04-28T00:00:00"/>
    <n v="1.7"/>
    <x v="0"/>
    <n v="2900"/>
    <x v="1"/>
    <x v="0"/>
    <n v="4"/>
    <n v="27"/>
    <x v="1"/>
    <m/>
    <x v="2"/>
    <x v="2"/>
    <x v="2"/>
    <n v="1"/>
    <n v="1"/>
    <n v="0"/>
  </r>
  <r>
    <s v="E10719"/>
    <x v="3"/>
    <x v="1"/>
    <s v="Male"/>
    <n v="28"/>
    <s v="26-35"/>
    <x v="1"/>
    <d v="2021-11-07T00:00:00"/>
    <n v="4.0999999999999996"/>
    <x v="2"/>
    <n v="7700"/>
    <x v="1"/>
    <x v="4"/>
    <n v="5"/>
    <n v="34"/>
    <x v="1"/>
    <m/>
    <x v="2"/>
    <x v="2"/>
    <x v="2"/>
    <n v="1"/>
    <n v="1"/>
    <n v="0"/>
  </r>
  <r>
    <s v="E10720"/>
    <x v="3"/>
    <x v="0"/>
    <s v="Male"/>
    <n v="21"/>
    <s v="20-25"/>
    <x v="0"/>
    <d v="2025-09-30T00:00:00"/>
    <n v="0.3"/>
    <x v="3"/>
    <n v="6400"/>
    <x v="0"/>
    <x v="0"/>
    <n v="5"/>
    <n v="24"/>
    <x v="1"/>
    <m/>
    <x v="2"/>
    <x v="2"/>
    <x v="2"/>
    <n v="1"/>
    <n v="1"/>
    <n v="0"/>
  </r>
  <r>
    <s v="E10721"/>
    <x v="3"/>
    <x v="1"/>
    <s v="Male"/>
    <n v="30"/>
    <s v="26-35"/>
    <x v="1"/>
    <d v="2021-03-03T00:00:00"/>
    <n v="4.8"/>
    <x v="2"/>
    <n v="9200"/>
    <x v="1"/>
    <x v="1"/>
    <n v="4"/>
    <n v="29"/>
    <x v="1"/>
    <m/>
    <x v="2"/>
    <x v="2"/>
    <x v="2"/>
    <n v="1"/>
    <n v="1"/>
    <n v="0"/>
  </r>
  <r>
    <s v="E10722"/>
    <x v="5"/>
    <x v="1"/>
    <s v="Male"/>
    <n v="29"/>
    <s v="26-35"/>
    <x v="0"/>
    <d v="2022-11-08T00:00:00"/>
    <n v="3.1"/>
    <x v="2"/>
    <n v="6500"/>
    <x v="0"/>
    <x v="0"/>
    <n v="4"/>
    <n v="24"/>
    <x v="1"/>
    <m/>
    <x v="2"/>
    <x v="2"/>
    <x v="2"/>
    <n v="1"/>
    <n v="1"/>
    <n v="0"/>
  </r>
  <r>
    <s v="E10723"/>
    <x v="6"/>
    <x v="2"/>
    <s v="Male"/>
    <n v="36"/>
    <s v="36-45"/>
    <x v="1"/>
    <d v="2015-06-10T00:00:00"/>
    <n v="10.6"/>
    <x v="1"/>
    <n v="6850"/>
    <x v="1"/>
    <x v="3"/>
    <n v="3"/>
    <n v="23"/>
    <x v="1"/>
    <m/>
    <x v="2"/>
    <x v="2"/>
    <x v="2"/>
    <n v="1"/>
    <n v="1"/>
    <n v="0"/>
  </r>
  <r>
    <s v="E10724"/>
    <x v="6"/>
    <x v="0"/>
    <s v="Female"/>
    <n v="33"/>
    <s v="26-35"/>
    <x v="1"/>
    <d v="2022-09-24T00:00:00"/>
    <n v="3.3"/>
    <x v="2"/>
    <n v="4750"/>
    <x v="0"/>
    <x v="0"/>
    <n v="3"/>
    <n v="19"/>
    <x v="1"/>
    <m/>
    <x v="2"/>
    <x v="2"/>
    <x v="2"/>
    <n v="1"/>
    <n v="1"/>
    <n v="0"/>
  </r>
  <r>
    <s v="E10725"/>
    <x v="1"/>
    <x v="0"/>
    <s v="Female"/>
    <n v="21"/>
    <s v="20-25"/>
    <x v="1"/>
    <d v="2025-10-28T00:00:00"/>
    <n v="0.1"/>
    <x v="3"/>
    <n v="3350"/>
    <x v="1"/>
    <x v="4"/>
    <n v="4"/>
    <n v="25"/>
    <x v="0"/>
    <d v="2025-11-20T00:00:00"/>
    <x v="1"/>
    <x v="10"/>
    <x v="6"/>
    <n v="1"/>
    <n v="0"/>
    <n v="1"/>
  </r>
  <r>
    <s v="E10726"/>
    <x v="1"/>
    <x v="3"/>
    <s v="Male"/>
    <n v="46"/>
    <s v="46+"/>
    <x v="1"/>
    <d v="2013-09-14T00:00:00"/>
    <n v="12.3"/>
    <x v="1"/>
    <n v="8200"/>
    <x v="0"/>
    <x v="1"/>
    <n v="4"/>
    <n v="27"/>
    <x v="1"/>
    <m/>
    <x v="2"/>
    <x v="2"/>
    <x v="2"/>
    <n v="1"/>
    <n v="1"/>
    <n v="0"/>
  </r>
  <r>
    <s v="E10727"/>
    <x v="1"/>
    <x v="1"/>
    <s v="Female"/>
    <n v="42"/>
    <s v="36-45"/>
    <x v="0"/>
    <d v="2021-02-21T00:00:00"/>
    <n v="4.9000000000000004"/>
    <x v="2"/>
    <n v="4300"/>
    <x v="0"/>
    <x v="1"/>
    <n v="3"/>
    <n v="24"/>
    <x v="1"/>
    <m/>
    <x v="2"/>
    <x v="2"/>
    <x v="2"/>
    <n v="1"/>
    <n v="1"/>
    <n v="0"/>
  </r>
  <r>
    <s v="E10728"/>
    <x v="0"/>
    <x v="2"/>
    <s v="Male"/>
    <n v="21"/>
    <s v="20-25"/>
    <x v="0"/>
    <d v="2025-11-29T00:00:00"/>
    <n v="0.1"/>
    <x v="3"/>
    <n v="5350"/>
    <x v="0"/>
    <x v="1"/>
    <n v="4"/>
    <n v="43"/>
    <x v="1"/>
    <m/>
    <x v="2"/>
    <x v="2"/>
    <x v="2"/>
    <n v="1"/>
    <n v="1"/>
    <n v="0"/>
  </r>
  <r>
    <s v="E10729"/>
    <x v="3"/>
    <x v="1"/>
    <s v="Male"/>
    <n v="31"/>
    <s v="26-35"/>
    <x v="0"/>
    <d v="2019-04-13T00:00:00"/>
    <n v="6.7"/>
    <x v="1"/>
    <n v="7100"/>
    <x v="0"/>
    <x v="0"/>
    <n v="3"/>
    <n v="24"/>
    <x v="1"/>
    <m/>
    <x v="2"/>
    <x v="2"/>
    <x v="2"/>
    <n v="1"/>
    <n v="1"/>
    <n v="0"/>
  </r>
  <r>
    <s v="E10730"/>
    <x v="1"/>
    <x v="2"/>
    <s v="Male"/>
    <n v="40"/>
    <s v="36-45"/>
    <x v="1"/>
    <d v="2023-01-17T00:00:00"/>
    <n v="3"/>
    <x v="0"/>
    <n v="5500"/>
    <x v="0"/>
    <x v="2"/>
    <n v="3"/>
    <n v="30"/>
    <x v="1"/>
    <m/>
    <x v="2"/>
    <x v="2"/>
    <x v="2"/>
    <n v="1"/>
    <n v="1"/>
    <n v="0"/>
  </r>
  <r>
    <s v="E10731"/>
    <x v="3"/>
    <x v="1"/>
    <s v="Female"/>
    <n v="33"/>
    <s v="26-35"/>
    <x v="1"/>
    <d v="2021-02-12T00:00:00"/>
    <n v="4.9000000000000004"/>
    <x v="2"/>
    <n v="7450"/>
    <x v="1"/>
    <x v="4"/>
    <n v="4"/>
    <n v="10"/>
    <x v="1"/>
    <m/>
    <x v="2"/>
    <x v="2"/>
    <x v="2"/>
    <n v="1"/>
    <n v="1"/>
    <n v="0"/>
  </r>
  <r>
    <s v="E10732"/>
    <x v="3"/>
    <x v="3"/>
    <s v="Female"/>
    <n v="52"/>
    <s v="46+"/>
    <x v="0"/>
    <d v="2011-11-25T00:00:00"/>
    <n v="14.1"/>
    <x v="1"/>
    <n v="13450"/>
    <x v="1"/>
    <x v="0"/>
    <n v="2"/>
    <n v="2"/>
    <x v="1"/>
    <m/>
    <x v="2"/>
    <x v="2"/>
    <x v="2"/>
    <n v="1"/>
    <n v="1"/>
    <n v="0"/>
  </r>
  <r>
    <s v="E10733"/>
    <x v="1"/>
    <x v="0"/>
    <s v="Female"/>
    <n v="25"/>
    <s v="20-25"/>
    <x v="1"/>
    <d v="2024-01-20T00:00:00"/>
    <n v="1.9"/>
    <x v="0"/>
    <n v="3150"/>
    <x v="1"/>
    <x v="4"/>
    <n v="4"/>
    <n v="15"/>
    <x v="1"/>
    <m/>
    <x v="2"/>
    <x v="2"/>
    <x v="2"/>
    <n v="1"/>
    <n v="1"/>
    <n v="0"/>
  </r>
  <r>
    <s v="E10734"/>
    <x v="0"/>
    <x v="1"/>
    <s v="Male"/>
    <n v="32"/>
    <s v="26-35"/>
    <x v="0"/>
    <d v="2020-08-17T00:00:00"/>
    <n v="4"/>
    <x v="2"/>
    <n v="4100"/>
    <x v="1"/>
    <x v="1"/>
    <n v="2"/>
    <n v="15"/>
    <x v="0"/>
    <d v="2024-09-04T00:00:00"/>
    <x v="0"/>
    <x v="12"/>
    <x v="5"/>
    <n v="1"/>
    <n v="0"/>
    <n v="1"/>
  </r>
  <r>
    <s v="E10735"/>
    <x v="5"/>
    <x v="0"/>
    <s v="Male"/>
    <n v="21"/>
    <s v="20-25"/>
    <x v="0"/>
    <d v="2025-09-18T00:00:00"/>
    <n v="0.3"/>
    <x v="3"/>
    <n v="3450"/>
    <x v="0"/>
    <x v="1"/>
    <n v="3"/>
    <n v="18"/>
    <x v="1"/>
    <m/>
    <x v="2"/>
    <x v="2"/>
    <x v="2"/>
    <n v="1"/>
    <n v="1"/>
    <n v="0"/>
  </r>
  <r>
    <s v="E10736"/>
    <x v="3"/>
    <x v="0"/>
    <s v="Male"/>
    <n v="28"/>
    <s v="26-35"/>
    <x v="1"/>
    <d v="2021-12-29T00:00:00"/>
    <n v="4"/>
    <x v="2"/>
    <n v="5850"/>
    <x v="1"/>
    <x v="4"/>
    <n v="5"/>
    <n v="26"/>
    <x v="1"/>
    <m/>
    <x v="2"/>
    <x v="2"/>
    <x v="2"/>
    <n v="1"/>
    <n v="1"/>
    <n v="0"/>
  </r>
  <r>
    <s v="E10737"/>
    <x v="1"/>
    <x v="1"/>
    <s v="Female"/>
    <n v="37"/>
    <s v="36-45"/>
    <x v="0"/>
    <d v="2019-01-14T00:00:00"/>
    <n v="7"/>
    <x v="1"/>
    <n v="5050"/>
    <x v="0"/>
    <x v="1"/>
    <n v="3"/>
    <n v="12"/>
    <x v="1"/>
    <m/>
    <x v="2"/>
    <x v="2"/>
    <x v="2"/>
    <n v="1"/>
    <n v="1"/>
    <n v="0"/>
  </r>
  <r>
    <s v="E10738"/>
    <x v="3"/>
    <x v="0"/>
    <s v="Male"/>
    <n v="26"/>
    <s v="26-35"/>
    <x v="1"/>
    <d v="2024-02-22T00:00:00"/>
    <n v="1.9"/>
    <x v="0"/>
    <n v="5650"/>
    <x v="0"/>
    <x v="4"/>
    <n v="3"/>
    <n v="9"/>
    <x v="1"/>
    <m/>
    <x v="2"/>
    <x v="2"/>
    <x v="2"/>
    <n v="1"/>
    <n v="1"/>
    <n v="0"/>
  </r>
  <r>
    <s v="E10739"/>
    <x v="1"/>
    <x v="2"/>
    <s v="Male"/>
    <n v="52"/>
    <s v="46+"/>
    <x v="1"/>
    <d v="2023-04-25T00:00:00"/>
    <n v="2.2999999999999998"/>
    <x v="0"/>
    <n v="6450"/>
    <x v="0"/>
    <x v="1"/>
    <n v="4"/>
    <n v="14"/>
    <x v="0"/>
    <d v="2025-08-11T00:00:00"/>
    <x v="1"/>
    <x v="1"/>
    <x v="0"/>
    <n v="1"/>
    <n v="0"/>
    <n v="1"/>
  </r>
  <r>
    <s v="E10740"/>
    <x v="0"/>
    <x v="1"/>
    <s v="Male"/>
    <n v="31"/>
    <s v="26-35"/>
    <x v="1"/>
    <d v="2020-06-14T00:00:00"/>
    <n v="5.5"/>
    <x v="1"/>
    <n v="4050"/>
    <x v="1"/>
    <x v="1"/>
    <n v="5"/>
    <n v="23"/>
    <x v="1"/>
    <m/>
    <x v="2"/>
    <x v="2"/>
    <x v="2"/>
    <n v="1"/>
    <n v="1"/>
    <n v="0"/>
  </r>
  <r>
    <s v="E10741"/>
    <x v="4"/>
    <x v="1"/>
    <s v="Male"/>
    <n v="41"/>
    <s v="36-45"/>
    <x v="2"/>
    <d v="2011-10-04T00:00:00"/>
    <n v="14.2"/>
    <x v="1"/>
    <n v="6200"/>
    <x v="0"/>
    <x v="4"/>
    <n v="4"/>
    <n v="30"/>
    <x v="1"/>
    <m/>
    <x v="2"/>
    <x v="2"/>
    <x v="2"/>
    <n v="1"/>
    <n v="1"/>
    <n v="0"/>
  </r>
  <r>
    <s v="E10742"/>
    <x v="1"/>
    <x v="2"/>
    <s v="Female"/>
    <n v="46"/>
    <s v="46+"/>
    <x v="0"/>
    <d v="2012-08-02T00:00:00"/>
    <n v="13.4"/>
    <x v="1"/>
    <n v="6200"/>
    <x v="0"/>
    <x v="4"/>
    <n v="2"/>
    <n v="11"/>
    <x v="1"/>
    <m/>
    <x v="2"/>
    <x v="2"/>
    <x v="2"/>
    <n v="1"/>
    <n v="1"/>
    <n v="0"/>
  </r>
  <r>
    <s v="E10743"/>
    <x v="1"/>
    <x v="1"/>
    <s v="Male"/>
    <n v="28"/>
    <s v="26-35"/>
    <x v="0"/>
    <d v="2020-12-02T00:00:00"/>
    <n v="5.0999999999999996"/>
    <x v="1"/>
    <n v="3750"/>
    <x v="1"/>
    <x v="4"/>
    <n v="3"/>
    <n v="21"/>
    <x v="1"/>
    <m/>
    <x v="2"/>
    <x v="2"/>
    <x v="2"/>
    <n v="1"/>
    <n v="1"/>
    <n v="0"/>
  </r>
  <r>
    <s v="E10744"/>
    <x v="0"/>
    <x v="0"/>
    <s v="Male"/>
    <n v="23"/>
    <s v="20-25"/>
    <x v="1"/>
    <d v="2025-09-23T00:00:00"/>
    <n v="0.3"/>
    <x v="3"/>
    <n v="2300"/>
    <x v="0"/>
    <x v="0"/>
    <n v="3"/>
    <n v="7"/>
    <x v="1"/>
    <m/>
    <x v="2"/>
    <x v="2"/>
    <x v="2"/>
    <n v="1"/>
    <n v="1"/>
    <n v="0"/>
  </r>
  <r>
    <s v="E10745"/>
    <x v="2"/>
    <x v="1"/>
    <s v="Female"/>
    <n v="34"/>
    <s v="26-35"/>
    <x v="1"/>
    <d v="2019-01-23T00:00:00"/>
    <n v="6.9"/>
    <x v="1"/>
    <n v="7000"/>
    <x v="1"/>
    <x v="1"/>
    <n v="4"/>
    <n v="29"/>
    <x v="1"/>
    <m/>
    <x v="2"/>
    <x v="2"/>
    <x v="2"/>
    <n v="1"/>
    <n v="1"/>
    <n v="0"/>
  </r>
  <r>
    <s v="E10746"/>
    <x v="4"/>
    <x v="0"/>
    <s v="Male"/>
    <n v="21"/>
    <s v="20-25"/>
    <x v="2"/>
    <d v="2025-12-02T00:00:00"/>
    <n v="0.1"/>
    <x v="3"/>
    <n v="5650"/>
    <x v="0"/>
    <x v="1"/>
    <n v="2"/>
    <n v="25"/>
    <x v="1"/>
    <m/>
    <x v="2"/>
    <x v="2"/>
    <x v="2"/>
    <n v="1"/>
    <n v="1"/>
    <n v="0"/>
  </r>
  <r>
    <s v="E10747"/>
    <x v="6"/>
    <x v="1"/>
    <s v="Female"/>
    <n v="32"/>
    <s v="26-35"/>
    <x v="1"/>
    <d v="2020-06-27T00:00:00"/>
    <n v="5.5"/>
    <x v="1"/>
    <n v="4400"/>
    <x v="0"/>
    <x v="0"/>
    <n v="3"/>
    <n v="34"/>
    <x v="1"/>
    <m/>
    <x v="2"/>
    <x v="2"/>
    <x v="2"/>
    <n v="1"/>
    <n v="1"/>
    <n v="0"/>
  </r>
  <r>
    <s v="E10748"/>
    <x v="1"/>
    <x v="0"/>
    <s v="Male"/>
    <n v="21"/>
    <s v="20-25"/>
    <x v="1"/>
    <d v="2025-11-27T00:00:00"/>
    <n v="0.1"/>
    <x v="3"/>
    <n v="3850"/>
    <x v="0"/>
    <x v="0"/>
    <n v="4"/>
    <n v="26"/>
    <x v="1"/>
    <m/>
    <x v="2"/>
    <x v="2"/>
    <x v="2"/>
    <n v="1"/>
    <n v="1"/>
    <n v="0"/>
  </r>
  <r>
    <s v="E10749"/>
    <x v="5"/>
    <x v="1"/>
    <s v="Female"/>
    <n v="32"/>
    <s v="26-35"/>
    <x v="0"/>
    <d v="2019-08-27T00:00:00"/>
    <n v="4.5"/>
    <x v="2"/>
    <n v="4100"/>
    <x v="0"/>
    <x v="1"/>
    <n v="3"/>
    <n v="31"/>
    <x v="0"/>
    <d v="2024-02-27T00:00:00"/>
    <x v="0"/>
    <x v="6"/>
    <x v="0"/>
    <n v="1"/>
    <n v="0"/>
    <n v="1"/>
  </r>
  <r>
    <s v="E10750"/>
    <x v="5"/>
    <x v="1"/>
    <s v="Female"/>
    <n v="31"/>
    <s v="26-35"/>
    <x v="0"/>
    <d v="2024-01-13T00:00:00"/>
    <n v="1.7"/>
    <x v="0"/>
    <n v="5350"/>
    <x v="0"/>
    <x v="1"/>
    <n v="3"/>
    <n v="8"/>
    <x v="0"/>
    <d v="2025-09-18T00:00:00"/>
    <x v="1"/>
    <x v="12"/>
    <x v="3"/>
    <n v="1"/>
    <n v="0"/>
    <n v="1"/>
  </r>
  <r>
    <s v="E10751"/>
    <x v="6"/>
    <x v="2"/>
    <s v="Female"/>
    <n v="33"/>
    <s v="26-35"/>
    <x v="1"/>
    <d v="2018-09-29T00:00:00"/>
    <n v="7.3"/>
    <x v="1"/>
    <n v="7000"/>
    <x v="0"/>
    <x v="1"/>
    <n v="3"/>
    <n v="27"/>
    <x v="1"/>
    <m/>
    <x v="2"/>
    <x v="2"/>
    <x v="2"/>
    <n v="1"/>
    <n v="1"/>
    <n v="0"/>
  </r>
  <r>
    <s v="E10752"/>
    <x v="1"/>
    <x v="0"/>
    <s v="Female"/>
    <n v="27"/>
    <s v="26-35"/>
    <x v="2"/>
    <d v="2023-12-05T00:00:00"/>
    <n v="2.1"/>
    <x v="0"/>
    <n v="4050"/>
    <x v="1"/>
    <x v="1"/>
    <n v="2"/>
    <n v="29"/>
    <x v="1"/>
    <m/>
    <x v="2"/>
    <x v="2"/>
    <x v="2"/>
    <n v="1"/>
    <n v="1"/>
    <n v="0"/>
  </r>
  <r>
    <s v="E10753"/>
    <x v="5"/>
    <x v="0"/>
    <s v="Male"/>
    <n v="21"/>
    <s v="20-25"/>
    <x v="0"/>
    <d v="2025-10-01T00:00:00"/>
    <n v="0.1"/>
    <x v="3"/>
    <n v="2800"/>
    <x v="0"/>
    <x v="1"/>
    <n v="3"/>
    <n v="11"/>
    <x v="0"/>
    <d v="2025-11-21T00:00:00"/>
    <x v="1"/>
    <x v="10"/>
    <x v="6"/>
    <n v="1"/>
    <n v="0"/>
    <n v="1"/>
  </r>
  <r>
    <s v="E10754"/>
    <x v="0"/>
    <x v="0"/>
    <s v="Female"/>
    <n v="30"/>
    <s v="26-35"/>
    <x v="0"/>
    <d v="2023-05-24T00:00:00"/>
    <n v="2.6"/>
    <x v="0"/>
    <n v="2750"/>
    <x v="1"/>
    <x v="1"/>
    <n v="3"/>
    <n v="10"/>
    <x v="1"/>
    <m/>
    <x v="2"/>
    <x v="2"/>
    <x v="2"/>
    <n v="1"/>
    <n v="1"/>
    <n v="0"/>
  </r>
  <r>
    <s v="E10755"/>
    <x v="3"/>
    <x v="0"/>
    <s v="Male"/>
    <n v="22"/>
    <s v="20-25"/>
    <x v="1"/>
    <d v="2025-08-29T00:00:00"/>
    <n v="0.2"/>
    <x v="3"/>
    <n v="6200"/>
    <x v="1"/>
    <x v="1"/>
    <n v="2"/>
    <n v="36"/>
    <x v="0"/>
    <d v="2025-11-25T00:00:00"/>
    <x v="1"/>
    <x v="10"/>
    <x v="1"/>
    <n v="1"/>
    <n v="0"/>
    <n v="1"/>
  </r>
  <r>
    <s v="E10756"/>
    <x v="5"/>
    <x v="3"/>
    <s v="Female"/>
    <n v="48"/>
    <s v="46+"/>
    <x v="0"/>
    <d v="2023-05-25T00:00:00"/>
    <n v="2.6"/>
    <x v="0"/>
    <n v="11250"/>
    <x v="1"/>
    <x v="1"/>
    <n v="3"/>
    <n v="26"/>
    <x v="1"/>
    <m/>
    <x v="2"/>
    <x v="2"/>
    <x v="2"/>
    <n v="1"/>
    <n v="1"/>
    <n v="0"/>
  </r>
  <r>
    <s v="E10757"/>
    <x v="3"/>
    <x v="0"/>
    <s v="Female"/>
    <n v="24"/>
    <s v="20-25"/>
    <x v="1"/>
    <d v="2023-08-14T00:00:00"/>
    <n v="2.4"/>
    <x v="0"/>
    <n v="6900"/>
    <x v="0"/>
    <x v="2"/>
    <n v="3"/>
    <n v="16"/>
    <x v="1"/>
    <m/>
    <x v="2"/>
    <x v="2"/>
    <x v="2"/>
    <n v="1"/>
    <n v="1"/>
    <n v="0"/>
  </r>
  <r>
    <s v="E10758"/>
    <x v="1"/>
    <x v="0"/>
    <s v="Female"/>
    <n v="21"/>
    <s v="20-25"/>
    <x v="1"/>
    <d v="2025-10-25T00:00:00"/>
    <n v="0.2"/>
    <x v="3"/>
    <n v="3500"/>
    <x v="1"/>
    <x v="4"/>
    <n v="4"/>
    <n v="35"/>
    <x v="1"/>
    <m/>
    <x v="2"/>
    <x v="2"/>
    <x v="2"/>
    <n v="1"/>
    <n v="1"/>
    <n v="0"/>
  </r>
  <r>
    <s v="E10759"/>
    <x v="2"/>
    <x v="2"/>
    <s v="Male"/>
    <n v="43"/>
    <s v="36-45"/>
    <x v="1"/>
    <d v="2023-09-05T00:00:00"/>
    <n v="2.2999999999999998"/>
    <x v="0"/>
    <n v="8650"/>
    <x v="0"/>
    <x v="1"/>
    <n v="3"/>
    <n v="28"/>
    <x v="1"/>
    <m/>
    <x v="2"/>
    <x v="2"/>
    <x v="2"/>
    <n v="1"/>
    <n v="1"/>
    <n v="0"/>
  </r>
  <r>
    <s v="E10760"/>
    <x v="1"/>
    <x v="1"/>
    <s v="Female"/>
    <n v="27"/>
    <s v="26-35"/>
    <x v="1"/>
    <d v="2021-07-16T00:00:00"/>
    <n v="4.5"/>
    <x v="2"/>
    <n v="3050"/>
    <x v="0"/>
    <x v="1"/>
    <n v="4"/>
    <n v="11"/>
    <x v="1"/>
    <m/>
    <x v="2"/>
    <x v="2"/>
    <x v="2"/>
    <n v="1"/>
    <n v="1"/>
    <n v="0"/>
  </r>
  <r>
    <s v="E10761"/>
    <x v="0"/>
    <x v="0"/>
    <s v="Female"/>
    <n v="25"/>
    <s v="20-25"/>
    <x v="0"/>
    <d v="2024-11-24T00:00:00"/>
    <n v="0.7"/>
    <x v="3"/>
    <n v="3450"/>
    <x v="0"/>
    <x v="1"/>
    <n v="2"/>
    <n v="37"/>
    <x v="0"/>
    <d v="2025-07-23T00:00:00"/>
    <x v="1"/>
    <x v="4"/>
    <x v="5"/>
    <n v="1"/>
    <n v="0"/>
    <n v="1"/>
  </r>
  <r>
    <s v="E10762"/>
    <x v="5"/>
    <x v="1"/>
    <s v="Male"/>
    <n v="30"/>
    <s v="26-35"/>
    <x v="0"/>
    <d v="2022-03-27T00:00:00"/>
    <n v="3.8"/>
    <x v="2"/>
    <n v="4250"/>
    <x v="0"/>
    <x v="2"/>
    <n v="4"/>
    <n v="14"/>
    <x v="1"/>
    <m/>
    <x v="2"/>
    <x v="2"/>
    <x v="2"/>
    <n v="1"/>
    <n v="1"/>
    <n v="0"/>
  </r>
  <r>
    <s v="E10763"/>
    <x v="3"/>
    <x v="0"/>
    <s v="Male"/>
    <n v="22"/>
    <s v="20-25"/>
    <x v="0"/>
    <d v="2025-11-09T00:00:00"/>
    <n v="0.1"/>
    <x v="3"/>
    <n v="6150"/>
    <x v="0"/>
    <x v="4"/>
    <n v="4"/>
    <n v="36"/>
    <x v="1"/>
    <m/>
    <x v="2"/>
    <x v="2"/>
    <x v="2"/>
    <n v="1"/>
    <n v="1"/>
    <n v="0"/>
  </r>
  <r>
    <s v="E10764"/>
    <x v="0"/>
    <x v="1"/>
    <s v="Male"/>
    <n v="38"/>
    <s v="36-45"/>
    <x v="1"/>
    <d v="2016-10-17T00:00:00"/>
    <n v="8.5"/>
    <x v="1"/>
    <n v="3400"/>
    <x v="1"/>
    <x v="3"/>
    <n v="3"/>
    <n v="20"/>
    <x v="0"/>
    <d v="2025-04-10T00:00:00"/>
    <x v="1"/>
    <x v="8"/>
    <x v="3"/>
    <n v="1"/>
    <n v="0"/>
    <n v="1"/>
  </r>
  <r>
    <s v="E10765"/>
    <x v="2"/>
    <x v="0"/>
    <s v="Female"/>
    <n v="26"/>
    <s v="26-35"/>
    <x v="2"/>
    <d v="2022-04-16T00:00:00"/>
    <n v="3.7"/>
    <x v="2"/>
    <n v="6000"/>
    <x v="0"/>
    <x v="0"/>
    <n v="3"/>
    <n v="7"/>
    <x v="1"/>
    <m/>
    <x v="2"/>
    <x v="2"/>
    <x v="2"/>
    <n v="1"/>
    <n v="1"/>
    <n v="0"/>
  </r>
  <r>
    <s v="E10766"/>
    <x v="2"/>
    <x v="0"/>
    <s v="Male"/>
    <n v="30"/>
    <s v="26-35"/>
    <x v="1"/>
    <d v="2019-03-19T00:00:00"/>
    <n v="6.8"/>
    <x v="1"/>
    <n v="4700"/>
    <x v="0"/>
    <x v="1"/>
    <n v="5"/>
    <n v="14"/>
    <x v="1"/>
    <m/>
    <x v="2"/>
    <x v="2"/>
    <x v="2"/>
    <n v="1"/>
    <n v="1"/>
    <n v="0"/>
  </r>
  <r>
    <s v="E10767"/>
    <x v="5"/>
    <x v="3"/>
    <s v="Female"/>
    <n v="43"/>
    <s v="36-45"/>
    <x v="1"/>
    <d v="2020-10-06T00:00:00"/>
    <n v="5.2"/>
    <x v="1"/>
    <n v="10600"/>
    <x v="0"/>
    <x v="0"/>
    <n v="3"/>
    <n v="22"/>
    <x v="1"/>
    <m/>
    <x v="2"/>
    <x v="2"/>
    <x v="2"/>
    <n v="1"/>
    <n v="1"/>
    <n v="0"/>
  </r>
  <r>
    <s v="E10768"/>
    <x v="3"/>
    <x v="0"/>
    <s v="Male"/>
    <n v="28"/>
    <s v="26-35"/>
    <x v="2"/>
    <d v="2022-10-03T00:00:00"/>
    <n v="3.2"/>
    <x v="2"/>
    <n v="5250"/>
    <x v="0"/>
    <x v="1"/>
    <n v="4"/>
    <n v="24"/>
    <x v="1"/>
    <m/>
    <x v="2"/>
    <x v="2"/>
    <x v="2"/>
    <n v="1"/>
    <n v="1"/>
    <n v="0"/>
  </r>
  <r>
    <s v="E10769"/>
    <x v="0"/>
    <x v="3"/>
    <s v="Male"/>
    <n v="49"/>
    <s v="46+"/>
    <x v="2"/>
    <d v="2023-03-27T00:00:00"/>
    <n v="0.8"/>
    <x v="3"/>
    <n v="7450"/>
    <x v="0"/>
    <x v="1"/>
    <n v="2"/>
    <n v="30"/>
    <x v="0"/>
    <d v="2024-01-16T00:00:00"/>
    <x v="0"/>
    <x v="7"/>
    <x v="1"/>
    <n v="1"/>
    <n v="0"/>
    <n v="1"/>
  </r>
  <r>
    <s v="E10770"/>
    <x v="3"/>
    <x v="3"/>
    <s v="Female"/>
    <n v="45"/>
    <s v="36-45"/>
    <x v="1"/>
    <d v="2013-10-18T00:00:00"/>
    <n v="12.2"/>
    <x v="1"/>
    <n v="14800"/>
    <x v="0"/>
    <x v="0"/>
    <n v="3"/>
    <n v="24"/>
    <x v="1"/>
    <m/>
    <x v="2"/>
    <x v="2"/>
    <x v="2"/>
    <n v="1"/>
    <n v="1"/>
    <n v="0"/>
  </r>
  <r>
    <s v="E10771"/>
    <x v="1"/>
    <x v="0"/>
    <s v="Female"/>
    <n v="21"/>
    <s v="20-25"/>
    <x v="0"/>
    <d v="2025-10-14T00:00:00"/>
    <n v="0.2"/>
    <x v="3"/>
    <n v="3400"/>
    <x v="0"/>
    <x v="2"/>
    <n v="4"/>
    <n v="6"/>
    <x v="1"/>
    <m/>
    <x v="2"/>
    <x v="2"/>
    <x v="2"/>
    <n v="1"/>
    <n v="1"/>
    <n v="0"/>
  </r>
  <r>
    <s v="E10772"/>
    <x v="0"/>
    <x v="2"/>
    <s v="Male"/>
    <n v="34"/>
    <s v="26-35"/>
    <x v="0"/>
    <d v="2020-08-30T00:00:00"/>
    <n v="5.3"/>
    <x v="1"/>
    <n v="5000"/>
    <x v="0"/>
    <x v="1"/>
    <n v="3"/>
    <n v="27"/>
    <x v="1"/>
    <m/>
    <x v="2"/>
    <x v="2"/>
    <x v="2"/>
    <n v="1"/>
    <n v="1"/>
    <n v="0"/>
  </r>
  <r>
    <s v="E10773"/>
    <x v="3"/>
    <x v="0"/>
    <s v="Male"/>
    <n v="21"/>
    <s v="20-25"/>
    <x v="0"/>
    <d v="2025-12-05T00:00:00"/>
    <n v="0.1"/>
    <x v="3"/>
    <n v="6250"/>
    <x v="1"/>
    <x v="1"/>
    <n v="4"/>
    <n v="25"/>
    <x v="1"/>
    <m/>
    <x v="2"/>
    <x v="2"/>
    <x v="2"/>
    <n v="1"/>
    <n v="1"/>
    <n v="0"/>
  </r>
  <r>
    <s v="E10774"/>
    <x v="2"/>
    <x v="2"/>
    <s v="Male"/>
    <n v="37"/>
    <s v="36-45"/>
    <x v="1"/>
    <d v="2014-08-02T00:00:00"/>
    <n v="11.4"/>
    <x v="1"/>
    <n v="10100"/>
    <x v="0"/>
    <x v="0"/>
    <n v="3"/>
    <n v="29"/>
    <x v="1"/>
    <m/>
    <x v="2"/>
    <x v="2"/>
    <x v="2"/>
    <n v="1"/>
    <n v="1"/>
    <n v="0"/>
  </r>
  <r>
    <s v="E10775"/>
    <x v="4"/>
    <x v="1"/>
    <s v="Male"/>
    <n v="29"/>
    <s v="26-35"/>
    <x v="2"/>
    <d v="2023-03-01T00:00:00"/>
    <n v="2.8"/>
    <x v="0"/>
    <n v="5900"/>
    <x v="1"/>
    <x v="2"/>
    <n v="3"/>
    <n v="31"/>
    <x v="1"/>
    <m/>
    <x v="2"/>
    <x v="2"/>
    <x v="2"/>
    <n v="1"/>
    <n v="1"/>
    <n v="0"/>
  </r>
  <r>
    <s v="E10776"/>
    <x v="5"/>
    <x v="0"/>
    <s v="Male"/>
    <n v="30"/>
    <s v="26-35"/>
    <x v="1"/>
    <d v="2024-11-02T00:00:00"/>
    <n v="1.2"/>
    <x v="0"/>
    <n v="4700"/>
    <x v="0"/>
    <x v="1"/>
    <n v="3"/>
    <n v="28"/>
    <x v="1"/>
    <m/>
    <x v="2"/>
    <x v="2"/>
    <x v="2"/>
    <n v="1"/>
    <n v="1"/>
    <n v="0"/>
  </r>
  <r>
    <s v="E10777"/>
    <x v="3"/>
    <x v="0"/>
    <s v="Male"/>
    <n v="26"/>
    <s v="26-35"/>
    <x v="1"/>
    <d v="2025-02-09T00:00:00"/>
    <n v="0.9"/>
    <x v="3"/>
    <n v="7850"/>
    <x v="0"/>
    <x v="3"/>
    <n v="4"/>
    <n v="24"/>
    <x v="1"/>
    <m/>
    <x v="2"/>
    <x v="2"/>
    <x v="2"/>
    <n v="1"/>
    <n v="1"/>
    <n v="0"/>
  </r>
  <r>
    <s v="E10778"/>
    <x v="3"/>
    <x v="2"/>
    <s v="Male"/>
    <n v="49"/>
    <s v="46+"/>
    <x v="1"/>
    <d v="2013-07-12T00:00:00"/>
    <n v="12.5"/>
    <x v="1"/>
    <n v="11100"/>
    <x v="0"/>
    <x v="2"/>
    <n v="4"/>
    <n v="30"/>
    <x v="1"/>
    <m/>
    <x v="2"/>
    <x v="2"/>
    <x v="2"/>
    <n v="1"/>
    <n v="1"/>
    <n v="0"/>
  </r>
  <r>
    <s v="E10779"/>
    <x v="1"/>
    <x v="0"/>
    <s v="Male"/>
    <n v="28"/>
    <s v="26-35"/>
    <x v="2"/>
    <d v="2024-03-11T00:00:00"/>
    <n v="1.8"/>
    <x v="0"/>
    <n v="3000"/>
    <x v="0"/>
    <x v="4"/>
    <n v="4"/>
    <n v="14"/>
    <x v="1"/>
    <m/>
    <x v="2"/>
    <x v="2"/>
    <x v="2"/>
    <n v="1"/>
    <n v="1"/>
    <n v="0"/>
  </r>
  <r>
    <s v="E10780"/>
    <x v="6"/>
    <x v="0"/>
    <s v="Female"/>
    <n v="24"/>
    <s v="20-25"/>
    <x v="0"/>
    <d v="2024-03-19T00:00:00"/>
    <n v="1.8"/>
    <x v="0"/>
    <n v="3900"/>
    <x v="0"/>
    <x v="4"/>
    <n v="3"/>
    <n v="27"/>
    <x v="1"/>
    <m/>
    <x v="2"/>
    <x v="2"/>
    <x v="2"/>
    <n v="1"/>
    <n v="1"/>
    <n v="0"/>
  </r>
  <r>
    <s v="E10781"/>
    <x v="1"/>
    <x v="2"/>
    <s v="Female"/>
    <n v="35"/>
    <s v="26-35"/>
    <x v="0"/>
    <d v="2022-07-12T00:00:00"/>
    <n v="3.5"/>
    <x v="2"/>
    <n v="6200"/>
    <x v="1"/>
    <x v="1"/>
    <n v="3"/>
    <n v="21"/>
    <x v="1"/>
    <m/>
    <x v="2"/>
    <x v="2"/>
    <x v="2"/>
    <n v="1"/>
    <n v="1"/>
    <n v="0"/>
  </r>
  <r>
    <s v="E10782"/>
    <x v="0"/>
    <x v="3"/>
    <s v="Male"/>
    <n v="46"/>
    <s v="46+"/>
    <x v="2"/>
    <d v="2015-01-13T00:00:00"/>
    <n v="11"/>
    <x v="1"/>
    <n v="6850"/>
    <x v="1"/>
    <x v="0"/>
    <n v="3"/>
    <n v="21"/>
    <x v="1"/>
    <m/>
    <x v="2"/>
    <x v="2"/>
    <x v="2"/>
    <n v="1"/>
    <n v="1"/>
    <n v="0"/>
  </r>
  <r>
    <s v="E10783"/>
    <x v="5"/>
    <x v="0"/>
    <s v="Male"/>
    <n v="22"/>
    <s v="20-25"/>
    <x v="0"/>
    <d v="2025-08-05T00:00:00"/>
    <n v="0.4"/>
    <x v="3"/>
    <n v="5150"/>
    <x v="0"/>
    <x v="2"/>
    <n v="3"/>
    <n v="29"/>
    <x v="1"/>
    <m/>
    <x v="2"/>
    <x v="2"/>
    <x v="2"/>
    <n v="1"/>
    <n v="1"/>
    <n v="0"/>
  </r>
  <r>
    <s v="E10784"/>
    <x v="4"/>
    <x v="2"/>
    <s v="Female"/>
    <n v="37"/>
    <s v="36-45"/>
    <x v="1"/>
    <d v="2016-04-19T00:00:00"/>
    <n v="9.6999999999999993"/>
    <x v="1"/>
    <n v="9250"/>
    <x v="0"/>
    <x v="4"/>
    <n v="4"/>
    <n v="29"/>
    <x v="1"/>
    <m/>
    <x v="2"/>
    <x v="2"/>
    <x v="2"/>
    <n v="1"/>
    <n v="1"/>
    <n v="0"/>
  </r>
  <r>
    <s v="E10785"/>
    <x v="5"/>
    <x v="2"/>
    <s v="Female"/>
    <n v="36"/>
    <s v="36-45"/>
    <x v="1"/>
    <d v="2021-05-02T00:00:00"/>
    <n v="4.7"/>
    <x v="2"/>
    <n v="8700"/>
    <x v="0"/>
    <x v="2"/>
    <n v="4"/>
    <n v="26"/>
    <x v="1"/>
    <m/>
    <x v="2"/>
    <x v="2"/>
    <x v="2"/>
    <n v="1"/>
    <n v="1"/>
    <n v="0"/>
  </r>
  <r>
    <s v="E10786"/>
    <x v="1"/>
    <x v="3"/>
    <s v="Female"/>
    <n v="45"/>
    <s v="36-45"/>
    <x v="0"/>
    <d v="2023-09-19T00:00:00"/>
    <n v="2.2999999999999998"/>
    <x v="0"/>
    <n v="7100"/>
    <x v="0"/>
    <x v="0"/>
    <n v="2"/>
    <n v="24"/>
    <x v="1"/>
    <m/>
    <x v="2"/>
    <x v="2"/>
    <x v="2"/>
    <n v="1"/>
    <n v="1"/>
    <n v="0"/>
  </r>
  <r>
    <s v="E10787"/>
    <x v="5"/>
    <x v="1"/>
    <s v="Male"/>
    <n v="25"/>
    <s v="20-25"/>
    <x v="1"/>
    <d v="2025-04-05T00:00:00"/>
    <n v="0.7"/>
    <x v="3"/>
    <n v="6200"/>
    <x v="1"/>
    <x v="4"/>
    <n v="3"/>
    <n v="11"/>
    <x v="1"/>
    <m/>
    <x v="2"/>
    <x v="2"/>
    <x v="2"/>
    <n v="1"/>
    <n v="1"/>
    <n v="0"/>
  </r>
  <r>
    <s v="E10788"/>
    <x v="1"/>
    <x v="0"/>
    <s v="Male"/>
    <n v="21"/>
    <s v="20-25"/>
    <x v="1"/>
    <d v="2025-09-21T00:00:00"/>
    <n v="0"/>
    <x v="3"/>
    <n v="3750"/>
    <x v="1"/>
    <x v="0"/>
    <n v="3"/>
    <n v="33"/>
    <x v="0"/>
    <d v="2025-10-09T00:00:00"/>
    <x v="1"/>
    <x v="11"/>
    <x v="5"/>
    <n v="1"/>
    <n v="0"/>
    <n v="1"/>
  </r>
  <r>
    <s v="E10789"/>
    <x v="5"/>
    <x v="2"/>
    <s v="Male"/>
    <n v="39"/>
    <s v="36-45"/>
    <x v="1"/>
    <d v="2015-03-23T00:00:00"/>
    <n v="10.8"/>
    <x v="1"/>
    <n v="7550"/>
    <x v="1"/>
    <x v="1"/>
    <n v="3"/>
    <n v="12"/>
    <x v="1"/>
    <m/>
    <x v="2"/>
    <x v="2"/>
    <x v="2"/>
    <n v="1"/>
    <n v="1"/>
    <n v="0"/>
  </r>
  <r>
    <s v="E10790"/>
    <x v="0"/>
    <x v="0"/>
    <s v="Female"/>
    <n v="32"/>
    <s v="26-35"/>
    <x v="1"/>
    <d v="2019-07-31T00:00:00"/>
    <n v="5.8"/>
    <x v="1"/>
    <n v="3100"/>
    <x v="0"/>
    <x v="2"/>
    <n v="3"/>
    <n v="13"/>
    <x v="0"/>
    <d v="2025-06-05T00:00:00"/>
    <x v="1"/>
    <x v="0"/>
    <x v="1"/>
    <n v="1"/>
    <n v="0"/>
    <n v="1"/>
  </r>
  <r>
    <s v="E10791"/>
    <x v="0"/>
    <x v="0"/>
    <s v="Male"/>
    <n v="32"/>
    <s v="26-35"/>
    <x v="0"/>
    <d v="2023-09-01T00:00:00"/>
    <n v="2.2999999999999998"/>
    <x v="0"/>
    <n v="2800"/>
    <x v="1"/>
    <x v="0"/>
    <n v="2"/>
    <n v="32"/>
    <x v="1"/>
    <m/>
    <x v="2"/>
    <x v="2"/>
    <x v="2"/>
    <n v="1"/>
    <n v="1"/>
    <n v="0"/>
  </r>
  <r>
    <s v="E10792"/>
    <x v="5"/>
    <x v="1"/>
    <s v="Female"/>
    <n v="27"/>
    <s v="26-35"/>
    <x v="1"/>
    <d v="2023-03-22T00:00:00"/>
    <n v="2.8"/>
    <x v="0"/>
    <n v="3800"/>
    <x v="0"/>
    <x v="1"/>
    <n v="4"/>
    <n v="15"/>
    <x v="1"/>
    <m/>
    <x v="2"/>
    <x v="2"/>
    <x v="2"/>
    <n v="1"/>
    <n v="1"/>
    <n v="0"/>
  </r>
  <r>
    <s v="E10793"/>
    <x v="0"/>
    <x v="0"/>
    <s v="Male"/>
    <n v="27"/>
    <s v="26-35"/>
    <x v="2"/>
    <d v="2024-08-09T00:00:00"/>
    <n v="1.4"/>
    <x v="0"/>
    <n v="2850"/>
    <x v="0"/>
    <x v="0"/>
    <n v="2"/>
    <n v="29"/>
    <x v="1"/>
    <m/>
    <x v="2"/>
    <x v="2"/>
    <x v="2"/>
    <n v="1"/>
    <n v="1"/>
    <n v="0"/>
  </r>
  <r>
    <s v="E10794"/>
    <x v="3"/>
    <x v="0"/>
    <s v="Male"/>
    <n v="36"/>
    <s v="36-45"/>
    <x v="0"/>
    <d v="2020-10-10T00:00:00"/>
    <n v="5.2"/>
    <x v="1"/>
    <n v="5750"/>
    <x v="0"/>
    <x v="0"/>
    <n v="3"/>
    <n v="34"/>
    <x v="1"/>
    <m/>
    <x v="2"/>
    <x v="2"/>
    <x v="2"/>
    <n v="1"/>
    <n v="1"/>
    <n v="0"/>
  </r>
  <r>
    <s v="E10795"/>
    <x v="3"/>
    <x v="0"/>
    <s v="Male"/>
    <n v="35"/>
    <s v="26-35"/>
    <x v="1"/>
    <d v="2018-07-11T00:00:00"/>
    <n v="7.5"/>
    <x v="1"/>
    <n v="6000"/>
    <x v="1"/>
    <x v="1"/>
    <n v="3"/>
    <n v="18"/>
    <x v="1"/>
    <m/>
    <x v="2"/>
    <x v="2"/>
    <x v="2"/>
    <n v="1"/>
    <n v="1"/>
    <n v="0"/>
  </r>
  <r>
    <s v="E10796"/>
    <x v="3"/>
    <x v="0"/>
    <s v="Female"/>
    <n v="28"/>
    <s v="26-35"/>
    <x v="0"/>
    <d v="2022-05-18T00:00:00"/>
    <n v="3.6"/>
    <x v="2"/>
    <n v="6450"/>
    <x v="0"/>
    <x v="1"/>
    <n v="3"/>
    <n v="27"/>
    <x v="1"/>
    <m/>
    <x v="2"/>
    <x v="2"/>
    <x v="2"/>
    <n v="1"/>
    <n v="1"/>
    <n v="0"/>
  </r>
  <r>
    <s v="E10797"/>
    <x v="0"/>
    <x v="0"/>
    <s v="Female"/>
    <n v="22"/>
    <s v="20-25"/>
    <x v="0"/>
    <d v="2025-04-19T00:00:00"/>
    <n v="0.5"/>
    <x v="3"/>
    <n v="3050"/>
    <x v="1"/>
    <x v="4"/>
    <n v="4"/>
    <n v="30"/>
    <x v="0"/>
    <d v="2025-10-29T00:00:00"/>
    <x v="1"/>
    <x v="11"/>
    <x v="3"/>
    <n v="1"/>
    <n v="0"/>
    <n v="1"/>
  </r>
  <r>
    <s v="E10798"/>
    <x v="6"/>
    <x v="2"/>
    <s v="Male"/>
    <n v="35"/>
    <s v="26-35"/>
    <x v="1"/>
    <d v="2022-03-04T00:00:00"/>
    <n v="3.8"/>
    <x v="2"/>
    <n v="7800"/>
    <x v="0"/>
    <x v="0"/>
    <n v="3"/>
    <n v="9"/>
    <x v="1"/>
    <m/>
    <x v="2"/>
    <x v="2"/>
    <x v="2"/>
    <n v="1"/>
    <n v="1"/>
    <n v="0"/>
  </r>
  <r>
    <s v="E10799"/>
    <x v="1"/>
    <x v="0"/>
    <s v="Male"/>
    <n v="21"/>
    <s v="20-25"/>
    <x v="1"/>
    <d v="2025-10-29T00:00:00"/>
    <n v="0.2"/>
    <x v="3"/>
    <n v="3500"/>
    <x v="1"/>
    <x v="2"/>
    <n v="3"/>
    <n v="40"/>
    <x v="1"/>
    <m/>
    <x v="2"/>
    <x v="2"/>
    <x v="2"/>
    <n v="1"/>
    <n v="1"/>
    <n v="0"/>
  </r>
  <r>
    <s v="E10800"/>
    <x v="2"/>
    <x v="0"/>
    <s v="Male"/>
    <n v="30"/>
    <s v="26-35"/>
    <x v="0"/>
    <d v="2020-05-15T00:00:00"/>
    <n v="5.6"/>
    <x v="1"/>
    <n v="4950"/>
    <x v="0"/>
    <x v="4"/>
    <n v="4"/>
    <n v="18"/>
    <x v="1"/>
    <m/>
    <x v="2"/>
    <x v="2"/>
    <x v="2"/>
    <n v="1"/>
    <n v="1"/>
    <n v="0"/>
  </r>
  <r>
    <s v="E10801"/>
    <x v="0"/>
    <x v="0"/>
    <s v="Male"/>
    <n v="25"/>
    <s v="20-25"/>
    <x v="0"/>
    <d v="2024-02-17T00:00:00"/>
    <n v="1.9"/>
    <x v="0"/>
    <n v="2900"/>
    <x v="0"/>
    <x v="1"/>
    <n v="4"/>
    <n v="9"/>
    <x v="1"/>
    <m/>
    <x v="2"/>
    <x v="2"/>
    <x v="2"/>
    <n v="1"/>
    <n v="1"/>
    <n v="0"/>
  </r>
  <r>
    <s v="E10802"/>
    <x v="6"/>
    <x v="0"/>
    <s v="Male"/>
    <n v="33"/>
    <s v="26-35"/>
    <x v="0"/>
    <d v="2019-05-06T00:00:00"/>
    <n v="5.0999999999999996"/>
    <x v="1"/>
    <n v="4350"/>
    <x v="1"/>
    <x v="1"/>
    <n v="4"/>
    <n v="33"/>
    <x v="0"/>
    <d v="2024-06-21T00:00:00"/>
    <x v="0"/>
    <x v="0"/>
    <x v="5"/>
    <n v="1"/>
    <n v="0"/>
    <n v="1"/>
  </r>
  <r>
    <s v="E10803"/>
    <x v="0"/>
    <x v="1"/>
    <s v="Male"/>
    <n v="30"/>
    <s v="26-35"/>
    <x v="1"/>
    <d v="2020-07-27T00:00:00"/>
    <n v="5.4"/>
    <x v="1"/>
    <n v="3700"/>
    <x v="0"/>
    <x v="1"/>
    <n v="3"/>
    <n v="35"/>
    <x v="1"/>
    <m/>
    <x v="2"/>
    <x v="2"/>
    <x v="2"/>
    <n v="1"/>
    <n v="1"/>
    <n v="0"/>
  </r>
  <r>
    <s v="E10804"/>
    <x v="5"/>
    <x v="1"/>
    <s v="Female"/>
    <n v="30"/>
    <s v="26-35"/>
    <x v="0"/>
    <d v="2020-07-13T00:00:00"/>
    <n v="5.0999999999999996"/>
    <x v="1"/>
    <n v="5400"/>
    <x v="0"/>
    <x v="1"/>
    <n v="3"/>
    <n v="24"/>
    <x v="0"/>
    <d v="2025-08-07T00:00:00"/>
    <x v="1"/>
    <x v="1"/>
    <x v="1"/>
    <n v="1"/>
    <n v="0"/>
    <n v="1"/>
  </r>
  <r>
    <s v="E10805"/>
    <x v="3"/>
    <x v="3"/>
    <s v="Male"/>
    <n v="48"/>
    <s v="46+"/>
    <x v="1"/>
    <d v="2023-01-25T00:00:00"/>
    <n v="2.9"/>
    <x v="0"/>
    <n v="16350"/>
    <x v="0"/>
    <x v="1"/>
    <n v="4"/>
    <n v="26"/>
    <x v="1"/>
    <m/>
    <x v="2"/>
    <x v="2"/>
    <x v="2"/>
    <n v="1"/>
    <n v="1"/>
    <n v="0"/>
  </r>
  <r>
    <s v="E10806"/>
    <x v="2"/>
    <x v="2"/>
    <s v="Male"/>
    <n v="32"/>
    <s v="26-35"/>
    <x v="2"/>
    <d v="2024-05-31T00:00:00"/>
    <n v="1.6"/>
    <x v="0"/>
    <n v="9750"/>
    <x v="0"/>
    <x v="1"/>
    <n v="3"/>
    <n v="26"/>
    <x v="1"/>
    <m/>
    <x v="2"/>
    <x v="2"/>
    <x v="2"/>
    <n v="1"/>
    <n v="1"/>
    <n v="0"/>
  </r>
  <r>
    <s v="E10807"/>
    <x v="6"/>
    <x v="3"/>
    <s v="Female"/>
    <n v="50"/>
    <s v="46+"/>
    <x v="1"/>
    <d v="2020-02-15T00:00:00"/>
    <n v="5.9"/>
    <x v="1"/>
    <n v="9650"/>
    <x v="0"/>
    <x v="2"/>
    <n v="3"/>
    <n v="19"/>
    <x v="1"/>
    <m/>
    <x v="2"/>
    <x v="2"/>
    <x v="2"/>
    <n v="1"/>
    <n v="1"/>
    <n v="0"/>
  </r>
  <r>
    <s v="E10808"/>
    <x v="5"/>
    <x v="2"/>
    <s v="Female"/>
    <n v="39"/>
    <s v="36-45"/>
    <x v="0"/>
    <d v="2023-02-03T00:00:00"/>
    <n v="1.9"/>
    <x v="0"/>
    <n v="7250"/>
    <x v="0"/>
    <x v="0"/>
    <n v="3"/>
    <n v="16"/>
    <x v="0"/>
    <d v="2025-01-14T00:00:00"/>
    <x v="1"/>
    <x v="7"/>
    <x v="3"/>
    <n v="1"/>
    <n v="0"/>
    <n v="1"/>
  </r>
  <r>
    <s v="E10809"/>
    <x v="2"/>
    <x v="0"/>
    <s v="Male"/>
    <n v="25"/>
    <s v="20-25"/>
    <x v="1"/>
    <d v="2023-09-11T00:00:00"/>
    <n v="1.8"/>
    <x v="0"/>
    <n v="5450"/>
    <x v="1"/>
    <x v="3"/>
    <n v="4"/>
    <n v="23"/>
    <x v="0"/>
    <d v="2025-07-07T00:00:00"/>
    <x v="1"/>
    <x v="4"/>
    <x v="1"/>
    <n v="1"/>
    <n v="0"/>
    <n v="1"/>
  </r>
  <r>
    <s v="E10810"/>
    <x v="1"/>
    <x v="1"/>
    <s v="Male"/>
    <n v="26"/>
    <s v="26-35"/>
    <x v="1"/>
    <d v="2023-06-15T00:00:00"/>
    <n v="2.5"/>
    <x v="0"/>
    <n v="3950"/>
    <x v="0"/>
    <x v="4"/>
    <n v="3"/>
    <n v="16"/>
    <x v="1"/>
    <m/>
    <x v="2"/>
    <x v="2"/>
    <x v="2"/>
    <n v="1"/>
    <n v="1"/>
    <n v="0"/>
  </r>
  <r>
    <s v="E10811"/>
    <x v="5"/>
    <x v="3"/>
    <s v="Male"/>
    <n v="47"/>
    <s v="46+"/>
    <x v="1"/>
    <d v="2011-04-26T00:00:00"/>
    <n v="14.7"/>
    <x v="1"/>
    <n v="8700"/>
    <x v="1"/>
    <x v="1"/>
    <n v="3"/>
    <n v="28"/>
    <x v="1"/>
    <m/>
    <x v="2"/>
    <x v="2"/>
    <x v="2"/>
    <n v="1"/>
    <n v="1"/>
    <n v="0"/>
  </r>
  <r>
    <s v="E10812"/>
    <x v="1"/>
    <x v="0"/>
    <s v="Male"/>
    <n v="23"/>
    <s v="20-25"/>
    <x v="1"/>
    <d v="2024-11-08T00:00:00"/>
    <n v="0.4"/>
    <x v="3"/>
    <n v="2500"/>
    <x v="0"/>
    <x v="0"/>
    <n v="4"/>
    <n v="23"/>
    <x v="0"/>
    <d v="2025-03-28T00:00:00"/>
    <x v="1"/>
    <x v="3"/>
    <x v="0"/>
    <n v="1"/>
    <n v="0"/>
    <n v="1"/>
  </r>
  <r>
    <s v="E10813"/>
    <x v="3"/>
    <x v="0"/>
    <s v="Female"/>
    <n v="21"/>
    <s v="20-25"/>
    <x v="2"/>
    <d v="2025-09-20T00:00:00"/>
    <n v="0.1"/>
    <x v="3"/>
    <n v="5800"/>
    <x v="0"/>
    <x v="1"/>
    <n v="3"/>
    <n v="32"/>
    <x v="0"/>
    <d v="2025-10-16T00:00:00"/>
    <x v="1"/>
    <x v="11"/>
    <x v="1"/>
    <n v="1"/>
    <n v="0"/>
    <n v="1"/>
  </r>
  <r>
    <s v="E10814"/>
    <x v="0"/>
    <x v="1"/>
    <s v="Male"/>
    <n v="34"/>
    <s v="26-35"/>
    <x v="1"/>
    <d v="2017-01-25T00:00:00"/>
    <n v="8.9"/>
    <x v="1"/>
    <n v="3700"/>
    <x v="1"/>
    <x v="1"/>
    <n v="3"/>
    <n v="28"/>
    <x v="1"/>
    <m/>
    <x v="2"/>
    <x v="2"/>
    <x v="2"/>
    <n v="1"/>
    <n v="1"/>
    <n v="0"/>
  </r>
  <r>
    <s v="E10815"/>
    <x v="3"/>
    <x v="1"/>
    <s v="Female"/>
    <n v="30"/>
    <s v="26-35"/>
    <x v="0"/>
    <d v="2019-08-01T00:00:00"/>
    <n v="5.2"/>
    <x v="1"/>
    <n v="6350"/>
    <x v="0"/>
    <x v="3"/>
    <n v="3"/>
    <n v="25"/>
    <x v="0"/>
    <d v="2024-10-26T00:00:00"/>
    <x v="0"/>
    <x v="11"/>
    <x v="0"/>
    <n v="1"/>
    <n v="0"/>
    <n v="1"/>
  </r>
  <r>
    <s v="E10816"/>
    <x v="0"/>
    <x v="1"/>
    <s v="Female"/>
    <n v="44"/>
    <s v="36-45"/>
    <x v="0"/>
    <d v="2017-01-16T00:00:00"/>
    <n v="9"/>
    <x v="1"/>
    <n v="3500"/>
    <x v="0"/>
    <x v="0"/>
    <n v="2"/>
    <n v="36"/>
    <x v="1"/>
    <m/>
    <x v="2"/>
    <x v="2"/>
    <x v="2"/>
    <n v="1"/>
    <n v="1"/>
    <n v="0"/>
  </r>
  <r>
    <s v="E10817"/>
    <x v="0"/>
    <x v="1"/>
    <s v="Female"/>
    <n v="26"/>
    <s v="26-35"/>
    <x v="0"/>
    <d v="2025-03-17T00:00:00"/>
    <n v="0.8"/>
    <x v="3"/>
    <n v="3300"/>
    <x v="0"/>
    <x v="1"/>
    <n v="3"/>
    <n v="41"/>
    <x v="1"/>
    <m/>
    <x v="2"/>
    <x v="2"/>
    <x v="2"/>
    <n v="1"/>
    <n v="1"/>
    <n v="0"/>
  </r>
  <r>
    <s v="E10818"/>
    <x v="4"/>
    <x v="0"/>
    <s v="Male"/>
    <n v="33"/>
    <s v="26-35"/>
    <x v="0"/>
    <d v="2016-10-12T00:00:00"/>
    <n v="8.3000000000000007"/>
    <x v="1"/>
    <n v="3950"/>
    <x v="1"/>
    <x v="1"/>
    <n v="4"/>
    <n v="26"/>
    <x v="0"/>
    <d v="2025-01-16T00:00:00"/>
    <x v="1"/>
    <x v="7"/>
    <x v="0"/>
    <n v="1"/>
    <n v="0"/>
    <n v="1"/>
  </r>
  <r>
    <s v="E10819"/>
    <x v="1"/>
    <x v="2"/>
    <s v="Male"/>
    <n v="39"/>
    <s v="36-45"/>
    <x v="0"/>
    <d v="2023-04-05T00:00:00"/>
    <n v="2.7"/>
    <x v="0"/>
    <n v="5450"/>
    <x v="0"/>
    <x v="1"/>
    <n v="5"/>
    <n v="36"/>
    <x v="1"/>
    <m/>
    <x v="2"/>
    <x v="2"/>
    <x v="2"/>
    <n v="1"/>
    <n v="1"/>
    <n v="0"/>
  </r>
  <r>
    <s v="E10820"/>
    <x v="0"/>
    <x v="0"/>
    <s v="Female"/>
    <n v="35"/>
    <s v="26-35"/>
    <x v="1"/>
    <d v="2024-04-18T00:00:00"/>
    <n v="0.4"/>
    <x v="3"/>
    <n v="3200"/>
    <x v="0"/>
    <x v="0"/>
    <n v="3"/>
    <n v="7"/>
    <x v="0"/>
    <d v="2024-09-22T00:00:00"/>
    <x v="0"/>
    <x v="12"/>
    <x v="1"/>
    <n v="1"/>
    <n v="0"/>
    <n v="1"/>
  </r>
  <r>
    <s v="E10821"/>
    <x v="4"/>
    <x v="0"/>
    <s v="Male"/>
    <n v="24"/>
    <s v="20-25"/>
    <x v="0"/>
    <d v="2025-08-12T00:00:00"/>
    <n v="0.4"/>
    <x v="3"/>
    <n v="3850"/>
    <x v="0"/>
    <x v="1"/>
    <n v="4"/>
    <n v="19"/>
    <x v="1"/>
    <m/>
    <x v="2"/>
    <x v="2"/>
    <x v="2"/>
    <n v="1"/>
    <n v="1"/>
    <n v="0"/>
  </r>
  <r>
    <s v="E10822"/>
    <x v="0"/>
    <x v="1"/>
    <s v="Male"/>
    <n v="37"/>
    <s v="36-45"/>
    <x v="2"/>
    <d v="2016-02-03T00:00:00"/>
    <n v="9.9"/>
    <x v="1"/>
    <n v="3350"/>
    <x v="0"/>
    <x v="0"/>
    <n v="3"/>
    <n v="16"/>
    <x v="1"/>
    <m/>
    <x v="2"/>
    <x v="2"/>
    <x v="2"/>
    <n v="1"/>
    <n v="1"/>
    <n v="0"/>
  </r>
  <r>
    <s v="E10823"/>
    <x v="2"/>
    <x v="3"/>
    <s v="Male"/>
    <n v="46"/>
    <s v="46+"/>
    <x v="1"/>
    <d v="2019-08-30T00:00:00"/>
    <n v="6.3"/>
    <x v="1"/>
    <n v="16000"/>
    <x v="0"/>
    <x v="1"/>
    <n v="3"/>
    <n v="40"/>
    <x v="1"/>
    <m/>
    <x v="2"/>
    <x v="2"/>
    <x v="2"/>
    <n v="1"/>
    <n v="1"/>
    <n v="0"/>
  </r>
  <r>
    <s v="E10824"/>
    <x v="3"/>
    <x v="3"/>
    <s v="Female"/>
    <n v="44"/>
    <s v="36-45"/>
    <x v="1"/>
    <d v="2013-10-28T00:00:00"/>
    <n v="12.2"/>
    <x v="1"/>
    <n v="15700"/>
    <x v="0"/>
    <x v="1"/>
    <n v="3"/>
    <n v="22"/>
    <x v="1"/>
    <m/>
    <x v="2"/>
    <x v="2"/>
    <x v="2"/>
    <n v="1"/>
    <n v="1"/>
    <n v="0"/>
  </r>
  <r>
    <s v="E10825"/>
    <x v="3"/>
    <x v="1"/>
    <s v="Female"/>
    <n v="30"/>
    <s v="26-35"/>
    <x v="1"/>
    <d v="2019-12-04T00:00:00"/>
    <n v="6.1"/>
    <x v="1"/>
    <n v="8600"/>
    <x v="1"/>
    <x v="0"/>
    <n v="3"/>
    <n v="3"/>
    <x v="1"/>
    <m/>
    <x v="2"/>
    <x v="2"/>
    <x v="2"/>
    <n v="1"/>
    <n v="1"/>
    <n v="0"/>
  </r>
  <r>
    <s v="E10826"/>
    <x v="1"/>
    <x v="0"/>
    <s v="Male"/>
    <n v="22"/>
    <s v="20-25"/>
    <x v="0"/>
    <d v="2025-04-22T00:00:00"/>
    <n v="0.7"/>
    <x v="3"/>
    <n v="3200"/>
    <x v="0"/>
    <x v="1"/>
    <n v="2"/>
    <n v="25"/>
    <x v="1"/>
    <m/>
    <x v="2"/>
    <x v="2"/>
    <x v="2"/>
    <n v="1"/>
    <n v="1"/>
    <n v="0"/>
  </r>
  <r>
    <s v="E10827"/>
    <x v="4"/>
    <x v="2"/>
    <s v="Male"/>
    <n v="35"/>
    <s v="26-35"/>
    <x v="0"/>
    <d v="2023-01-22T00:00:00"/>
    <n v="2.9"/>
    <x v="0"/>
    <n v="9500"/>
    <x v="0"/>
    <x v="0"/>
    <n v="3"/>
    <n v="27"/>
    <x v="1"/>
    <m/>
    <x v="2"/>
    <x v="2"/>
    <x v="2"/>
    <n v="1"/>
    <n v="1"/>
    <n v="0"/>
  </r>
  <r>
    <s v="E10828"/>
    <x v="5"/>
    <x v="2"/>
    <s v="Male"/>
    <n v="43"/>
    <s v="36-45"/>
    <x v="2"/>
    <d v="2015-04-12T00:00:00"/>
    <n v="10.7"/>
    <x v="1"/>
    <n v="7850"/>
    <x v="0"/>
    <x v="2"/>
    <n v="3"/>
    <n v="34"/>
    <x v="1"/>
    <m/>
    <x v="2"/>
    <x v="2"/>
    <x v="2"/>
    <n v="1"/>
    <n v="1"/>
    <n v="0"/>
  </r>
  <r>
    <s v="E10829"/>
    <x v="4"/>
    <x v="0"/>
    <s v="Male"/>
    <n v="22"/>
    <s v="20-25"/>
    <x v="1"/>
    <d v="2025-08-23T00:00:00"/>
    <n v="0.4"/>
    <x v="3"/>
    <n v="5200"/>
    <x v="0"/>
    <x v="4"/>
    <n v="3"/>
    <n v="33"/>
    <x v="1"/>
    <m/>
    <x v="2"/>
    <x v="2"/>
    <x v="2"/>
    <n v="1"/>
    <n v="1"/>
    <n v="0"/>
  </r>
  <r>
    <s v="E10830"/>
    <x v="5"/>
    <x v="0"/>
    <s v="Female"/>
    <n v="34"/>
    <s v="26-35"/>
    <x v="2"/>
    <d v="2022-05-28T00:00:00"/>
    <n v="3.6"/>
    <x v="2"/>
    <n v="4850"/>
    <x v="1"/>
    <x v="2"/>
    <n v="4"/>
    <n v="16"/>
    <x v="1"/>
    <m/>
    <x v="2"/>
    <x v="2"/>
    <x v="2"/>
    <n v="1"/>
    <n v="1"/>
    <n v="0"/>
  </r>
  <r>
    <s v="E10831"/>
    <x v="2"/>
    <x v="2"/>
    <s v="Male"/>
    <n v="35"/>
    <s v="26-35"/>
    <x v="0"/>
    <d v="2015-04-21T00:00:00"/>
    <n v="10.7"/>
    <x v="1"/>
    <n v="9350"/>
    <x v="0"/>
    <x v="0"/>
    <n v="4"/>
    <n v="6"/>
    <x v="1"/>
    <m/>
    <x v="2"/>
    <x v="2"/>
    <x v="2"/>
    <n v="1"/>
    <n v="1"/>
    <n v="0"/>
  </r>
  <r>
    <s v="E10832"/>
    <x v="1"/>
    <x v="0"/>
    <s v="Female"/>
    <n v="21"/>
    <s v="20-25"/>
    <x v="1"/>
    <d v="2025-10-09T00:00:00"/>
    <n v="0.2"/>
    <x v="3"/>
    <n v="3850"/>
    <x v="1"/>
    <x v="1"/>
    <n v="3"/>
    <n v="29"/>
    <x v="1"/>
    <m/>
    <x v="2"/>
    <x v="2"/>
    <x v="2"/>
    <n v="1"/>
    <n v="1"/>
    <n v="0"/>
  </r>
  <r>
    <s v="E10833"/>
    <x v="5"/>
    <x v="1"/>
    <s v="Male"/>
    <n v="29"/>
    <s v="26-35"/>
    <x v="1"/>
    <d v="2020-02-07T00:00:00"/>
    <n v="5.9"/>
    <x v="1"/>
    <n v="5900"/>
    <x v="0"/>
    <x v="0"/>
    <n v="4"/>
    <n v="46"/>
    <x v="1"/>
    <m/>
    <x v="2"/>
    <x v="2"/>
    <x v="2"/>
    <n v="1"/>
    <n v="1"/>
    <n v="0"/>
  </r>
  <r>
    <s v="E10834"/>
    <x v="5"/>
    <x v="1"/>
    <s v="Female"/>
    <n v="33"/>
    <s v="26-35"/>
    <x v="1"/>
    <d v="2017-02-16T00:00:00"/>
    <n v="8.9"/>
    <x v="1"/>
    <n v="5600"/>
    <x v="0"/>
    <x v="1"/>
    <n v="3"/>
    <n v="34"/>
    <x v="1"/>
    <m/>
    <x v="2"/>
    <x v="2"/>
    <x v="2"/>
    <n v="1"/>
    <n v="1"/>
    <n v="0"/>
  </r>
  <r>
    <s v="E10835"/>
    <x v="3"/>
    <x v="1"/>
    <s v="Male"/>
    <n v="32"/>
    <s v="26-35"/>
    <x v="1"/>
    <d v="2023-07-24T00:00:00"/>
    <n v="2.4"/>
    <x v="0"/>
    <n v="7900"/>
    <x v="0"/>
    <x v="1"/>
    <n v="3"/>
    <n v="13"/>
    <x v="1"/>
    <m/>
    <x v="2"/>
    <x v="2"/>
    <x v="2"/>
    <n v="1"/>
    <n v="1"/>
    <n v="0"/>
  </r>
  <r>
    <s v="E10836"/>
    <x v="6"/>
    <x v="0"/>
    <s v="Male"/>
    <n v="29"/>
    <s v="26-35"/>
    <x v="1"/>
    <d v="2021-03-01T00:00:00"/>
    <n v="4.8"/>
    <x v="2"/>
    <n v="3500"/>
    <x v="0"/>
    <x v="2"/>
    <n v="3"/>
    <n v="24"/>
    <x v="1"/>
    <m/>
    <x v="2"/>
    <x v="2"/>
    <x v="2"/>
    <n v="1"/>
    <n v="1"/>
    <n v="0"/>
  </r>
  <r>
    <s v="E10837"/>
    <x v="4"/>
    <x v="1"/>
    <s v="Male"/>
    <n v="34"/>
    <s v="26-35"/>
    <x v="1"/>
    <d v="2020-05-03T00:00:00"/>
    <n v="5.7"/>
    <x v="1"/>
    <n v="6000"/>
    <x v="0"/>
    <x v="2"/>
    <n v="3"/>
    <n v="26"/>
    <x v="1"/>
    <m/>
    <x v="2"/>
    <x v="2"/>
    <x v="2"/>
    <n v="1"/>
    <n v="1"/>
    <n v="0"/>
  </r>
  <r>
    <s v="E10838"/>
    <x v="1"/>
    <x v="0"/>
    <s v="Female"/>
    <n v="29"/>
    <s v="26-35"/>
    <x v="0"/>
    <d v="2021-02-12T00:00:00"/>
    <n v="4.9000000000000004"/>
    <x v="2"/>
    <n v="3450"/>
    <x v="0"/>
    <x v="1"/>
    <n v="3"/>
    <n v="40"/>
    <x v="1"/>
    <m/>
    <x v="2"/>
    <x v="2"/>
    <x v="2"/>
    <n v="1"/>
    <n v="1"/>
    <n v="0"/>
  </r>
  <r>
    <s v="E10839"/>
    <x v="0"/>
    <x v="2"/>
    <s v="Male"/>
    <n v="48"/>
    <s v="46+"/>
    <x v="1"/>
    <d v="2011-09-07T00:00:00"/>
    <n v="14.3"/>
    <x v="1"/>
    <n v="4800"/>
    <x v="0"/>
    <x v="2"/>
    <n v="3"/>
    <n v="29"/>
    <x v="1"/>
    <m/>
    <x v="2"/>
    <x v="2"/>
    <x v="2"/>
    <n v="1"/>
    <n v="1"/>
    <n v="0"/>
  </r>
  <r>
    <s v="E10840"/>
    <x v="5"/>
    <x v="1"/>
    <s v="Female"/>
    <n v="38"/>
    <s v="36-45"/>
    <x v="0"/>
    <d v="2020-11-11T00:00:00"/>
    <n v="5.0999999999999996"/>
    <x v="1"/>
    <n v="5400"/>
    <x v="0"/>
    <x v="0"/>
    <n v="3"/>
    <n v="5"/>
    <x v="1"/>
    <m/>
    <x v="2"/>
    <x v="2"/>
    <x v="2"/>
    <n v="1"/>
    <n v="1"/>
    <n v="0"/>
  </r>
  <r>
    <s v="E10841"/>
    <x v="5"/>
    <x v="1"/>
    <s v="Female"/>
    <n v="42"/>
    <s v="36-45"/>
    <x v="0"/>
    <d v="2017-11-14T00:00:00"/>
    <n v="8.1"/>
    <x v="1"/>
    <n v="5000"/>
    <x v="0"/>
    <x v="4"/>
    <n v="4"/>
    <n v="30"/>
    <x v="1"/>
    <m/>
    <x v="2"/>
    <x v="2"/>
    <x v="2"/>
    <n v="1"/>
    <n v="1"/>
    <n v="0"/>
  </r>
  <r>
    <s v="E10842"/>
    <x v="2"/>
    <x v="1"/>
    <s v="Male"/>
    <n v="32"/>
    <s v="26-35"/>
    <x v="0"/>
    <d v="2021-05-18T00:00:00"/>
    <n v="4.5999999999999996"/>
    <x v="2"/>
    <n v="7150"/>
    <x v="1"/>
    <x v="2"/>
    <n v="3"/>
    <n v="25"/>
    <x v="1"/>
    <m/>
    <x v="2"/>
    <x v="2"/>
    <x v="2"/>
    <n v="1"/>
    <n v="1"/>
    <n v="0"/>
  </r>
  <r>
    <s v="E10843"/>
    <x v="5"/>
    <x v="0"/>
    <s v="Male"/>
    <n v="21"/>
    <s v="20-25"/>
    <x v="2"/>
    <d v="2025-11-30T00:00:00"/>
    <n v="0"/>
    <x v="3"/>
    <n v="4500"/>
    <x v="0"/>
    <x v="1"/>
    <n v="2"/>
    <n v="23"/>
    <x v="0"/>
    <d v="2025-12-09T00:00:00"/>
    <x v="1"/>
    <x v="5"/>
    <x v="1"/>
    <n v="1"/>
    <n v="0"/>
    <n v="1"/>
  </r>
  <r>
    <s v="E10844"/>
    <x v="4"/>
    <x v="0"/>
    <s v="Female"/>
    <n v="27"/>
    <s v="26-35"/>
    <x v="0"/>
    <d v="2021-12-29T00:00:00"/>
    <n v="4"/>
    <x v="2"/>
    <n v="4000"/>
    <x v="1"/>
    <x v="0"/>
    <n v="4"/>
    <n v="22"/>
    <x v="1"/>
    <m/>
    <x v="2"/>
    <x v="2"/>
    <x v="2"/>
    <n v="1"/>
    <n v="1"/>
    <n v="0"/>
  </r>
  <r>
    <s v="E10845"/>
    <x v="0"/>
    <x v="1"/>
    <s v="Male"/>
    <n v="32"/>
    <s v="26-35"/>
    <x v="1"/>
    <d v="2022-10-03T00:00:00"/>
    <n v="2.4"/>
    <x v="0"/>
    <n v="4500"/>
    <x v="1"/>
    <x v="1"/>
    <n v="2"/>
    <n v="35"/>
    <x v="0"/>
    <d v="2025-02-08T00:00:00"/>
    <x v="1"/>
    <x v="6"/>
    <x v="3"/>
    <n v="1"/>
    <n v="0"/>
    <n v="1"/>
  </r>
  <r>
    <s v="E10846"/>
    <x v="3"/>
    <x v="3"/>
    <s v="Female"/>
    <n v="49"/>
    <s v="46+"/>
    <x v="1"/>
    <d v="2013-05-27T00:00:00"/>
    <n v="12.6"/>
    <x v="1"/>
    <n v="18600"/>
    <x v="0"/>
    <x v="2"/>
    <n v="4"/>
    <n v="24"/>
    <x v="1"/>
    <m/>
    <x v="2"/>
    <x v="2"/>
    <x v="2"/>
    <n v="1"/>
    <n v="1"/>
    <n v="0"/>
  </r>
  <r>
    <s v="E10847"/>
    <x v="0"/>
    <x v="0"/>
    <s v="Female"/>
    <n v="32"/>
    <s v="26-35"/>
    <x v="0"/>
    <d v="2020-05-24T00:00:00"/>
    <n v="4.3"/>
    <x v="2"/>
    <n v="2800"/>
    <x v="0"/>
    <x v="1"/>
    <n v="3"/>
    <n v="15"/>
    <x v="0"/>
    <d v="2024-09-23T00:00:00"/>
    <x v="0"/>
    <x v="12"/>
    <x v="1"/>
    <n v="1"/>
    <n v="0"/>
    <n v="1"/>
  </r>
  <r>
    <s v="E10848"/>
    <x v="3"/>
    <x v="0"/>
    <s v="Male"/>
    <n v="23"/>
    <s v="20-25"/>
    <x v="1"/>
    <d v="2024-08-08T00:00:00"/>
    <n v="1.4"/>
    <x v="0"/>
    <n v="7650"/>
    <x v="1"/>
    <x v="1"/>
    <n v="4"/>
    <n v="36"/>
    <x v="1"/>
    <m/>
    <x v="2"/>
    <x v="2"/>
    <x v="2"/>
    <n v="1"/>
    <n v="1"/>
    <n v="0"/>
  </r>
  <r>
    <s v="E10849"/>
    <x v="5"/>
    <x v="0"/>
    <s v="Male"/>
    <n v="26"/>
    <s v="26-35"/>
    <x v="1"/>
    <d v="2022-06-15T00:00:00"/>
    <n v="3.5"/>
    <x v="2"/>
    <n v="4450"/>
    <x v="0"/>
    <x v="4"/>
    <n v="2"/>
    <n v="15"/>
    <x v="1"/>
    <m/>
    <x v="2"/>
    <x v="2"/>
    <x v="2"/>
    <n v="1"/>
    <n v="1"/>
    <n v="0"/>
  </r>
  <r>
    <s v="E10850"/>
    <x v="5"/>
    <x v="2"/>
    <s v="Male"/>
    <n v="38"/>
    <s v="36-45"/>
    <x v="1"/>
    <d v="2015-05-30T00:00:00"/>
    <n v="10.6"/>
    <x v="1"/>
    <n v="7300"/>
    <x v="0"/>
    <x v="1"/>
    <n v="5"/>
    <n v="32"/>
    <x v="1"/>
    <m/>
    <x v="2"/>
    <x v="2"/>
    <x v="2"/>
    <n v="1"/>
    <n v="1"/>
    <n v="0"/>
  </r>
  <r>
    <s v="E10851"/>
    <x v="5"/>
    <x v="0"/>
    <s v="Male"/>
    <n v="33"/>
    <s v="26-35"/>
    <x v="1"/>
    <d v="2021-09-07T00:00:00"/>
    <n v="4.3"/>
    <x v="2"/>
    <n v="4050"/>
    <x v="0"/>
    <x v="1"/>
    <n v="3"/>
    <n v="16"/>
    <x v="1"/>
    <m/>
    <x v="2"/>
    <x v="2"/>
    <x v="2"/>
    <n v="1"/>
    <n v="1"/>
    <n v="0"/>
  </r>
  <r>
    <s v="E10852"/>
    <x v="1"/>
    <x v="3"/>
    <s v="Female"/>
    <n v="39"/>
    <s v="36-45"/>
    <x v="0"/>
    <d v="2015-06-21T00:00:00"/>
    <n v="10.5"/>
    <x v="1"/>
    <n v="7600"/>
    <x v="0"/>
    <x v="2"/>
    <n v="4"/>
    <n v="24"/>
    <x v="1"/>
    <m/>
    <x v="2"/>
    <x v="2"/>
    <x v="2"/>
    <n v="1"/>
    <n v="1"/>
    <n v="0"/>
  </r>
  <r>
    <s v="E10853"/>
    <x v="1"/>
    <x v="0"/>
    <s v="Male"/>
    <n v="33"/>
    <s v="26-35"/>
    <x v="1"/>
    <d v="2023-08-23T00:00:00"/>
    <n v="2.4"/>
    <x v="0"/>
    <n v="3600"/>
    <x v="0"/>
    <x v="1"/>
    <n v="3"/>
    <n v="28"/>
    <x v="1"/>
    <m/>
    <x v="2"/>
    <x v="2"/>
    <x v="2"/>
    <n v="1"/>
    <n v="1"/>
    <n v="0"/>
  </r>
  <r>
    <s v="E10854"/>
    <x v="0"/>
    <x v="2"/>
    <s v="Male"/>
    <n v="38"/>
    <s v="36-45"/>
    <x v="2"/>
    <d v="2013-04-22T00:00:00"/>
    <n v="12.7"/>
    <x v="1"/>
    <n v="6400"/>
    <x v="1"/>
    <x v="0"/>
    <n v="4"/>
    <n v="19"/>
    <x v="1"/>
    <m/>
    <x v="2"/>
    <x v="2"/>
    <x v="2"/>
    <n v="1"/>
    <n v="1"/>
    <n v="0"/>
  </r>
  <r>
    <s v="E10855"/>
    <x v="4"/>
    <x v="3"/>
    <s v="Male"/>
    <n v="40"/>
    <s v="36-45"/>
    <x v="1"/>
    <d v="2020-12-08T00:00:00"/>
    <n v="3.6"/>
    <x v="2"/>
    <n v="9800"/>
    <x v="0"/>
    <x v="2"/>
    <n v="5"/>
    <n v="26"/>
    <x v="0"/>
    <d v="2024-07-14T00:00:00"/>
    <x v="0"/>
    <x v="4"/>
    <x v="0"/>
    <n v="1"/>
    <n v="0"/>
    <n v="1"/>
  </r>
  <r>
    <s v="E10856"/>
    <x v="1"/>
    <x v="1"/>
    <s v="Female"/>
    <n v="41"/>
    <s v="36-45"/>
    <x v="0"/>
    <d v="2015-05-09T00:00:00"/>
    <n v="10.6"/>
    <x v="1"/>
    <n v="3950"/>
    <x v="1"/>
    <x v="2"/>
    <n v="5"/>
    <n v="14"/>
    <x v="1"/>
    <m/>
    <x v="2"/>
    <x v="2"/>
    <x v="2"/>
    <n v="1"/>
    <n v="1"/>
    <n v="0"/>
  </r>
  <r>
    <s v="E10857"/>
    <x v="4"/>
    <x v="2"/>
    <s v="Female"/>
    <n v="50"/>
    <s v="46+"/>
    <x v="1"/>
    <d v="2013-10-23T00:00:00"/>
    <n v="12.2"/>
    <x v="1"/>
    <n v="6550"/>
    <x v="1"/>
    <x v="2"/>
    <n v="4"/>
    <n v="15"/>
    <x v="1"/>
    <m/>
    <x v="2"/>
    <x v="2"/>
    <x v="2"/>
    <n v="1"/>
    <n v="1"/>
    <n v="0"/>
  </r>
  <r>
    <s v="E10858"/>
    <x v="6"/>
    <x v="1"/>
    <s v="Female"/>
    <n v="30"/>
    <s v="26-35"/>
    <x v="0"/>
    <d v="2020-06-13T00:00:00"/>
    <n v="5.5"/>
    <x v="1"/>
    <n v="4200"/>
    <x v="0"/>
    <x v="1"/>
    <n v="4"/>
    <n v="19"/>
    <x v="1"/>
    <m/>
    <x v="2"/>
    <x v="2"/>
    <x v="2"/>
    <n v="1"/>
    <n v="1"/>
    <n v="0"/>
  </r>
  <r>
    <s v="E10859"/>
    <x v="1"/>
    <x v="0"/>
    <s v="Male"/>
    <n v="21"/>
    <s v="20-25"/>
    <x v="0"/>
    <d v="2025-10-17T00:00:00"/>
    <n v="0.2"/>
    <x v="3"/>
    <n v="3500"/>
    <x v="0"/>
    <x v="0"/>
    <n v="2"/>
    <n v="15"/>
    <x v="1"/>
    <m/>
    <x v="2"/>
    <x v="2"/>
    <x v="2"/>
    <n v="1"/>
    <n v="1"/>
    <n v="0"/>
  </r>
  <r>
    <s v="E10860"/>
    <x v="1"/>
    <x v="1"/>
    <s v="Female"/>
    <n v="24"/>
    <s v="20-25"/>
    <x v="0"/>
    <d v="2025-07-13T00:00:00"/>
    <n v="0.5"/>
    <x v="3"/>
    <n v="4550"/>
    <x v="1"/>
    <x v="1"/>
    <n v="3"/>
    <n v="22"/>
    <x v="1"/>
    <m/>
    <x v="2"/>
    <x v="2"/>
    <x v="2"/>
    <n v="1"/>
    <n v="1"/>
    <n v="0"/>
  </r>
  <r>
    <s v="E10861"/>
    <x v="0"/>
    <x v="1"/>
    <s v="Male"/>
    <n v="35"/>
    <s v="26-35"/>
    <x v="1"/>
    <d v="2024-02-03T00:00:00"/>
    <n v="1.9"/>
    <x v="0"/>
    <n v="2900"/>
    <x v="0"/>
    <x v="0"/>
    <n v="4"/>
    <n v="14"/>
    <x v="1"/>
    <m/>
    <x v="2"/>
    <x v="2"/>
    <x v="2"/>
    <n v="1"/>
    <n v="1"/>
    <n v="0"/>
  </r>
  <r>
    <s v="E10862"/>
    <x v="5"/>
    <x v="2"/>
    <s v="Female"/>
    <n v="34"/>
    <s v="26-35"/>
    <x v="1"/>
    <d v="2018-12-04T00:00:00"/>
    <n v="6.4"/>
    <x v="1"/>
    <n v="6350"/>
    <x v="1"/>
    <x v="0"/>
    <n v="3"/>
    <n v="11"/>
    <x v="0"/>
    <d v="2025-04-23T00:00:00"/>
    <x v="1"/>
    <x v="8"/>
    <x v="0"/>
    <n v="1"/>
    <n v="0"/>
    <n v="1"/>
  </r>
  <r>
    <s v="E10863"/>
    <x v="1"/>
    <x v="3"/>
    <s v="Female"/>
    <n v="48"/>
    <s v="46+"/>
    <x v="0"/>
    <d v="2011-06-08T00:00:00"/>
    <n v="14.6"/>
    <x v="1"/>
    <n v="8550"/>
    <x v="0"/>
    <x v="2"/>
    <n v="3"/>
    <n v="32"/>
    <x v="1"/>
    <m/>
    <x v="2"/>
    <x v="2"/>
    <x v="2"/>
    <n v="1"/>
    <n v="1"/>
    <n v="0"/>
  </r>
  <r>
    <s v="E10864"/>
    <x v="0"/>
    <x v="0"/>
    <s v="Female"/>
    <n v="21"/>
    <s v="20-25"/>
    <x v="1"/>
    <d v="2025-09-24T00:00:00"/>
    <n v="0.3"/>
    <x v="3"/>
    <n v="2850"/>
    <x v="0"/>
    <x v="4"/>
    <n v="3"/>
    <n v="34"/>
    <x v="1"/>
    <m/>
    <x v="2"/>
    <x v="2"/>
    <x v="2"/>
    <n v="1"/>
    <n v="1"/>
    <n v="0"/>
  </r>
  <r>
    <s v="E10865"/>
    <x v="1"/>
    <x v="0"/>
    <s v="Male"/>
    <n v="32"/>
    <s v="26-35"/>
    <x v="0"/>
    <d v="2022-01-21T00:00:00"/>
    <n v="3.9"/>
    <x v="2"/>
    <n v="3900"/>
    <x v="0"/>
    <x v="1"/>
    <n v="2"/>
    <n v="16"/>
    <x v="1"/>
    <m/>
    <x v="2"/>
    <x v="2"/>
    <x v="2"/>
    <n v="1"/>
    <n v="1"/>
    <n v="0"/>
  </r>
  <r>
    <s v="E10866"/>
    <x v="1"/>
    <x v="3"/>
    <s v="Male"/>
    <n v="48"/>
    <s v="46+"/>
    <x v="0"/>
    <d v="2015-02-14T00:00:00"/>
    <n v="10.9"/>
    <x v="1"/>
    <n v="7700"/>
    <x v="1"/>
    <x v="1"/>
    <n v="3"/>
    <n v="14"/>
    <x v="1"/>
    <m/>
    <x v="2"/>
    <x v="2"/>
    <x v="2"/>
    <n v="1"/>
    <n v="1"/>
    <n v="0"/>
  </r>
  <r>
    <s v="E10867"/>
    <x v="4"/>
    <x v="0"/>
    <s v="Male"/>
    <n v="21"/>
    <s v="20-25"/>
    <x v="1"/>
    <d v="2025-10-21T00:00:00"/>
    <n v="0.2"/>
    <x v="3"/>
    <n v="4250"/>
    <x v="0"/>
    <x v="1"/>
    <n v="4"/>
    <n v="35"/>
    <x v="1"/>
    <m/>
    <x v="2"/>
    <x v="2"/>
    <x v="2"/>
    <n v="1"/>
    <n v="1"/>
    <n v="0"/>
  </r>
  <r>
    <s v="E10868"/>
    <x v="6"/>
    <x v="1"/>
    <s v="Male"/>
    <n v="37"/>
    <s v="36-45"/>
    <x v="2"/>
    <d v="2018-12-24T00:00:00"/>
    <n v="7"/>
    <x v="1"/>
    <n v="5650"/>
    <x v="0"/>
    <x v="3"/>
    <n v="5"/>
    <n v="43"/>
    <x v="1"/>
    <m/>
    <x v="2"/>
    <x v="2"/>
    <x v="2"/>
    <n v="1"/>
    <n v="1"/>
    <n v="0"/>
  </r>
  <r>
    <s v="E10869"/>
    <x v="0"/>
    <x v="3"/>
    <s v="Male"/>
    <n v="42"/>
    <s v="36-45"/>
    <x v="0"/>
    <d v="2016-01-24T00:00:00"/>
    <n v="9.9"/>
    <x v="1"/>
    <n v="9150"/>
    <x v="0"/>
    <x v="2"/>
    <n v="3"/>
    <n v="3"/>
    <x v="1"/>
    <m/>
    <x v="2"/>
    <x v="2"/>
    <x v="2"/>
    <n v="1"/>
    <n v="1"/>
    <n v="0"/>
  </r>
  <r>
    <s v="E10870"/>
    <x v="6"/>
    <x v="1"/>
    <s v="Male"/>
    <n v="33"/>
    <s v="26-35"/>
    <x v="0"/>
    <d v="2022-05-06T00:00:00"/>
    <n v="3.7"/>
    <x v="2"/>
    <n v="4900"/>
    <x v="0"/>
    <x v="1"/>
    <n v="4"/>
    <n v="16"/>
    <x v="1"/>
    <m/>
    <x v="2"/>
    <x v="2"/>
    <x v="2"/>
    <n v="1"/>
    <n v="1"/>
    <n v="0"/>
  </r>
  <r>
    <s v="E10871"/>
    <x v="1"/>
    <x v="1"/>
    <s v="Male"/>
    <n v="44"/>
    <s v="36-45"/>
    <x v="1"/>
    <d v="2013-03-28T00:00:00"/>
    <n v="12.8"/>
    <x v="1"/>
    <n v="4750"/>
    <x v="1"/>
    <x v="0"/>
    <n v="3"/>
    <n v="13"/>
    <x v="1"/>
    <m/>
    <x v="2"/>
    <x v="2"/>
    <x v="2"/>
    <n v="1"/>
    <n v="1"/>
    <n v="0"/>
  </r>
  <r>
    <s v="E10872"/>
    <x v="3"/>
    <x v="2"/>
    <s v="Male"/>
    <n v="35"/>
    <s v="26-35"/>
    <x v="1"/>
    <d v="2019-12-23T00:00:00"/>
    <n v="6"/>
    <x v="1"/>
    <n v="10000"/>
    <x v="0"/>
    <x v="3"/>
    <n v="4"/>
    <n v="31"/>
    <x v="1"/>
    <m/>
    <x v="2"/>
    <x v="2"/>
    <x v="2"/>
    <n v="1"/>
    <n v="1"/>
    <n v="0"/>
  </r>
  <r>
    <s v="E10873"/>
    <x v="2"/>
    <x v="2"/>
    <s v="Male"/>
    <n v="48"/>
    <s v="46+"/>
    <x v="2"/>
    <d v="2014-07-11T00:00:00"/>
    <n v="11.5"/>
    <x v="1"/>
    <n v="11000"/>
    <x v="0"/>
    <x v="4"/>
    <n v="4"/>
    <n v="35"/>
    <x v="1"/>
    <m/>
    <x v="2"/>
    <x v="2"/>
    <x v="2"/>
    <n v="1"/>
    <n v="1"/>
    <n v="0"/>
  </r>
  <r>
    <s v="E10874"/>
    <x v="3"/>
    <x v="2"/>
    <s v="Male"/>
    <n v="38"/>
    <s v="36-45"/>
    <x v="0"/>
    <d v="2017-02-18T00:00:00"/>
    <n v="8.9"/>
    <x v="1"/>
    <n v="10650"/>
    <x v="1"/>
    <x v="0"/>
    <n v="3"/>
    <n v="34"/>
    <x v="1"/>
    <m/>
    <x v="2"/>
    <x v="2"/>
    <x v="2"/>
    <n v="1"/>
    <n v="1"/>
    <n v="0"/>
  </r>
  <r>
    <s v="E10875"/>
    <x v="6"/>
    <x v="3"/>
    <s v="Male"/>
    <n v="51"/>
    <s v="46+"/>
    <x v="0"/>
    <d v="2021-10-07T00:00:00"/>
    <n v="4.2"/>
    <x v="2"/>
    <n v="9700"/>
    <x v="0"/>
    <x v="1"/>
    <n v="3"/>
    <n v="18"/>
    <x v="1"/>
    <m/>
    <x v="2"/>
    <x v="2"/>
    <x v="2"/>
    <n v="1"/>
    <n v="1"/>
    <n v="0"/>
  </r>
  <r>
    <s v="E10876"/>
    <x v="5"/>
    <x v="2"/>
    <s v="Male"/>
    <n v="40"/>
    <s v="36-45"/>
    <x v="1"/>
    <d v="2021-06-16T00:00:00"/>
    <n v="4.5"/>
    <x v="2"/>
    <n v="7300"/>
    <x v="1"/>
    <x v="0"/>
    <n v="4"/>
    <n v="20"/>
    <x v="1"/>
    <m/>
    <x v="2"/>
    <x v="2"/>
    <x v="2"/>
    <n v="1"/>
    <n v="1"/>
    <n v="0"/>
  </r>
  <r>
    <s v="E10877"/>
    <x v="6"/>
    <x v="2"/>
    <s v="Male"/>
    <n v="43"/>
    <s v="36-45"/>
    <x v="1"/>
    <d v="2014-02-12T00:00:00"/>
    <n v="9.9"/>
    <x v="1"/>
    <n v="5150"/>
    <x v="0"/>
    <x v="2"/>
    <n v="4"/>
    <n v="18"/>
    <x v="0"/>
    <d v="2024-01-16T00:00:00"/>
    <x v="0"/>
    <x v="7"/>
    <x v="6"/>
    <n v="1"/>
    <n v="0"/>
    <n v="1"/>
  </r>
  <r>
    <s v="E10878"/>
    <x v="0"/>
    <x v="1"/>
    <s v="Female"/>
    <n v="30"/>
    <s v="26-35"/>
    <x v="0"/>
    <d v="2021-01-28T00:00:00"/>
    <n v="4.9000000000000004"/>
    <x v="2"/>
    <n v="3000"/>
    <x v="0"/>
    <x v="1"/>
    <n v="5"/>
    <n v="30"/>
    <x v="1"/>
    <m/>
    <x v="2"/>
    <x v="2"/>
    <x v="2"/>
    <n v="1"/>
    <n v="1"/>
    <n v="0"/>
  </r>
  <r>
    <s v="E10879"/>
    <x v="0"/>
    <x v="0"/>
    <s v="Male"/>
    <n v="27"/>
    <s v="26-35"/>
    <x v="0"/>
    <d v="2022-05-01T00:00:00"/>
    <n v="3.7"/>
    <x v="2"/>
    <n v="3050"/>
    <x v="0"/>
    <x v="2"/>
    <n v="4"/>
    <n v="33"/>
    <x v="1"/>
    <m/>
    <x v="2"/>
    <x v="2"/>
    <x v="2"/>
    <n v="1"/>
    <n v="1"/>
    <n v="0"/>
  </r>
  <r>
    <s v="E10880"/>
    <x v="5"/>
    <x v="0"/>
    <s v="Male"/>
    <n v="37"/>
    <s v="36-45"/>
    <x v="1"/>
    <d v="2019-04-30T00:00:00"/>
    <n v="6.7"/>
    <x v="1"/>
    <n v="4200"/>
    <x v="0"/>
    <x v="1"/>
    <n v="3"/>
    <n v="41"/>
    <x v="1"/>
    <m/>
    <x v="2"/>
    <x v="2"/>
    <x v="2"/>
    <n v="1"/>
    <n v="1"/>
    <n v="0"/>
  </r>
  <r>
    <s v="E10881"/>
    <x v="3"/>
    <x v="0"/>
    <s v="Female"/>
    <n v="37"/>
    <s v="36-45"/>
    <x v="1"/>
    <d v="2023-08-17T00:00:00"/>
    <n v="2.4"/>
    <x v="0"/>
    <n v="6700"/>
    <x v="0"/>
    <x v="2"/>
    <n v="4"/>
    <n v="25"/>
    <x v="1"/>
    <m/>
    <x v="2"/>
    <x v="2"/>
    <x v="2"/>
    <n v="1"/>
    <n v="1"/>
    <n v="0"/>
  </r>
  <r>
    <s v="E10882"/>
    <x v="5"/>
    <x v="3"/>
    <s v="Male"/>
    <n v="38"/>
    <s v="36-45"/>
    <x v="0"/>
    <d v="2015-03-28T00:00:00"/>
    <n v="10.8"/>
    <x v="1"/>
    <n v="13000"/>
    <x v="0"/>
    <x v="0"/>
    <n v="4"/>
    <n v="27"/>
    <x v="1"/>
    <m/>
    <x v="2"/>
    <x v="2"/>
    <x v="2"/>
    <n v="1"/>
    <n v="1"/>
    <n v="0"/>
  </r>
  <r>
    <s v="E10883"/>
    <x v="1"/>
    <x v="0"/>
    <s v="Female"/>
    <n v="27"/>
    <s v="26-35"/>
    <x v="1"/>
    <d v="2022-02-28T00:00:00"/>
    <n v="3.8"/>
    <x v="2"/>
    <n v="3200"/>
    <x v="0"/>
    <x v="2"/>
    <n v="3"/>
    <n v="14"/>
    <x v="1"/>
    <m/>
    <x v="2"/>
    <x v="2"/>
    <x v="2"/>
    <n v="1"/>
    <n v="1"/>
    <n v="0"/>
  </r>
  <r>
    <s v="E10884"/>
    <x v="5"/>
    <x v="0"/>
    <s v="Male"/>
    <n v="25"/>
    <s v="20-25"/>
    <x v="0"/>
    <d v="2024-01-26T00:00:00"/>
    <n v="1.1000000000000001"/>
    <x v="0"/>
    <n v="3500"/>
    <x v="0"/>
    <x v="1"/>
    <n v="4"/>
    <n v="15"/>
    <x v="0"/>
    <d v="2025-02-25T00:00:00"/>
    <x v="1"/>
    <x v="6"/>
    <x v="0"/>
    <n v="1"/>
    <n v="0"/>
    <n v="1"/>
  </r>
  <r>
    <s v="E10885"/>
    <x v="5"/>
    <x v="2"/>
    <s v="Male"/>
    <n v="33"/>
    <s v="26-35"/>
    <x v="0"/>
    <d v="2023-01-25T00:00:00"/>
    <n v="2.9"/>
    <x v="0"/>
    <n v="8300"/>
    <x v="1"/>
    <x v="1"/>
    <n v="4"/>
    <n v="19"/>
    <x v="1"/>
    <m/>
    <x v="2"/>
    <x v="2"/>
    <x v="2"/>
    <n v="1"/>
    <n v="1"/>
    <n v="0"/>
  </r>
  <r>
    <s v="E10886"/>
    <x v="0"/>
    <x v="2"/>
    <s v="Female"/>
    <n v="38"/>
    <s v="36-45"/>
    <x v="0"/>
    <d v="2015-09-26T00:00:00"/>
    <n v="10.3"/>
    <x v="1"/>
    <n v="6250"/>
    <x v="1"/>
    <x v="2"/>
    <n v="3"/>
    <n v="10"/>
    <x v="1"/>
    <m/>
    <x v="2"/>
    <x v="2"/>
    <x v="2"/>
    <n v="1"/>
    <n v="1"/>
    <n v="0"/>
  </r>
  <r>
    <s v="E10887"/>
    <x v="6"/>
    <x v="0"/>
    <s v="Female"/>
    <n v="28"/>
    <s v="26-35"/>
    <x v="1"/>
    <d v="2020-09-20T00:00:00"/>
    <n v="5.3"/>
    <x v="1"/>
    <n v="4200"/>
    <x v="0"/>
    <x v="0"/>
    <n v="3"/>
    <n v="31"/>
    <x v="1"/>
    <m/>
    <x v="2"/>
    <x v="2"/>
    <x v="2"/>
    <n v="1"/>
    <n v="1"/>
    <n v="0"/>
  </r>
  <r>
    <s v="E10888"/>
    <x v="1"/>
    <x v="2"/>
    <s v="Male"/>
    <n v="31"/>
    <s v="26-35"/>
    <x v="0"/>
    <d v="2021-03-02T00:00:00"/>
    <n v="4.8"/>
    <x v="2"/>
    <n v="7250"/>
    <x v="0"/>
    <x v="4"/>
    <n v="4"/>
    <n v="20"/>
    <x v="1"/>
    <m/>
    <x v="2"/>
    <x v="2"/>
    <x v="2"/>
    <n v="1"/>
    <n v="1"/>
    <n v="0"/>
  </r>
  <r>
    <s v="E10889"/>
    <x v="1"/>
    <x v="1"/>
    <s v="Female"/>
    <n v="39"/>
    <s v="36-45"/>
    <x v="1"/>
    <d v="2014-09-04T00:00:00"/>
    <n v="11.3"/>
    <x v="1"/>
    <n v="4400"/>
    <x v="1"/>
    <x v="0"/>
    <n v="5"/>
    <n v="35"/>
    <x v="1"/>
    <m/>
    <x v="2"/>
    <x v="2"/>
    <x v="2"/>
    <n v="1"/>
    <n v="1"/>
    <n v="0"/>
  </r>
  <r>
    <s v="E10890"/>
    <x v="3"/>
    <x v="2"/>
    <s v="Male"/>
    <n v="41"/>
    <s v="36-45"/>
    <x v="2"/>
    <d v="2020-01-01T00:00:00"/>
    <n v="6"/>
    <x v="1"/>
    <n v="10400"/>
    <x v="0"/>
    <x v="0"/>
    <n v="4"/>
    <n v="12"/>
    <x v="1"/>
    <m/>
    <x v="2"/>
    <x v="2"/>
    <x v="2"/>
    <n v="1"/>
    <n v="1"/>
    <n v="0"/>
  </r>
  <r>
    <s v="E10891"/>
    <x v="1"/>
    <x v="2"/>
    <s v="Female"/>
    <n v="34"/>
    <s v="26-35"/>
    <x v="0"/>
    <d v="2022-01-17T00:00:00"/>
    <n v="2.1"/>
    <x v="0"/>
    <n v="5400"/>
    <x v="1"/>
    <x v="4"/>
    <n v="3"/>
    <n v="9"/>
    <x v="0"/>
    <d v="2024-03-05T00:00:00"/>
    <x v="0"/>
    <x v="3"/>
    <x v="3"/>
    <n v="1"/>
    <n v="0"/>
    <n v="1"/>
  </r>
  <r>
    <s v="E10892"/>
    <x v="1"/>
    <x v="3"/>
    <s v="Female"/>
    <n v="40"/>
    <s v="36-45"/>
    <x v="1"/>
    <d v="2017-12-03T00:00:00"/>
    <n v="6.1"/>
    <x v="1"/>
    <n v="10950"/>
    <x v="1"/>
    <x v="1"/>
    <n v="3"/>
    <n v="35"/>
    <x v="0"/>
    <d v="2024-01-11T00:00:00"/>
    <x v="0"/>
    <x v="7"/>
    <x v="5"/>
    <n v="1"/>
    <n v="0"/>
    <n v="1"/>
  </r>
  <r>
    <s v="E10893"/>
    <x v="0"/>
    <x v="0"/>
    <s v="Female"/>
    <n v="21"/>
    <s v="20-25"/>
    <x v="0"/>
    <d v="2025-11-13T00:00:00"/>
    <n v="0.1"/>
    <x v="3"/>
    <n v="2650"/>
    <x v="1"/>
    <x v="0"/>
    <n v="3"/>
    <n v="32"/>
    <x v="1"/>
    <m/>
    <x v="2"/>
    <x v="2"/>
    <x v="2"/>
    <n v="1"/>
    <n v="1"/>
    <n v="0"/>
  </r>
  <r>
    <s v="E10894"/>
    <x v="1"/>
    <x v="0"/>
    <s v="Female"/>
    <n v="32"/>
    <s v="26-35"/>
    <x v="0"/>
    <d v="2018-01-26T00:00:00"/>
    <n v="7.9"/>
    <x v="1"/>
    <n v="3200"/>
    <x v="0"/>
    <x v="3"/>
    <n v="3"/>
    <n v="22"/>
    <x v="1"/>
    <m/>
    <x v="2"/>
    <x v="2"/>
    <x v="2"/>
    <n v="1"/>
    <n v="1"/>
    <n v="0"/>
  </r>
  <r>
    <s v="E10895"/>
    <x v="5"/>
    <x v="2"/>
    <s v="Female"/>
    <n v="37"/>
    <s v="36-45"/>
    <x v="0"/>
    <d v="2019-11-16T00:00:00"/>
    <n v="6.1"/>
    <x v="1"/>
    <n v="7800"/>
    <x v="0"/>
    <x v="1"/>
    <n v="3"/>
    <n v="11"/>
    <x v="1"/>
    <m/>
    <x v="2"/>
    <x v="2"/>
    <x v="2"/>
    <n v="1"/>
    <n v="1"/>
    <n v="0"/>
  </r>
  <r>
    <s v="E10896"/>
    <x v="3"/>
    <x v="1"/>
    <s v="Female"/>
    <n v="33"/>
    <s v="26-35"/>
    <x v="0"/>
    <d v="2022-04-03T00:00:00"/>
    <n v="3.7"/>
    <x v="2"/>
    <n v="8500"/>
    <x v="0"/>
    <x v="2"/>
    <n v="3"/>
    <n v="22"/>
    <x v="1"/>
    <m/>
    <x v="2"/>
    <x v="2"/>
    <x v="2"/>
    <n v="1"/>
    <n v="1"/>
    <n v="0"/>
  </r>
  <r>
    <s v="E10897"/>
    <x v="5"/>
    <x v="1"/>
    <s v="Female"/>
    <n v="22"/>
    <s v="20-25"/>
    <x v="0"/>
    <d v="2025-07-13T00:00:00"/>
    <n v="0.1"/>
    <x v="3"/>
    <n v="3900"/>
    <x v="1"/>
    <x v="0"/>
    <n v="4"/>
    <n v="19"/>
    <x v="0"/>
    <d v="2025-08-06T00:00:00"/>
    <x v="1"/>
    <x v="1"/>
    <x v="0"/>
    <n v="1"/>
    <n v="0"/>
    <n v="1"/>
  </r>
  <r>
    <s v="E10898"/>
    <x v="1"/>
    <x v="0"/>
    <s v="Male"/>
    <n v="30"/>
    <s v="26-35"/>
    <x v="1"/>
    <d v="2021-10-31T00:00:00"/>
    <n v="4.2"/>
    <x v="2"/>
    <n v="3950"/>
    <x v="0"/>
    <x v="1"/>
    <n v="4"/>
    <n v="12"/>
    <x v="1"/>
    <m/>
    <x v="2"/>
    <x v="2"/>
    <x v="2"/>
    <n v="1"/>
    <n v="1"/>
    <n v="0"/>
  </r>
  <r>
    <s v="E10899"/>
    <x v="1"/>
    <x v="2"/>
    <s v="Female"/>
    <n v="38"/>
    <s v="36-45"/>
    <x v="1"/>
    <d v="2020-12-04T00:00:00"/>
    <n v="5.0999999999999996"/>
    <x v="1"/>
    <n v="6300"/>
    <x v="1"/>
    <x v="0"/>
    <n v="3"/>
    <n v="20"/>
    <x v="1"/>
    <m/>
    <x v="2"/>
    <x v="2"/>
    <x v="2"/>
    <n v="1"/>
    <n v="1"/>
    <n v="0"/>
  </r>
  <r>
    <s v="E10900"/>
    <x v="3"/>
    <x v="2"/>
    <s v="Female"/>
    <n v="37"/>
    <s v="36-45"/>
    <x v="0"/>
    <d v="2014-04-02T00:00:00"/>
    <n v="11.7"/>
    <x v="1"/>
    <n v="12400"/>
    <x v="0"/>
    <x v="1"/>
    <n v="4"/>
    <n v="30"/>
    <x v="1"/>
    <m/>
    <x v="2"/>
    <x v="2"/>
    <x v="2"/>
    <n v="1"/>
    <n v="1"/>
    <n v="0"/>
  </r>
  <r>
    <s v="E10901"/>
    <x v="6"/>
    <x v="0"/>
    <s v="Female"/>
    <n v="21"/>
    <s v="20-25"/>
    <x v="1"/>
    <d v="2025-09-18T00:00:00"/>
    <n v="0.3"/>
    <x v="3"/>
    <n v="4750"/>
    <x v="0"/>
    <x v="1"/>
    <n v="5"/>
    <n v="21"/>
    <x v="1"/>
    <m/>
    <x v="2"/>
    <x v="2"/>
    <x v="2"/>
    <n v="1"/>
    <n v="1"/>
    <n v="0"/>
  </r>
  <r>
    <s v="E10902"/>
    <x v="3"/>
    <x v="2"/>
    <s v="Female"/>
    <n v="36"/>
    <s v="36-45"/>
    <x v="1"/>
    <d v="2016-10-12T00:00:00"/>
    <n v="9.1999999999999993"/>
    <x v="1"/>
    <n v="11200"/>
    <x v="0"/>
    <x v="0"/>
    <n v="5"/>
    <n v="43"/>
    <x v="1"/>
    <m/>
    <x v="2"/>
    <x v="2"/>
    <x v="2"/>
    <n v="1"/>
    <n v="1"/>
    <n v="0"/>
  </r>
  <r>
    <s v="E10903"/>
    <x v="0"/>
    <x v="0"/>
    <s v="Male"/>
    <n v="21"/>
    <s v="20-25"/>
    <x v="1"/>
    <d v="2025-11-14T00:00:00"/>
    <n v="0"/>
    <x v="3"/>
    <n v="2650"/>
    <x v="1"/>
    <x v="4"/>
    <n v="3"/>
    <n v="18"/>
    <x v="0"/>
    <d v="2025-11-24T00:00:00"/>
    <x v="1"/>
    <x v="10"/>
    <x v="1"/>
    <n v="1"/>
    <n v="0"/>
    <n v="1"/>
  </r>
  <r>
    <s v="E10904"/>
    <x v="1"/>
    <x v="1"/>
    <s v="Male"/>
    <n v="34"/>
    <s v="26-35"/>
    <x v="0"/>
    <d v="2016-09-28T00:00:00"/>
    <n v="7.5"/>
    <x v="1"/>
    <n v="4400"/>
    <x v="1"/>
    <x v="0"/>
    <n v="3"/>
    <n v="15"/>
    <x v="0"/>
    <d v="2024-04-13T00:00:00"/>
    <x v="0"/>
    <x v="8"/>
    <x v="3"/>
    <n v="1"/>
    <n v="0"/>
    <n v="1"/>
  </r>
  <r>
    <s v="E10905"/>
    <x v="5"/>
    <x v="0"/>
    <s v="Male"/>
    <n v="31"/>
    <s v="26-35"/>
    <x v="1"/>
    <d v="2023-09-30T00:00:00"/>
    <n v="2.2999999999999998"/>
    <x v="0"/>
    <n v="4450"/>
    <x v="0"/>
    <x v="0"/>
    <n v="4"/>
    <n v="29"/>
    <x v="1"/>
    <m/>
    <x v="2"/>
    <x v="2"/>
    <x v="2"/>
    <n v="1"/>
    <n v="1"/>
    <n v="0"/>
  </r>
  <r>
    <s v="E10906"/>
    <x v="5"/>
    <x v="0"/>
    <s v="Male"/>
    <n v="24"/>
    <s v="20-25"/>
    <x v="1"/>
    <d v="2025-07-19T00:00:00"/>
    <n v="0.1"/>
    <x v="3"/>
    <n v="4500"/>
    <x v="1"/>
    <x v="4"/>
    <n v="4"/>
    <n v="35"/>
    <x v="0"/>
    <d v="2025-08-13T00:00:00"/>
    <x v="1"/>
    <x v="1"/>
    <x v="1"/>
    <n v="1"/>
    <n v="0"/>
    <n v="1"/>
  </r>
  <r>
    <s v="E10907"/>
    <x v="2"/>
    <x v="2"/>
    <s v="Male"/>
    <n v="40"/>
    <s v="36-45"/>
    <x v="2"/>
    <d v="2015-05-18T00:00:00"/>
    <n v="10.6"/>
    <x v="1"/>
    <n v="8700"/>
    <x v="0"/>
    <x v="1"/>
    <n v="3"/>
    <n v="23"/>
    <x v="1"/>
    <m/>
    <x v="2"/>
    <x v="2"/>
    <x v="2"/>
    <n v="1"/>
    <n v="1"/>
    <n v="0"/>
  </r>
  <r>
    <s v="E10908"/>
    <x v="1"/>
    <x v="2"/>
    <s v="Female"/>
    <n v="44"/>
    <s v="36-45"/>
    <x v="0"/>
    <d v="2019-06-30T00:00:00"/>
    <n v="6.5"/>
    <x v="1"/>
    <n v="6800"/>
    <x v="0"/>
    <x v="0"/>
    <n v="4"/>
    <n v="29"/>
    <x v="1"/>
    <m/>
    <x v="2"/>
    <x v="2"/>
    <x v="2"/>
    <n v="1"/>
    <n v="1"/>
    <n v="0"/>
  </r>
  <r>
    <s v="E10909"/>
    <x v="6"/>
    <x v="0"/>
    <s v="Female"/>
    <n v="25"/>
    <s v="20-25"/>
    <x v="0"/>
    <d v="2023-11-03T00:00:00"/>
    <n v="2.2000000000000002"/>
    <x v="0"/>
    <n v="4550"/>
    <x v="0"/>
    <x v="4"/>
    <n v="5"/>
    <n v="16"/>
    <x v="1"/>
    <m/>
    <x v="2"/>
    <x v="2"/>
    <x v="2"/>
    <n v="1"/>
    <n v="1"/>
    <n v="0"/>
  </r>
  <r>
    <s v="E10910"/>
    <x v="1"/>
    <x v="1"/>
    <s v="Male"/>
    <n v="34"/>
    <s v="26-35"/>
    <x v="1"/>
    <d v="2022-07-17T00:00:00"/>
    <n v="3.5"/>
    <x v="2"/>
    <n v="4000"/>
    <x v="0"/>
    <x v="1"/>
    <n v="5"/>
    <n v="22"/>
    <x v="1"/>
    <m/>
    <x v="2"/>
    <x v="2"/>
    <x v="2"/>
    <n v="1"/>
    <n v="1"/>
    <n v="0"/>
  </r>
  <r>
    <s v="E10911"/>
    <x v="5"/>
    <x v="1"/>
    <s v="Male"/>
    <n v="39"/>
    <s v="36-45"/>
    <x v="1"/>
    <d v="2019-02-11T00:00:00"/>
    <n v="6.9"/>
    <x v="1"/>
    <n v="5450"/>
    <x v="0"/>
    <x v="0"/>
    <n v="3"/>
    <n v="11"/>
    <x v="1"/>
    <m/>
    <x v="2"/>
    <x v="2"/>
    <x v="2"/>
    <n v="1"/>
    <n v="1"/>
    <n v="0"/>
  </r>
  <r>
    <s v="E10912"/>
    <x v="5"/>
    <x v="1"/>
    <s v="Male"/>
    <n v="33"/>
    <s v="26-35"/>
    <x v="0"/>
    <d v="2022-06-24T00:00:00"/>
    <n v="1.9"/>
    <x v="0"/>
    <n v="5400"/>
    <x v="0"/>
    <x v="0"/>
    <n v="3"/>
    <n v="21"/>
    <x v="0"/>
    <d v="2024-05-03T00:00:00"/>
    <x v="0"/>
    <x v="9"/>
    <x v="0"/>
    <n v="1"/>
    <n v="0"/>
    <n v="1"/>
  </r>
  <r>
    <s v="E10913"/>
    <x v="6"/>
    <x v="2"/>
    <s v="Female"/>
    <n v="38"/>
    <s v="36-45"/>
    <x v="0"/>
    <d v="2023-08-03T00:00:00"/>
    <n v="2.4"/>
    <x v="0"/>
    <n v="6150"/>
    <x v="1"/>
    <x v="1"/>
    <n v="3"/>
    <n v="5"/>
    <x v="1"/>
    <m/>
    <x v="2"/>
    <x v="2"/>
    <x v="2"/>
    <n v="1"/>
    <n v="1"/>
    <n v="0"/>
  </r>
  <r>
    <s v="E10914"/>
    <x v="0"/>
    <x v="0"/>
    <s v="Female"/>
    <n v="23"/>
    <s v="20-25"/>
    <x v="1"/>
    <d v="2024-12-18T00:00:00"/>
    <n v="1"/>
    <x v="3"/>
    <n v="3700"/>
    <x v="0"/>
    <x v="1"/>
    <n v="4"/>
    <n v="40"/>
    <x v="1"/>
    <m/>
    <x v="2"/>
    <x v="2"/>
    <x v="2"/>
    <n v="1"/>
    <n v="1"/>
    <n v="0"/>
  </r>
  <r>
    <s v="E10915"/>
    <x v="0"/>
    <x v="0"/>
    <s v="Male"/>
    <n v="25"/>
    <s v="20-25"/>
    <x v="0"/>
    <d v="2025-03-08T00:00:00"/>
    <n v="0.8"/>
    <x v="3"/>
    <n v="2700"/>
    <x v="1"/>
    <x v="1"/>
    <n v="4"/>
    <n v="34"/>
    <x v="1"/>
    <m/>
    <x v="2"/>
    <x v="2"/>
    <x v="2"/>
    <n v="1"/>
    <n v="1"/>
    <n v="0"/>
  </r>
  <r>
    <s v="E10916"/>
    <x v="5"/>
    <x v="1"/>
    <s v="Male"/>
    <n v="37"/>
    <s v="36-45"/>
    <x v="2"/>
    <d v="2020-07-18T00:00:00"/>
    <n v="5.5"/>
    <x v="1"/>
    <n v="5900"/>
    <x v="0"/>
    <x v="1"/>
    <n v="3"/>
    <n v="23"/>
    <x v="1"/>
    <m/>
    <x v="2"/>
    <x v="2"/>
    <x v="2"/>
    <n v="1"/>
    <n v="1"/>
    <n v="0"/>
  </r>
  <r>
    <s v="E10917"/>
    <x v="1"/>
    <x v="1"/>
    <s v="Female"/>
    <n v="21"/>
    <s v="20-25"/>
    <x v="2"/>
    <d v="2025-10-30T00:00:00"/>
    <n v="0.2"/>
    <x v="3"/>
    <n v="4600"/>
    <x v="0"/>
    <x v="0"/>
    <n v="3"/>
    <n v="16"/>
    <x v="1"/>
    <m/>
    <x v="2"/>
    <x v="2"/>
    <x v="2"/>
    <n v="1"/>
    <n v="1"/>
    <n v="0"/>
  </r>
  <r>
    <s v="E10918"/>
    <x v="3"/>
    <x v="0"/>
    <s v="Female"/>
    <n v="25"/>
    <s v="20-25"/>
    <x v="1"/>
    <d v="2023-04-05T00:00:00"/>
    <n v="2.7"/>
    <x v="0"/>
    <n v="5600"/>
    <x v="0"/>
    <x v="0"/>
    <n v="3"/>
    <n v="26"/>
    <x v="1"/>
    <m/>
    <x v="2"/>
    <x v="2"/>
    <x v="2"/>
    <n v="1"/>
    <n v="1"/>
    <n v="0"/>
  </r>
  <r>
    <s v="E10919"/>
    <x v="3"/>
    <x v="0"/>
    <s v="Male"/>
    <n v="21"/>
    <s v="20-25"/>
    <x v="0"/>
    <d v="2025-11-23T00:00:00"/>
    <n v="0.1"/>
    <x v="3"/>
    <n v="6150"/>
    <x v="1"/>
    <x v="1"/>
    <n v="3"/>
    <n v="8"/>
    <x v="1"/>
    <m/>
    <x v="2"/>
    <x v="2"/>
    <x v="2"/>
    <n v="1"/>
    <n v="1"/>
    <n v="0"/>
  </r>
  <r>
    <s v="E10920"/>
    <x v="3"/>
    <x v="0"/>
    <s v="Female"/>
    <n v="26"/>
    <s v="26-35"/>
    <x v="1"/>
    <d v="2023-01-05T00:00:00"/>
    <n v="3"/>
    <x v="0"/>
    <n v="6950"/>
    <x v="0"/>
    <x v="0"/>
    <n v="3"/>
    <n v="31"/>
    <x v="1"/>
    <m/>
    <x v="2"/>
    <x v="2"/>
    <x v="2"/>
    <n v="1"/>
    <n v="1"/>
    <n v="0"/>
  </r>
  <r>
    <s v="E10921"/>
    <x v="5"/>
    <x v="1"/>
    <s v="Male"/>
    <n v="29"/>
    <s v="26-35"/>
    <x v="1"/>
    <d v="2021-04-19T00:00:00"/>
    <n v="4.7"/>
    <x v="2"/>
    <n v="6450"/>
    <x v="0"/>
    <x v="1"/>
    <n v="4"/>
    <n v="10"/>
    <x v="1"/>
    <m/>
    <x v="2"/>
    <x v="2"/>
    <x v="2"/>
    <n v="1"/>
    <n v="1"/>
    <n v="0"/>
  </r>
  <r>
    <s v="E10922"/>
    <x v="3"/>
    <x v="0"/>
    <s v="Male"/>
    <n v="32"/>
    <s v="26-35"/>
    <x v="1"/>
    <d v="2020-07-06T00:00:00"/>
    <n v="5.5"/>
    <x v="1"/>
    <n v="6400"/>
    <x v="1"/>
    <x v="1"/>
    <n v="4"/>
    <n v="14"/>
    <x v="1"/>
    <m/>
    <x v="2"/>
    <x v="2"/>
    <x v="2"/>
    <n v="1"/>
    <n v="1"/>
    <n v="0"/>
  </r>
  <r>
    <s v="E10923"/>
    <x v="1"/>
    <x v="0"/>
    <s v="Female"/>
    <n v="30"/>
    <s v="26-35"/>
    <x v="1"/>
    <d v="2023-11-12T00:00:00"/>
    <n v="2.1"/>
    <x v="0"/>
    <n v="3700"/>
    <x v="0"/>
    <x v="0"/>
    <n v="3"/>
    <n v="35"/>
    <x v="1"/>
    <m/>
    <x v="2"/>
    <x v="2"/>
    <x v="2"/>
    <n v="1"/>
    <n v="1"/>
    <n v="0"/>
  </r>
  <r>
    <s v="E10924"/>
    <x v="1"/>
    <x v="1"/>
    <s v="Male"/>
    <n v="32"/>
    <s v="26-35"/>
    <x v="1"/>
    <d v="2018-07-25T00:00:00"/>
    <n v="7.4"/>
    <x v="1"/>
    <n v="3850"/>
    <x v="1"/>
    <x v="1"/>
    <n v="3"/>
    <n v="37"/>
    <x v="1"/>
    <m/>
    <x v="2"/>
    <x v="2"/>
    <x v="2"/>
    <n v="1"/>
    <n v="1"/>
    <n v="0"/>
  </r>
  <r>
    <s v="E10925"/>
    <x v="3"/>
    <x v="1"/>
    <s v="Female"/>
    <n v="29"/>
    <s v="26-35"/>
    <x v="1"/>
    <d v="2022-01-26T00:00:00"/>
    <n v="3.9"/>
    <x v="2"/>
    <n v="9100"/>
    <x v="0"/>
    <x v="1"/>
    <n v="5"/>
    <n v="22"/>
    <x v="1"/>
    <m/>
    <x v="2"/>
    <x v="2"/>
    <x v="2"/>
    <n v="1"/>
    <n v="1"/>
    <n v="0"/>
  </r>
  <r>
    <s v="E10926"/>
    <x v="1"/>
    <x v="0"/>
    <s v="Male"/>
    <n v="21"/>
    <s v="20-25"/>
    <x v="0"/>
    <d v="2025-11-10T00:00:00"/>
    <n v="0.1"/>
    <x v="3"/>
    <n v="4000"/>
    <x v="0"/>
    <x v="1"/>
    <n v="5"/>
    <n v="17"/>
    <x v="1"/>
    <m/>
    <x v="2"/>
    <x v="2"/>
    <x v="2"/>
    <n v="1"/>
    <n v="1"/>
    <n v="0"/>
  </r>
  <r>
    <s v="E10927"/>
    <x v="1"/>
    <x v="2"/>
    <s v="Male"/>
    <n v="41"/>
    <s v="36-45"/>
    <x v="0"/>
    <d v="2020-09-11T00:00:00"/>
    <n v="5.3"/>
    <x v="1"/>
    <n v="5800"/>
    <x v="1"/>
    <x v="0"/>
    <n v="3"/>
    <n v="8"/>
    <x v="1"/>
    <m/>
    <x v="2"/>
    <x v="2"/>
    <x v="2"/>
    <n v="1"/>
    <n v="1"/>
    <n v="0"/>
  </r>
  <r>
    <s v="E10928"/>
    <x v="3"/>
    <x v="2"/>
    <s v="Female"/>
    <n v="51"/>
    <s v="46+"/>
    <x v="1"/>
    <d v="2014-01-15T00:00:00"/>
    <n v="12"/>
    <x v="1"/>
    <n v="11800"/>
    <x v="0"/>
    <x v="0"/>
    <n v="3"/>
    <n v="19"/>
    <x v="1"/>
    <m/>
    <x v="2"/>
    <x v="2"/>
    <x v="2"/>
    <n v="1"/>
    <n v="1"/>
    <n v="0"/>
  </r>
  <r>
    <s v="E10929"/>
    <x v="1"/>
    <x v="1"/>
    <s v="Female"/>
    <n v="37"/>
    <s v="36-45"/>
    <x v="1"/>
    <d v="2022-06-21T00:00:00"/>
    <n v="3.5"/>
    <x v="2"/>
    <n v="3750"/>
    <x v="0"/>
    <x v="4"/>
    <n v="3"/>
    <n v="27"/>
    <x v="1"/>
    <m/>
    <x v="2"/>
    <x v="2"/>
    <x v="2"/>
    <n v="1"/>
    <n v="1"/>
    <n v="0"/>
  </r>
  <r>
    <s v="E10930"/>
    <x v="6"/>
    <x v="0"/>
    <s v="Male"/>
    <n v="21"/>
    <s v="20-25"/>
    <x v="0"/>
    <d v="2025-11-27T00:00:00"/>
    <n v="0.1"/>
    <x v="3"/>
    <n v="5000"/>
    <x v="1"/>
    <x v="1"/>
    <n v="2"/>
    <n v="9"/>
    <x v="1"/>
    <m/>
    <x v="2"/>
    <x v="2"/>
    <x v="2"/>
    <n v="1"/>
    <n v="1"/>
    <n v="0"/>
  </r>
  <r>
    <s v="E10931"/>
    <x v="1"/>
    <x v="0"/>
    <s v="Female"/>
    <n v="29"/>
    <s v="26-35"/>
    <x v="1"/>
    <d v="2023-07-06T00:00:00"/>
    <n v="2.5"/>
    <x v="0"/>
    <n v="4350"/>
    <x v="0"/>
    <x v="0"/>
    <n v="3"/>
    <n v="16"/>
    <x v="1"/>
    <m/>
    <x v="2"/>
    <x v="2"/>
    <x v="2"/>
    <n v="1"/>
    <n v="1"/>
    <n v="0"/>
  </r>
  <r>
    <s v="E10932"/>
    <x v="4"/>
    <x v="0"/>
    <s v="Male"/>
    <n v="35"/>
    <s v="26-35"/>
    <x v="1"/>
    <d v="2020-09-04T00:00:00"/>
    <n v="5.3"/>
    <x v="1"/>
    <n v="4550"/>
    <x v="0"/>
    <x v="1"/>
    <n v="5"/>
    <n v="32"/>
    <x v="1"/>
    <m/>
    <x v="2"/>
    <x v="2"/>
    <x v="2"/>
    <n v="1"/>
    <n v="1"/>
    <n v="0"/>
  </r>
  <r>
    <s v="E10933"/>
    <x v="1"/>
    <x v="1"/>
    <s v="Male"/>
    <n v="31"/>
    <s v="26-35"/>
    <x v="0"/>
    <d v="2022-07-06T00:00:00"/>
    <n v="3.5"/>
    <x v="2"/>
    <n v="4300"/>
    <x v="0"/>
    <x v="1"/>
    <n v="4"/>
    <n v="3"/>
    <x v="1"/>
    <m/>
    <x v="2"/>
    <x v="2"/>
    <x v="2"/>
    <n v="1"/>
    <n v="1"/>
    <n v="0"/>
  </r>
  <r>
    <s v="E10934"/>
    <x v="5"/>
    <x v="1"/>
    <s v="Male"/>
    <n v="28"/>
    <s v="26-35"/>
    <x v="1"/>
    <d v="2020-08-18T00:00:00"/>
    <n v="5.4"/>
    <x v="1"/>
    <n v="5500"/>
    <x v="0"/>
    <x v="1"/>
    <n v="3"/>
    <n v="21"/>
    <x v="1"/>
    <m/>
    <x v="2"/>
    <x v="2"/>
    <x v="2"/>
    <n v="1"/>
    <n v="1"/>
    <n v="0"/>
  </r>
  <r>
    <s v="E10935"/>
    <x v="2"/>
    <x v="0"/>
    <s v="Male"/>
    <n v="34"/>
    <s v="26-35"/>
    <x v="0"/>
    <d v="2019-07-02T00:00:00"/>
    <n v="6.5"/>
    <x v="1"/>
    <n v="5550"/>
    <x v="0"/>
    <x v="0"/>
    <n v="3"/>
    <n v="43"/>
    <x v="1"/>
    <m/>
    <x v="2"/>
    <x v="2"/>
    <x v="2"/>
    <n v="1"/>
    <n v="1"/>
    <n v="0"/>
  </r>
  <r>
    <s v="E10936"/>
    <x v="5"/>
    <x v="2"/>
    <s v="Female"/>
    <n v="37"/>
    <s v="36-45"/>
    <x v="1"/>
    <d v="2014-02-07T00:00:00"/>
    <n v="10.4"/>
    <x v="1"/>
    <n v="5750"/>
    <x v="1"/>
    <x v="1"/>
    <n v="3"/>
    <n v="25"/>
    <x v="0"/>
    <d v="2024-06-29T00:00:00"/>
    <x v="0"/>
    <x v="0"/>
    <x v="0"/>
    <n v="1"/>
    <n v="0"/>
    <n v="1"/>
  </r>
  <r>
    <s v="E10937"/>
    <x v="5"/>
    <x v="1"/>
    <s v="Male"/>
    <n v="29"/>
    <s v="26-35"/>
    <x v="0"/>
    <d v="2020-03-23T00:00:00"/>
    <n v="5.8"/>
    <x v="1"/>
    <n v="5900"/>
    <x v="1"/>
    <x v="0"/>
    <n v="2"/>
    <n v="35"/>
    <x v="1"/>
    <m/>
    <x v="2"/>
    <x v="2"/>
    <x v="2"/>
    <n v="1"/>
    <n v="1"/>
    <n v="0"/>
  </r>
  <r>
    <s v="E10938"/>
    <x v="0"/>
    <x v="1"/>
    <s v="Male"/>
    <n v="36"/>
    <s v="36-45"/>
    <x v="2"/>
    <d v="2023-05-05T00:00:00"/>
    <n v="2.7"/>
    <x v="0"/>
    <n v="3850"/>
    <x v="0"/>
    <x v="2"/>
    <n v="3"/>
    <n v="17"/>
    <x v="1"/>
    <m/>
    <x v="2"/>
    <x v="2"/>
    <x v="2"/>
    <n v="1"/>
    <n v="1"/>
    <n v="0"/>
  </r>
  <r>
    <s v="E10939"/>
    <x v="1"/>
    <x v="0"/>
    <s v="Male"/>
    <n v="21"/>
    <s v="20-25"/>
    <x v="1"/>
    <d v="2025-10-10T00:00:00"/>
    <n v="0.2"/>
    <x v="3"/>
    <n v="3750"/>
    <x v="0"/>
    <x v="2"/>
    <n v="3"/>
    <n v="9"/>
    <x v="1"/>
    <m/>
    <x v="2"/>
    <x v="2"/>
    <x v="2"/>
    <n v="1"/>
    <n v="1"/>
    <n v="0"/>
  </r>
  <r>
    <s v="E10940"/>
    <x v="0"/>
    <x v="2"/>
    <s v="Male"/>
    <n v="40"/>
    <s v="36-45"/>
    <x v="1"/>
    <d v="2017-10-09T00:00:00"/>
    <n v="8.1999999999999993"/>
    <x v="1"/>
    <n v="5200"/>
    <x v="0"/>
    <x v="2"/>
    <n v="5"/>
    <n v="24"/>
    <x v="1"/>
    <m/>
    <x v="2"/>
    <x v="2"/>
    <x v="2"/>
    <n v="1"/>
    <n v="1"/>
    <n v="0"/>
  </r>
  <r>
    <s v="E10941"/>
    <x v="0"/>
    <x v="1"/>
    <s v="Male"/>
    <n v="30"/>
    <s v="26-35"/>
    <x v="0"/>
    <d v="2022-02-24T00:00:00"/>
    <n v="2.4"/>
    <x v="0"/>
    <n v="3950"/>
    <x v="0"/>
    <x v="1"/>
    <n v="4"/>
    <n v="22"/>
    <x v="0"/>
    <d v="2024-07-31T00:00:00"/>
    <x v="0"/>
    <x v="4"/>
    <x v="1"/>
    <n v="1"/>
    <n v="0"/>
    <n v="1"/>
  </r>
  <r>
    <s v="E10942"/>
    <x v="0"/>
    <x v="0"/>
    <s v="Male"/>
    <n v="21"/>
    <s v="20-25"/>
    <x v="1"/>
    <d v="2025-11-12T00:00:00"/>
    <n v="0.1"/>
    <x v="3"/>
    <n v="2950"/>
    <x v="0"/>
    <x v="4"/>
    <n v="5"/>
    <n v="22"/>
    <x v="1"/>
    <m/>
    <x v="2"/>
    <x v="2"/>
    <x v="2"/>
    <n v="1"/>
    <n v="1"/>
    <n v="0"/>
  </r>
  <r>
    <s v="E10943"/>
    <x v="3"/>
    <x v="3"/>
    <s v="Male"/>
    <n v="47"/>
    <s v="46+"/>
    <x v="1"/>
    <d v="2011-08-31T00:00:00"/>
    <n v="14.3"/>
    <x v="1"/>
    <n v="14200"/>
    <x v="0"/>
    <x v="2"/>
    <n v="2"/>
    <n v="24"/>
    <x v="1"/>
    <m/>
    <x v="2"/>
    <x v="2"/>
    <x v="2"/>
    <n v="1"/>
    <n v="1"/>
    <n v="0"/>
  </r>
  <r>
    <s v="E10944"/>
    <x v="1"/>
    <x v="1"/>
    <s v="Male"/>
    <n v="40"/>
    <s v="36-45"/>
    <x v="1"/>
    <d v="2015-08-19T00:00:00"/>
    <n v="10.4"/>
    <x v="1"/>
    <n v="4600"/>
    <x v="1"/>
    <x v="1"/>
    <n v="3"/>
    <n v="30"/>
    <x v="1"/>
    <m/>
    <x v="2"/>
    <x v="2"/>
    <x v="2"/>
    <n v="1"/>
    <n v="1"/>
    <n v="0"/>
  </r>
  <r>
    <s v="E10945"/>
    <x v="5"/>
    <x v="0"/>
    <s v="Female"/>
    <n v="29"/>
    <s v="26-35"/>
    <x v="1"/>
    <d v="2022-06-25T00:00:00"/>
    <n v="3.5"/>
    <x v="2"/>
    <n v="4400"/>
    <x v="1"/>
    <x v="4"/>
    <n v="2"/>
    <n v="35"/>
    <x v="1"/>
    <m/>
    <x v="2"/>
    <x v="2"/>
    <x v="2"/>
    <n v="1"/>
    <n v="1"/>
    <n v="0"/>
  </r>
  <r>
    <s v="E10946"/>
    <x v="1"/>
    <x v="3"/>
    <s v="Female"/>
    <n v="45"/>
    <s v="36-45"/>
    <x v="1"/>
    <d v="2022-02-21T00:00:00"/>
    <n v="3.9"/>
    <x v="2"/>
    <n v="7600"/>
    <x v="0"/>
    <x v="2"/>
    <n v="2"/>
    <n v="40"/>
    <x v="1"/>
    <m/>
    <x v="2"/>
    <x v="2"/>
    <x v="2"/>
    <n v="1"/>
    <n v="1"/>
    <n v="0"/>
  </r>
  <r>
    <s v="E10947"/>
    <x v="1"/>
    <x v="1"/>
    <s v="Female"/>
    <n v="35"/>
    <s v="26-35"/>
    <x v="0"/>
    <d v="2017-08-07T00:00:00"/>
    <n v="8.4"/>
    <x v="1"/>
    <n v="4250"/>
    <x v="1"/>
    <x v="0"/>
    <n v="4"/>
    <n v="21"/>
    <x v="1"/>
    <m/>
    <x v="2"/>
    <x v="2"/>
    <x v="2"/>
    <n v="1"/>
    <n v="1"/>
    <n v="0"/>
  </r>
  <r>
    <s v="E10948"/>
    <x v="1"/>
    <x v="1"/>
    <s v="Male"/>
    <n v="27"/>
    <s v="26-35"/>
    <x v="1"/>
    <d v="2023-10-14T00:00:00"/>
    <n v="2.2000000000000002"/>
    <x v="0"/>
    <n v="4600"/>
    <x v="0"/>
    <x v="1"/>
    <n v="3"/>
    <n v="26"/>
    <x v="1"/>
    <m/>
    <x v="2"/>
    <x v="2"/>
    <x v="2"/>
    <n v="1"/>
    <n v="1"/>
    <n v="0"/>
  </r>
  <r>
    <s v="E10949"/>
    <x v="3"/>
    <x v="3"/>
    <s v="Female"/>
    <n v="44"/>
    <s v="36-45"/>
    <x v="2"/>
    <d v="2019-01-02T00:00:00"/>
    <n v="7"/>
    <x v="1"/>
    <n v="17550"/>
    <x v="0"/>
    <x v="0"/>
    <n v="4"/>
    <n v="23"/>
    <x v="1"/>
    <m/>
    <x v="2"/>
    <x v="2"/>
    <x v="2"/>
    <n v="1"/>
    <n v="1"/>
    <n v="0"/>
  </r>
  <r>
    <s v="E10950"/>
    <x v="0"/>
    <x v="1"/>
    <s v="Female"/>
    <n v="29"/>
    <s v="26-35"/>
    <x v="1"/>
    <d v="2021-10-08T00:00:00"/>
    <n v="4.0999999999999996"/>
    <x v="2"/>
    <n v="3550"/>
    <x v="0"/>
    <x v="3"/>
    <n v="4"/>
    <n v="17"/>
    <x v="0"/>
    <d v="2025-11-01T00:00:00"/>
    <x v="1"/>
    <x v="10"/>
    <x v="1"/>
    <n v="1"/>
    <n v="0"/>
    <n v="1"/>
  </r>
  <r>
    <s v="E10951"/>
    <x v="6"/>
    <x v="0"/>
    <s v="Male"/>
    <n v="31"/>
    <s v="26-35"/>
    <x v="1"/>
    <d v="2022-11-16T00:00:00"/>
    <n v="3.1"/>
    <x v="2"/>
    <n v="4200"/>
    <x v="0"/>
    <x v="1"/>
    <n v="3"/>
    <n v="30"/>
    <x v="1"/>
    <m/>
    <x v="2"/>
    <x v="2"/>
    <x v="2"/>
    <n v="1"/>
    <n v="1"/>
    <n v="0"/>
  </r>
  <r>
    <s v="E10952"/>
    <x v="3"/>
    <x v="0"/>
    <s v="Female"/>
    <n v="30"/>
    <s v="26-35"/>
    <x v="0"/>
    <d v="2020-06-19T00:00:00"/>
    <n v="5.5"/>
    <x v="1"/>
    <n v="6100"/>
    <x v="0"/>
    <x v="1"/>
    <n v="3"/>
    <n v="33"/>
    <x v="1"/>
    <m/>
    <x v="2"/>
    <x v="2"/>
    <x v="2"/>
    <n v="1"/>
    <n v="1"/>
    <n v="0"/>
  </r>
  <r>
    <s v="E10953"/>
    <x v="5"/>
    <x v="0"/>
    <s v="Female"/>
    <n v="21"/>
    <s v="20-25"/>
    <x v="1"/>
    <d v="2025-10-06T00:00:00"/>
    <n v="0.2"/>
    <x v="3"/>
    <n v="3650"/>
    <x v="0"/>
    <x v="2"/>
    <n v="4"/>
    <n v="17"/>
    <x v="1"/>
    <m/>
    <x v="2"/>
    <x v="2"/>
    <x v="2"/>
    <n v="1"/>
    <n v="1"/>
    <n v="0"/>
  </r>
  <r>
    <s v="E10954"/>
    <x v="1"/>
    <x v="1"/>
    <s v="Female"/>
    <n v="36"/>
    <s v="36-45"/>
    <x v="1"/>
    <d v="2014-12-08T00:00:00"/>
    <n v="10.199999999999999"/>
    <x v="1"/>
    <n v="3950"/>
    <x v="1"/>
    <x v="4"/>
    <n v="4"/>
    <n v="26"/>
    <x v="0"/>
    <d v="2025-02-09T00:00:00"/>
    <x v="1"/>
    <x v="6"/>
    <x v="6"/>
    <n v="1"/>
    <n v="0"/>
    <n v="1"/>
  </r>
  <r>
    <s v="E10955"/>
    <x v="0"/>
    <x v="1"/>
    <s v="Female"/>
    <n v="34"/>
    <s v="26-35"/>
    <x v="2"/>
    <d v="2018-04-23T00:00:00"/>
    <n v="7.7"/>
    <x v="1"/>
    <n v="4200"/>
    <x v="0"/>
    <x v="1"/>
    <n v="4"/>
    <n v="10"/>
    <x v="1"/>
    <m/>
    <x v="2"/>
    <x v="2"/>
    <x v="2"/>
    <n v="1"/>
    <n v="1"/>
    <n v="0"/>
  </r>
  <r>
    <s v="E10956"/>
    <x v="3"/>
    <x v="1"/>
    <s v="Male"/>
    <n v="38"/>
    <s v="36-45"/>
    <x v="1"/>
    <d v="2019-03-04T00:00:00"/>
    <n v="6.8"/>
    <x v="1"/>
    <n v="7400"/>
    <x v="0"/>
    <x v="0"/>
    <n v="4"/>
    <n v="34"/>
    <x v="1"/>
    <m/>
    <x v="2"/>
    <x v="2"/>
    <x v="2"/>
    <n v="1"/>
    <n v="1"/>
    <n v="0"/>
  </r>
  <r>
    <s v="E10957"/>
    <x v="0"/>
    <x v="2"/>
    <s v="Male"/>
    <n v="37"/>
    <s v="36-45"/>
    <x v="1"/>
    <d v="2013-08-17T00:00:00"/>
    <n v="12.4"/>
    <x v="1"/>
    <n v="6150"/>
    <x v="1"/>
    <x v="0"/>
    <n v="3"/>
    <n v="21"/>
    <x v="1"/>
    <m/>
    <x v="2"/>
    <x v="2"/>
    <x v="2"/>
    <n v="1"/>
    <n v="1"/>
    <n v="0"/>
  </r>
  <r>
    <s v="E10958"/>
    <x v="3"/>
    <x v="2"/>
    <s v="Female"/>
    <n v="44"/>
    <s v="36-45"/>
    <x v="2"/>
    <d v="2019-02-11T00:00:00"/>
    <n v="6.9"/>
    <x v="1"/>
    <n v="9750"/>
    <x v="1"/>
    <x v="4"/>
    <n v="2"/>
    <n v="35"/>
    <x v="1"/>
    <m/>
    <x v="2"/>
    <x v="2"/>
    <x v="2"/>
    <n v="1"/>
    <n v="1"/>
    <n v="0"/>
  </r>
  <r>
    <s v="E10959"/>
    <x v="3"/>
    <x v="0"/>
    <s v="Male"/>
    <n v="36"/>
    <s v="36-45"/>
    <x v="0"/>
    <d v="2019-07-31T00:00:00"/>
    <n v="6.4"/>
    <x v="1"/>
    <n v="6450"/>
    <x v="0"/>
    <x v="1"/>
    <n v="4"/>
    <n v="18"/>
    <x v="1"/>
    <m/>
    <x v="2"/>
    <x v="2"/>
    <x v="2"/>
    <n v="1"/>
    <n v="1"/>
    <n v="0"/>
  </r>
  <r>
    <s v="E10960"/>
    <x v="1"/>
    <x v="0"/>
    <s v="Male"/>
    <n v="21"/>
    <s v="20-25"/>
    <x v="2"/>
    <d v="2025-10-21T00:00:00"/>
    <n v="0.2"/>
    <x v="3"/>
    <n v="3900"/>
    <x v="0"/>
    <x v="1"/>
    <n v="3"/>
    <n v="39"/>
    <x v="1"/>
    <m/>
    <x v="2"/>
    <x v="2"/>
    <x v="2"/>
    <n v="1"/>
    <n v="1"/>
    <n v="0"/>
  </r>
  <r>
    <s v="E10961"/>
    <x v="0"/>
    <x v="1"/>
    <s v="Male"/>
    <n v="34"/>
    <s v="26-35"/>
    <x v="1"/>
    <d v="2023-06-14T00:00:00"/>
    <n v="1.6"/>
    <x v="0"/>
    <n v="3800"/>
    <x v="0"/>
    <x v="1"/>
    <n v="4"/>
    <n v="31"/>
    <x v="0"/>
    <d v="2025-01-09T00:00:00"/>
    <x v="1"/>
    <x v="7"/>
    <x v="4"/>
    <n v="1"/>
    <n v="0"/>
    <n v="1"/>
  </r>
  <r>
    <s v="E10962"/>
    <x v="1"/>
    <x v="0"/>
    <s v="Male"/>
    <n v="21"/>
    <s v="20-25"/>
    <x v="1"/>
    <d v="2025-09-14T00:00:00"/>
    <n v="0.3"/>
    <x v="3"/>
    <n v="4100"/>
    <x v="0"/>
    <x v="1"/>
    <n v="4"/>
    <n v="32"/>
    <x v="1"/>
    <m/>
    <x v="2"/>
    <x v="2"/>
    <x v="2"/>
    <n v="1"/>
    <n v="1"/>
    <n v="0"/>
  </r>
  <r>
    <s v="E10963"/>
    <x v="0"/>
    <x v="1"/>
    <s v="Male"/>
    <n v="35"/>
    <s v="26-35"/>
    <x v="0"/>
    <d v="2016-10-26T00:00:00"/>
    <n v="9.1999999999999993"/>
    <x v="1"/>
    <n v="3450"/>
    <x v="0"/>
    <x v="4"/>
    <n v="3"/>
    <n v="27"/>
    <x v="1"/>
    <m/>
    <x v="2"/>
    <x v="2"/>
    <x v="2"/>
    <n v="1"/>
    <n v="1"/>
    <n v="0"/>
  </r>
  <r>
    <s v="E10964"/>
    <x v="5"/>
    <x v="1"/>
    <s v="Female"/>
    <n v="28"/>
    <s v="26-35"/>
    <x v="2"/>
    <d v="2023-03-29T00:00:00"/>
    <n v="2.8"/>
    <x v="0"/>
    <n v="5250"/>
    <x v="1"/>
    <x v="1"/>
    <n v="3"/>
    <n v="21"/>
    <x v="1"/>
    <m/>
    <x v="2"/>
    <x v="2"/>
    <x v="2"/>
    <n v="1"/>
    <n v="1"/>
    <n v="0"/>
  </r>
  <r>
    <s v="E10965"/>
    <x v="5"/>
    <x v="0"/>
    <s v="Male"/>
    <n v="27"/>
    <s v="26-35"/>
    <x v="1"/>
    <d v="2022-11-29T00:00:00"/>
    <n v="2.8"/>
    <x v="0"/>
    <n v="4250"/>
    <x v="0"/>
    <x v="1"/>
    <n v="4"/>
    <n v="15"/>
    <x v="0"/>
    <d v="2025-09-27T00:00:00"/>
    <x v="1"/>
    <x v="12"/>
    <x v="0"/>
    <n v="1"/>
    <n v="0"/>
    <n v="1"/>
  </r>
  <r>
    <s v="E10966"/>
    <x v="3"/>
    <x v="3"/>
    <s v="Female"/>
    <n v="46"/>
    <s v="46+"/>
    <x v="1"/>
    <d v="2013-06-15T00:00:00"/>
    <n v="12.5"/>
    <x v="1"/>
    <n v="15900"/>
    <x v="1"/>
    <x v="1"/>
    <n v="4"/>
    <n v="21"/>
    <x v="1"/>
    <m/>
    <x v="2"/>
    <x v="2"/>
    <x v="2"/>
    <n v="1"/>
    <n v="1"/>
    <n v="0"/>
  </r>
  <r>
    <s v="E10967"/>
    <x v="5"/>
    <x v="0"/>
    <s v="Female"/>
    <n v="27"/>
    <s v="26-35"/>
    <x v="2"/>
    <d v="2021-08-05T00:00:00"/>
    <n v="4.4000000000000004"/>
    <x v="2"/>
    <n v="4050"/>
    <x v="0"/>
    <x v="0"/>
    <n v="3"/>
    <n v="20"/>
    <x v="1"/>
    <m/>
    <x v="2"/>
    <x v="2"/>
    <x v="2"/>
    <n v="1"/>
    <n v="1"/>
    <n v="0"/>
  </r>
  <r>
    <s v="E10968"/>
    <x v="6"/>
    <x v="1"/>
    <s v="Male"/>
    <n v="21"/>
    <s v="20-25"/>
    <x v="1"/>
    <d v="2025-10-23T00:00:00"/>
    <n v="0.2"/>
    <x v="3"/>
    <n v="5800"/>
    <x v="1"/>
    <x v="1"/>
    <n v="3"/>
    <n v="32"/>
    <x v="1"/>
    <m/>
    <x v="2"/>
    <x v="2"/>
    <x v="2"/>
    <n v="1"/>
    <n v="1"/>
    <n v="0"/>
  </r>
  <r>
    <s v="E10969"/>
    <x v="5"/>
    <x v="1"/>
    <s v="Male"/>
    <n v="27"/>
    <s v="26-35"/>
    <x v="0"/>
    <d v="2024-05-03T00:00:00"/>
    <n v="1.7"/>
    <x v="0"/>
    <n v="6550"/>
    <x v="0"/>
    <x v="4"/>
    <n v="4"/>
    <n v="20"/>
    <x v="1"/>
    <m/>
    <x v="2"/>
    <x v="2"/>
    <x v="2"/>
    <n v="1"/>
    <n v="1"/>
    <n v="0"/>
  </r>
  <r>
    <s v="E10970"/>
    <x v="1"/>
    <x v="0"/>
    <s v="Male"/>
    <n v="31"/>
    <s v="26-35"/>
    <x v="2"/>
    <d v="2019-11-28T00:00:00"/>
    <n v="6.1"/>
    <x v="1"/>
    <n v="3700"/>
    <x v="1"/>
    <x v="1"/>
    <n v="4"/>
    <n v="24"/>
    <x v="1"/>
    <m/>
    <x v="2"/>
    <x v="2"/>
    <x v="2"/>
    <n v="1"/>
    <n v="1"/>
    <n v="0"/>
  </r>
  <r>
    <s v="E10971"/>
    <x v="6"/>
    <x v="1"/>
    <s v="Male"/>
    <n v="36"/>
    <s v="36-45"/>
    <x v="0"/>
    <d v="2018-04-21T00:00:00"/>
    <n v="7.7"/>
    <x v="1"/>
    <n v="5350"/>
    <x v="0"/>
    <x v="1"/>
    <n v="3"/>
    <n v="15"/>
    <x v="1"/>
    <m/>
    <x v="2"/>
    <x v="2"/>
    <x v="2"/>
    <n v="1"/>
    <n v="1"/>
    <n v="0"/>
  </r>
  <r>
    <s v="E10972"/>
    <x v="0"/>
    <x v="1"/>
    <s v="Male"/>
    <n v="34"/>
    <s v="26-35"/>
    <x v="0"/>
    <d v="2023-09-02T00:00:00"/>
    <n v="2.2999999999999998"/>
    <x v="0"/>
    <n v="4000"/>
    <x v="0"/>
    <x v="1"/>
    <n v="3"/>
    <n v="39"/>
    <x v="1"/>
    <m/>
    <x v="2"/>
    <x v="2"/>
    <x v="2"/>
    <n v="1"/>
    <n v="1"/>
    <n v="0"/>
  </r>
  <r>
    <s v="E10973"/>
    <x v="3"/>
    <x v="0"/>
    <s v="Male"/>
    <n v="25"/>
    <s v="20-25"/>
    <x v="2"/>
    <d v="2025-02-24T00:00:00"/>
    <n v="0.2"/>
    <x v="3"/>
    <n v="6250"/>
    <x v="1"/>
    <x v="1"/>
    <n v="3"/>
    <n v="23"/>
    <x v="0"/>
    <d v="2025-04-28T00:00:00"/>
    <x v="1"/>
    <x v="8"/>
    <x v="3"/>
    <n v="1"/>
    <n v="0"/>
    <n v="1"/>
  </r>
  <r>
    <s v="E10974"/>
    <x v="2"/>
    <x v="1"/>
    <s v="Male"/>
    <n v="27"/>
    <s v="26-35"/>
    <x v="0"/>
    <d v="2023-06-23T00:00:00"/>
    <n v="2.5"/>
    <x v="0"/>
    <n v="6100"/>
    <x v="0"/>
    <x v="0"/>
    <n v="3"/>
    <n v="24"/>
    <x v="1"/>
    <m/>
    <x v="2"/>
    <x v="2"/>
    <x v="2"/>
    <n v="1"/>
    <n v="1"/>
    <n v="0"/>
  </r>
  <r>
    <s v="E10975"/>
    <x v="6"/>
    <x v="1"/>
    <s v="Male"/>
    <n v="26"/>
    <s v="26-35"/>
    <x v="0"/>
    <d v="2024-01-31T00:00:00"/>
    <n v="1.9"/>
    <x v="0"/>
    <n v="6200"/>
    <x v="0"/>
    <x v="1"/>
    <n v="3"/>
    <n v="28"/>
    <x v="1"/>
    <m/>
    <x v="2"/>
    <x v="2"/>
    <x v="2"/>
    <n v="1"/>
    <n v="1"/>
    <n v="0"/>
  </r>
  <r>
    <s v="E10976"/>
    <x v="3"/>
    <x v="0"/>
    <s v="Male"/>
    <n v="25"/>
    <s v="20-25"/>
    <x v="1"/>
    <d v="2024-10-26T00:00:00"/>
    <n v="1.2"/>
    <x v="0"/>
    <n v="6100"/>
    <x v="0"/>
    <x v="1"/>
    <n v="4"/>
    <n v="41"/>
    <x v="1"/>
    <m/>
    <x v="2"/>
    <x v="2"/>
    <x v="2"/>
    <n v="1"/>
    <n v="1"/>
    <n v="0"/>
  </r>
  <r>
    <s v="E10977"/>
    <x v="0"/>
    <x v="0"/>
    <s v="Male"/>
    <n v="21"/>
    <s v="20-25"/>
    <x v="2"/>
    <d v="2025-11-12T00:00:00"/>
    <n v="0.1"/>
    <x v="3"/>
    <n v="3100"/>
    <x v="0"/>
    <x v="1"/>
    <n v="4"/>
    <n v="46"/>
    <x v="1"/>
    <m/>
    <x v="2"/>
    <x v="2"/>
    <x v="2"/>
    <n v="1"/>
    <n v="1"/>
    <n v="0"/>
  </r>
  <r>
    <s v="E10978"/>
    <x v="3"/>
    <x v="2"/>
    <s v="Male"/>
    <n v="32"/>
    <s v="26-35"/>
    <x v="1"/>
    <d v="2019-11-18T00:00:00"/>
    <n v="6.1"/>
    <x v="1"/>
    <n v="9550"/>
    <x v="1"/>
    <x v="4"/>
    <n v="5"/>
    <n v="30"/>
    <x v="1"/>
    <m/>
    <x v="2"/>
    <x v="2"/>
    <x v="2"/>
    <n v="1"/>
    <n v="1"/>
    <n v="0"/>
  </r>
  <r>
    <s v="E10979"/>
    <x v="5"/>
    <x v="2"/>
    <s v="Male"/>
    <n v="39"/>
    <s v="36-45"/>
    <x v="1"/>
    <d v="2014-05-18T00:00:00"/>
    <n v="11.6"/>
    <x v="1"/>
    <n v="7300"/>
    <x v="0"/>
    <x v="0"/>
    <n v="3"/>
    <n v="28"/>
    <x v="1"/>
    <m/>
    <x v="2"/>
    <x v="2"/>
    <x v="2"/>
    <n v="1"/>
    <n v="1"/>
    <n v="0"/>
  </r>
  <r>
    <s v="E10980"/>
    <x v="0"/>
    <x v="0"/>
    <s v="Male"/>
    <n v="25"/>
    <s v="20-25"/>
    <x v="1"/>
    <d v="2024-08-21T00:00:00"/>
    <n v="0.9"/>
    <x v="3"/>
    <n v="3400"/>
    <x v="1"/>
    <x v="4"/>
    <n v="4"/>
    <n v="17"/>
    <x v="0"/>
    <d v="2025-07-17T00:00:00"/>
    <x v="1"/>
    <x v="4"/>
    <x v="4"/>
    <n v="1"/>
    <n v="0"/>
    <n v="1"/>
  </r>
  <r>
    <s v="E10981"/>
    <x v="0"/>
    <x v="1"/>
    <s v="Female"/>
    <n v="26"/>
    <s v="26-35"/>
    <x v="1"/>
    <d v="2023-07-03T00:00:00"/>
    <n v="2.5"/>
    <x v="0"/>
    <n v="4100"/>
    <x v="0"/>
    <x v="1"/>
    <n v="3"/>
    <n v="24"/>
    <x v="1"/>
    <m/>
    <x v="2"/>
    <x v="2"/>
    <x v="2"/>
    <n v="1"/>
    <n v="1"/>
    <n v="0"/>
  </r>
  <r>
    <s v="E10982"/>
    <x v="0"/>
    <x v="1"/>
    <s v="Male"/>
    <n v="34"/>
    <s v="26-35"/>
    <x v="0"/>
    <d v="2022-06-21T00:00:00"/>
    <n v="3.5"/>
    <x v="2"/>
    <n v="3800"/>
    <x v="0"/>
    <x v="0"/>
    <n v="4"/>
    <n v="18"/>
    <x v="1"/>
    <m/>
    <x v="2"/>
    <x v="2"/>
    <x v="2"/>
    <n v="1"/>
    <n v="1"/>
    <n v="0"/>
  </r>
  <r>
    <s v="E10983"/>
    <x v="5"/>
    <x v="0"/>
    <s v="Female"/>
    <n v="24"/>
    <s v="20-25"/>
    <x v="1"/>
    <d v="2024-03-16T00:00:00"/>
    <n v="1.8"/>
    <x v="0"/>
    <n v="4600"/>
    <x v="0"/>
    <x v="1"/>
    <n v="4"/>
    <n v="42"/>
    <x v="1"/>
    <m/>
    <x v="2"/>
    <x v="2"/>
    <x v="2"/>
    <n v="1"/>
    <n v="1"/>
    <n v="0"/>
  </r>
  <r>
    <s v="E10984"/>
    <x v="1"/>
    <x v="2"/>
    <s v="Male"/>
    <n v="38"/>
    <s v="36-45"/>
    <x v="0"/>
    <d v="2017-10-20T00:00:00"/>
    <n v="8.1999999999999993"/>
    <x v="1"/>
    <n v="8000"/>
    <x v="0"/>
    <x v="4"/>
    <n v="2"/>
    <n v="16"/>
    <x v="1"/>
    <m/>
    <x v="2"/>
    <x v="2"/>
    <x v="2"/>
    <n v="1"/>
    <n v="1"/>
    <n v="0"/>
  </r>
  <r>
    <s v="E10985"/>
    <x v="5"/>
    <x v="0"/>
    <s v="Male"/>
    <n v="22"/>
    <s v="20-25"/>
    <x v="1"/>
    <d v="2025-04-17T00:00:00"/>
    <n v="0.7"/>
    <x v="3"/>
    <n v="5100"/>
    <x v="0"/>
    <x v="1"/>
    <n v="3"/>
    <n v="7"/>
    <x v="1"/>
    <m/>
    <x v="2"/>
    <x v="2"/>
    <x v="2"/>
    <n v="1"/>
    <n v="1"/>
    <n v="0"/>
  </r>
  <r>
    <s v="E10986"/>
    <x v="1"/>
    <x v="0"/>
    <s v="Female"/>
    <n v="21"/>
    <s v="20-25"/>
    <x v="1"/>
    <d v="2025-12-04T00:00:00"/>
    <n v="0.1"/>
    <x v="3"/>
    <n v="3750"/>
    <x v="0"/>
    <x v="4"/>
    <n v="3"/>
    <n v="28"/>
    <x v="1"/>
    <m/>
    <x v="2"/>
    <x v="2"/>
    <x v="2"/>
    <n v="1"/>
    <n v="1"/>
    <n v="0"/>
  </r>
  <r>
    <s v="E10987"/>
    <x v="5"/>
    <x v="1"/>
    <s v="Female"/>
    <n v="36"/>
    <s v="36-45"/>
    <x v="1"/>
    <d v="2016-07-01T00:00:00"/>
    <n v="9.3000000000000007"/>
    <x v="1"/>
    <n v="5000"/>
    <x v="1"/>
    <x v="4"/>
    <n v="3"/>
    <n v="17"/>
    <x v="0"/>
    <d v="2025-10-13T00:00:00"/>
    <x v="1"/>
    <x v="11"/>
    <x v="1"/>
    <n v="1"/>
    <n v="0"/>
    <n v="1"/>
  </r>
  <r>
    <s v="E10988"/>
    <x v="5"/>
    <x v="0"/>
    <s v="Female"/>
    <n v="26"/>
    <s v="26-35"/>
    <x v="2"/>
    <d v="2023-10-06T00:00:00"/>
    <n v="2.2000000000000002"/>
    <x v="0"/>
    <n v="3750"/>
    <x v="0"/>
    <x v="1"/>
    <n v="4"/>
    <n v="25"/>
    <x v="1"/>
    <m/>
    <x v="2"/>
    <x v="2"/>
    <x v="2"/>
    <n v="1"/>
    <n v="1"/>
    <n v="0"/>
  </r>
  <r>
    <s v="E10989"/>
    <x v="6"/>
    <x v="0"/>
    <s v="Female"/>
    <n v="22"/>
    <s v="20-25"/>
    <x v="1"/>
    <d v="2025-07-23T00:00:00"/>
    <n v="0.4"/>
    <x v="3"/>
    <n v="4900"/>
    <x v="1"/>
    <x v="0"/>
    <n v="4"/>
    <n v="19"/>
    <x v="1"/>
    <m/>
    <x v="2"/>
    <x v="2"/>
    <x v="2"/>
    <n v="1"/>
    <n v="1"/>
    <n v="0"/>
  </r>
  <r>
    <s v="E10990"/>
    <x v="1"/>
    <x v="2"/>
    <s v="Male"/>
    <n v="45"/>
    <s v="36-45"/>
    <x v="1"/>
    <d v="2012-06-19T00:00:00"/>
    <n v="13.5"/>
    <x v="1"/>
    <n v="4500"/>
    <x v="0"/>
    <x v="0"/>
    <n v="3"/>
    <n v="29"/>
    <x v="1"/>
    <m/>
    <x v="2"/>
    <x v="2"/>
    <x v="2"/>
    <n v="1"/>
    <n v="1"/>
    <n v="0"/>
  </r>
  <r>
    <s v="E10991"/>
    <x v="5"/>
    <x v="1"/>
    <s v="Female"/>
    <n v="40"/>
    <s v="36-45"/>
    <x v="0"/>
    <d v="2013-08-07T00:00:00"/>
    <n v="12.3"/>
    <x v="1"/>
    <n v="6200"/>
    <x v="0"/>
    <x v="2"/>
    <n v="3"/>
    <n v="15"/>
    <x v="0"/>
    <d v="2025-11-16T00:00:00"/>
    <x v="1"/>
    <x v="10"/>
    <x v="5"/>
    <n v="1"/>
    <n v="0"/>
    <n v="1"/>
  </r>
  <r>
    <s v="E10992"/>
    <x v="2"/>
    <x v="0"/>
    <s v="Male"/>
    <n v="21"/>
    <s v="20-25"/>
    <x v="1"/>
    <d v="2025-09-28T00:00:00"/>
    <n v="0.3"/>
    <x v="3"/>
    <n v="5050"/>
    <x v="0"/>
    <x v="0"/>
    <n v="4"/>
    <n v="39"/>
    <x v="1"/>
    <m/>
    <x v="2"/>
    <x v="2"/>
    <x v="2"/>
    <n v="1"/>
    <n v="1"/>
    <n v="0"/>
  </r>
  <r>
    <s v="E10993"/>
    <x v="6"/>
    <x v="0"/>
    <s v="Female"/>
    <n v="23"/>
    <s v="20-25"/>
    <x v="1"/>
    <d v="2024-10-27T00:00:00"/>
    <n v="1.2"/>
    <x v="0"/>
    <n v="3300"/>
    <x v="0"/>
    <x v="2"/>
    <n v="4"/>
    <n v="29"/>
    <x v="1"/>
    <m/>
    <x v="2"/>
    <x v="2"/>
    <x v="2"/>
    <n v="1"/>
    <n v="1"/>
    <n v="0"/>
  </r>
  <r>
    <s v="E10994"/>
    <x v="5"/>
    <x v="0"/>
    <s v="Male"/>
    <n v="28"/>
    <s v="26-35"/>
    <x v="1"/>
    <d v="2024-02-10T00:00:00"/>
    <n v="1.9"/>
    <x v="0"/>
    <n v="4050"/>
    <x v="0"/>
    <x v="0"/>
    <n v="3"/>
    <n v="31"/>
    <x v="1"/>
    <m/>
    <x v="2"/>
    <x v="2"/>
    <x v="2"/>
    <n v="1"/>
    <n v="1"/>
    <n v="0"/>
  </r>
  <r>
    <s v="E10995"/>
    <x v="5"/>
    <x v="0"/>
    <s v="Male"/>
    <n v="27"/>
    <s v="26-35"/>
    <x v="0"/>
    <d v="2022-11-21T00:00:00"/>
    <n v="3.1"/>
    <x v="2"/>
    <n v="3250"/>
    <x v="0"/>
    <x v="0"/>
    <n v="4"/>
    <n v="25"/>
    <x v="1"/>
    <m/>
    <x v="2"/>
    <x v="2"/>
    <x v="2"/>
    <n v="1"/>
    <n v="1"/>
    <n v="0"/>
  </r>
  <r>
    <s v="E10996"/>
    <x v="0"/>
    <x v="0"/>
    <s v="Male"/>
    <n v="27"/>
    <s v="26-35"/>
    <x v="2"/>
    <d v="2023-09-10T00:00:00"/>
    <n v="2.2999999999999998"/>
    <x v="0"/>
    <n v="3000"/>
    <x v="1"/>
    <x v="1"/>
    <n v="4"/>
    <n v="34"/>
    <x v="1"/>
    <m/>
    <x v="2"/>
    <x v="2"/>
    <x v="2"/>
    <n v="1"/>
    <n v="1"/>
    <n v="0"/>
  </r>
  <r>
    <s v="E10997"/>
    <x v="1"/>
    <x v="1"/>
    <s v="Female"/>
    <n v="31"/>
    <s v="26-35"/>
    <x v="0"/>
    <d v="2024-07-14T00:00:00"/>
    <n v="1.5"/>
    <x v="0"/>
    <n v="3900"/>
    <x v="0"/>
    <x v="0"/>
    <n v="2"/>
    <n v="20"/>
    <x v="1"/>
    <m/>
    <x v="2"/>
    <x v="2"/>
    <x v="2"/>
    <n v="1"/>
    <n v="1"/>
    <n v="0"/>
  </r>
  <r>
    <s v="E10998"/>
    <x v="3"/>
    <x v="1"/>
    <s v="Male"/>
    <n v="30"/>
    <s v="26-35"/>
    <x v="0"/>
    <d v="2018-12-13T00:00:00"/>
    <n v="7"/>
    <x v="1"/>
    <n v="7200"/>
    <x v="0"/>
    <x v="0"/>
    <n v="4"/>
    <n v="20"/>
    <x v="1"/>
    <m/>
    <x v="2"/>
    <x v="2"/>
    <x v="2"/>
    <n v="1"/>
    <n v="1"/>
    <n v="0"/>
  </r>
  <r>
    <s v="E10999"/>
    <x v="3"/>
    <x v="3"/>
    <s v="Female"/>
    <n v="39"/>
    <s v="36-45"/>
    <x v="0"/>
    <d v="2013-08-03T00:00:00"/>
    <n v="12.4"/>
    <x v="1"/>
    <n v="13300"/>
    <x v="1"/>
    <x v="0"/>
    <n v="3"/>
    <n v="22"/>
    <x v="1"/>
    <m/>
    <x v="2"/>
    <x v="2"/>
    <x v="2"/>
    <n v="1"/>
    <n v="1"/>
    <n v="0"/>
  </r>
  <r>
    <s v="E11000"/>
    <x v="2"/>
    <x v="0"/>
    <s v="Female"/>
    <n v="28"/>
    <s v="26-35"/>
    <x v="0"/>
    <d v="2024-04-10T00:00:00"/>
    <n v="1.7"/>
    <x v="0"/>
    <n v="4550"/>
    <x v="0"/>
    <x v="0"/>
    <n v="4"/>
    <n v="21"/>
    <x v="1"/>
    <m/>
    <x v="2"/>
    <x v="2"/>
    <x v="2"/>
    <n v="1"/>
    <n v="1"/>
    <n v="0"/>
  </r>
  <r>
    <s v="E11001"/>
    <x v="5"/>
    <x v="1"/>
    <s v="Female"/>
    <n v="39"/>
    <s v="36-45"/>
    <x v="0"/>
    <d v="2020-04-02T00:00:00"/>
    <n v="5.7"/>
    <x v="1"/>
    <n v="5500"/>
    <x v="0"/>
    <x v="0"/>
    <n v="5"/>
    <n v="21"/>
    <x v="1"/>
    <m/>
    <x v="2"/>
    <x v="2"/>
    <x v="2"/>
    <n v="1"/>
    <n v="1"/>
    <n v="0"/>
  </r>
  <r>
    <s v="E11002"/>
    <x v="1"/>
    <x v="0"/>
    <s v="Female"/>
    <n v="24"/>
    <s v="20-25"/>
    <x v="1"/>
    <d v="2025-03-08T00:00:00"/>
    <n v="0.8"/>
    <x v="3"/>
    <n v="3550"/>
    <x v="0"/>
    <x v="4"/>
    <n v="3"/>
    <n v="38"/>
    <x v="1"/>
    <m/>
    <x v="2"/>
    <x v="2"/>
    <x v="2"/>
    <n v="1"/>
    <n v="1"/>
    <n v="0"/>
  </r>
  <r>
    <s v="E11003"/>
    <x v="1"/>
    <x v="0"/>
    <s v="Male"/>
    <n v="26"/>
    <s v="26-35"/>
    <x v="1"/>
    <d v="2023-10-16T00:00:00"/>
    <n v="0.8"/>
    <x v="3"/>
    <n v="3700"/>
    <x v="0"/>
    <x v="1"/>
    <n v="3"/>
    <n v="26"/>
    <x v="0"/>
    <d v="2024-07-28T00:00:00"/>
    <x v="0"/>
    <x v="4"/>
    <x v="0"/>
    <n v="1"/>
    <n v="0"/>
    <n v="1"/>
  </r>
  <r>
    <s v="E11004"/>
    <x v="5"/>
    <x v="1"/>
    <s v="Female"/>
    <n v="32"/>
    <s v="26-35"/>
    <x v="1"/>
    <d v="2018-03-20T00:00:00"/>
    <n v="7.8"/>
    <x v="1"/>
    <n v="6000"/>
    <x v="0"/>
    <x v="0"/>
    <n v="3"/>
    <n v="17"/>
    <x v="1"/>
    <m/>
    <x v="2"/>
    <x v="2"/>
    <x v="2"/>
    <n v="1"/>
    <n v="1"/>
    <n v="0"/>
  </r>
  <r>
    <s v="E11005"/>
    <x v="1"/>
    <x v="0"/>
    <s v="Male"/>
    <n v="23"/>
    <s v="20-25"/>
    <x v="1"/>
    <d v="2025-02-19T00:00:00"/>
    <n v="0.9"/>
    <x v="3"/>
    <n v="3400"/>
    <x v="0"/>
    <x v="2"/>
    <n v="5"/>
    <n v="25"/>
    <x v="1"/>
    <m/>
    <x v="2"/>
    <x v="2"/>
    <x v="2"/>
    <n v="1"/>
    <n v="1"/>
    <n v="0"/>
  </r>
  <r>
    <s v="E11006"/>
    <x v="3"/>
    <x v="1"/>
    <s v="Female"/>
    <n v="39"/>
    <s v="36-45"/>
    <x v="0"/>
    <d v="2012-10-02T00:00:00"/>
    <n v="13.2"/>
    <x v="1"/>
    <n v="10300"/>
    <x v="0"/>
    <x v="1"/>
    <n v="3"/>
    <n v="25"/>
    <x v="1"/>
    <m/>
    <x v="2"/>
    <x v="2"/>
    <x v="2"/>
    <n v="1"/>
    <n v="1"/>
    <n v="0"/>
  </r>
  <r>
    <s v="E11007"/>
    <x v="6"/>
    <x v="1"/>
    <s v="Female"/>
    <n v="34"/>
    <s v="26-35"/>
    <x v="1"/>
    <d v="2016-05-28T00:00:00"/>
    <n v="9.6"/>
    <x v="1"/>
    <n v="5000"/>
    <x v="0"/>
    <x v="1"/>
    <n v="3"/>
    <n v="37"/>
    <x v="1"/>
    <m/>
    <x v="2"/>
    <x v="2"/>
    <x v="2"/>
    <n v="1"/>
    <n v="1"/>
    <n v="0"/>
  </r>
  <r>
    <s v="E11008"/>
    <x v="0"/>
    <x v="3"/>
    <s v="Male"/>
    <n v="48"/>
    <s v="46+"/>
    <x v="1"/>
    <d v="2022-11-24T00:00:00"/>
    <n v="3.1"/>
    <x v="2"/>
    <n v="7450"/>
    <x v="0"/>
    <x v="0"/>
    <n v="3"/>
    <n v="30"/>
    <x v="1"/>
    <m/>
    <x v="2"/>
    <x v="2"/>
    <x v="2"/>
    <n v="1"/>
    <n v="1"/>
    <n v="0"/>
  </r>
  <r>
    <s v="E11009"/>
    <x v="1"/>
    <x v="0"/>
    <s v="Male"/>
    <n v="26"/>
    <s v="26-35"/>
    <x v="0"/>
    <d v="2023-05-18T00:00:00"/>
    <n v="2.6"/>
    <x v="0"/>
    <n v="3200"/>
    <x v="0"/>
    <x v="0"/>
    <n v="3"/>
    <n v="22"/>
    <x v="1"/>
    <m/>
    <x v="2"/>
    <x v="2"/>
    <x v="2"/>
    <n v="1"/>
    <n v="1"/>
    <n v="0"/>
  </r>
  <r>
    <s v="E11010"/>
    <x v="0"/>
    <x v="2"/>
    <s v="Male"/>
    <n v="36"/>
    <s v="36-45"/>
    <x v="1"/>
    <d v="2018-07-06T00:00:00"/>
    <n v="7.2"/>
    <x v="1"/>
    <n v="5750"/>
    <x v="1"/>
    <x v="1"/>
    <n v="4"/>
    <n v="22"/>
    <x v="0"/>
    <d v="2025-09-05T00:00:00"/>
    <x v="1"/>
    <x v="12"/>
    <x v="5"/>
    <n v="1"/>
    <n v="0"/>
    <n v="1"/>
  </r>
  <r>
    <s v="E11011"/>
    <x v="3"/>
    <x v="0"/>
    <s v="Female"/>
    <n v="23"/>
    <s v="20-25"/>
    <x v="2"/>
    <d v="2024-11-10T00:00:00"/>
    <n v="1.1000000000000001"/>
    <x v="0"/>
    <n v="6000"/>
    <x v="0"/>
    <x v="1"/>
    <n v="4"/>
    <n v="19"/>
    <x v="1"/>
    <m/>
    <x v="2"/>
    <x v="2"/>
    <x v="2"/>
    <n v="1"/>
    <n v="1"/>
    <n v="0"/>
  </r>
  <r>
    <s v="E11012"/>
    <x v="1"/>
    <x v="0"/>
    <s v="Female"/>
    <n v="32"/>
    <s v="26-35"/>
    <x v="1"/>
    <d v="2021-07-20T00:00:00"/>
    <n v="4.4000000000000004"/>
    <x v="2"/>
    <n v="3400"/>
    <x v="0"/>
    <x v="4"/>
    <n v="3"/>
    <n v="18"/>
    <x v="1"/>
    <m/>
    <x v="2"/>
    <x v="2"/>
    <x v="2"/>
    <n v="1"/>
    <n v="1"/>
    <n v="0"/>
  </r>
  <r>
    <s v="E11013"/>
    <x v="3"/>
    <x v="2"/>
    <s v="Female"/>
    <n v="34"/>
    <s v="26-35"/>
    <x v="0"/>
    <d v="2016-07-24T00:00:00"/>
    <n v="9.4"/>
    <x v="1"/>
    <n v="10700"/>
    <x v="0"/>
    <x v="0"/>
    <n v="3"/>
    <n v="20"/>
    <x v="1"/>
    <m/>
    <x v="2"/>
    <x v="2"/>
    <x v="2"/>
    <n v="1"/>
    <n v="1"/>
    <n v="0"/>
  </r>
  <r>
    <s v="E11014"/>
    <x v="0"/>
    <x v="2"/>
    <s v="Female"/>
    <n v="32"/>
    <s v="26-35"/>
    <x v="1"/>
    <d v="2021-06-26T00:00:00"/>
    <n v="2.6"/>
    <x v="0"/>
    <n v="3900"/>
    <x v="1"/>
    <x v="1"/>
    <n v="4"/>
    <n v="17"/>
    <x v="0"/>
    <d v="2024-02-04T00:00:00"/>
    <x v="0"/>
    <x v="6"/>
    <x v="0"/>
    <n v="1"/>
    <n v="0"/>
    <n v="1"/>
  </r>
  <r>
    <s v="E11015"/>
    <x v="1"/>
    <x v="1"/>
    <s v="Female"/>
    <n v="35"/>
    <s v="26-35"/>
    <x v="1"/>
    <d v="2023-04-29T00:00:00"/>
    <n v="2.7"/>
    <x v="0"/>
    <n v="4600"/>
    <x v="1"/>
    <x v="1"/>
    <n v="4"/>
    <n v="40"/>
    <x v="1"/>
    <m/>
    <x v="2"/>
    <x v="2"/>
    <x v="2"/>
    <n v="1"/>
    <n v="1"/>
    <n v="0"/>
  </r>
  <r>
    <s v="E11016"/>
    <x v="5"/>
    <x v="0"/>
    <s v="Male"/>
    <n v="21"/>
    <s v="20-25"/>
    <x v="1"/>
    <d v="2025-09-19T00:00:00"/>
    <n v="0.3"/>
    <x v="3"/>
    <n v="3250"/>
    <x v="0"/>
    <x v="0"/>
    <n v="4"/>
    <n v="12"/>
    <x v="1"/>
    <m/>
    <x v="2"/>
    <x v="2"/>
    <x v="2"/>
    <n v="1"/>
    <n v="1"/>
    <n v="0"/>
  </r>
  <r>
    <s v="E11017"/>
    <x v="3"/>
    <x v="0"/>
    <s v="Male"/>
    <n v="32"/>
    <s v="26-35"/>
    <x v="1"/>
    <d v="2022-10-22T00:00:00"/>
    <n v="3.2"/>
    <x v="2"/>
    <n v="6500"/>
    <x v="0"/>
    <x v="4"/>
    <n v="4"/>
    <n v="21"/>
    <x v="1"/>
    <m/>
    <x v="2"/>
    <x v="2"/>
    <x v="2"/>
    <n v="1"/>
    <n v="1"/>
    <n v="0"/>
  </r>
  <r>
    <s v="E11018"/>
    <x v="0"/>
    <x v="3"/>
    <s v="Female"/>
    <n v="34"/>
    <s v="26-35"/>
    <x v="1"/>
    <d v="2020-06-02T00:00:00"/>
    <n v="5.6"/>
    <x v="1"/>
    <n v="7000"/>
    <x v="0"/>
    <x v="0"/>
    <n v="3"/>
    <n v="31"/>
    <x v="1"/>
    <m/>
    <x v="2"/>
    <x v="2"/>
    <x v="2"/>
    <n v="1"/>
    <n v="1"/>
    <n v="0"/>
  </r>
  <r>
    <s v="E11019"/>
    <x v="2"/>
    <x v="2"/>
    <s v="Male"/>
    <n v="30"/>
    <s v="26-35"/>
    <x v="1"/>
    <d v="2022-04-04T00:00:00"/>
    <n v="3.7"/>
    <x v="2"/>
    <n v="9700"/>
    <x v="1"/>
    <x v="1"/>
    <n v="3"/>
    <n v="25"/>
    <x v="1"/>
    <m/>
    <x v="2"/>
    <x v="2"/>
    <x v="2"/>
    <n v="1"/>
    <n v="1"/>
    <n v="0"/>
  </r>
  <r>
    <s v="E11020"/>
    <x v="6"/>
    <x v="3"/>
    <s v="Female"/>
    <n v="42"/>
    <s v="36-45"/>
    <x v="1"/>
    <d v="2021-07-14T00:00:00"/>
    <n v="3.5"/>
    <x v="2"/>
    <n v="10500"/>
    <x v="0"/>
    <x v="4"/>
    <n v="4"/>
    <n v="17"/>
    <x v="0"/>
    <d v="2025-01-11T00:00:00"/>
    <x v="1"/>
    <x v="7"/>
    <x v="1"/>
    <n v="1"/>
    <n v="0"/>
    <n v="1"/>
  </r>
  <r>
    <s v="E11021"/>
    <x v="1"/>
    <x v="3"/>
    <s v="Female"/>
    <n v="49"/>
    <s v="46+"/>
    <x v="1"/>
    <d v="2016-01-04T00:00:00"/>
    <n v="10"/>
    <x v="1"/>
    <n v="9950"/>
    <x v="0"/>
    <x v="0"/>
    <n v="3"/>
    <n v="17"/>
    <x v="1"/>
    <m/>
    <x v="2"/>
    <x v="2"/>
    <x v="2"/>
    <n v="1"/>
    <n v="1"/>
    <n v="0"/>
  </r>
  <r>
    <s v="E11022"/>
    <x v="4"/>
    <x v="1"/>
    <s v="Female"/>
    <n v="31"/>
    <s v="26-35"/>
    <x v="1"/>
    <d v="2020-07-12T00:00:00"/>
    <n v="5.5"/>
    <x v="1"/>
    <n v="6250"/>
    <x v="0"/>
    <x v="4"/>
    <n v="3"/>
    <n v="15"/>
    <x v="1"/>
    <m/>
    <x v="2"/>
    <x v="2"/>
    <x v="2"/>
    <n v="1"/>
    <n v="1"/>
    <n v="0"/>
  </r>
  <r>
    <s v="E11023"/>
    <x v="3"/>
    <x v="0"/>
    <s v="Female"/>
    <n v="29"/>
    <s v="26-35"/>
    <x v="2"/>
    <d v="2023-02-04T00:00:00"/>
    <n v="2.9"/>
    <x v="0"/>
    <n v="6650"/>
    <x v="0"/>
    <x v="0"/>
    <n v="3"/>
    <n v="18"/>
    <x v="1"/>
    <m/>
    <x v="2"/>
    <x v="2"/>
    <x v="2"/>
    <n v="1"/>
    <n v="1"/>
    <n v="0"/>
  </r>
  <r>
    <s v="E11024"/>
    <x v="1"/>
    <x v="0"/>
    <s v="Male"/>
    <n v="22"/>
    <s v="20-25"/>
    <x v="0"/>
    <d v="2025-09-05T00:00:00"/>
    <n v="0.3"/>
    <x v="3"/>
    <n v="3200"/>
    <x v="0"/>
    <x v="0"/>
    <n v="4"/>
    <n v="24"/>
    <x v="1"/>
    <m/>
    <x v="2"/>
    <x v="2"/>
    <x v="2"/>
    <n v="1"/>
    <n v="1"/>
    <n v="0"/>
  </r>
  <r>
    <s v="E11025"/>
    <x v="5"/>
    <x v="1"/>
    <s v="Male"/>
    <n v="30"/>
    <s v="26-35"/>
    <x v="0"/>
    <d v="2019-11-16T00:00:00"/>
    <n v="6.1"/>
    <x v="1"/>
    <n v="5150"/>
    <x v="0"/>
    <x v="2"/>
    <n v="4"/>
    <n v="25"/>
    <x v="1"/>
    <m/>
    <x v="2"/>
    <x v="2"/>
    <x v="2"/>
    <n v="1"/>
    <n v="1"/>
    <n v="0"/>
  </r>
  <r>
    <s v="E11026"/>
    <x v="3"/>
    <x v="1"/>
    <s v="Female"/>
    <n v="38"/>
    <s v="36-45"/>
    <x v="2"/>
    <d v="2015-04-30T00:00:00"/>
    <n v="10.7"/>
    <x v="1"/>
    <n v="9050"/>
    <x v="0"/>
    <x v="0"/>
    <n v="3"/>
    <n v="25"/>
    <x v="1"/>
    <m/>
    <x v="2"/>
    <x v="2"/>
    <x v="2"/>
    <n v="1"/>
    <n v="1"/>
    <n v="0"/>
  </r>
  <r>
    <s v="E11027"/>
    <x v="2"/>
    <x v="3"/>
    <s v="Male"/>
    <n v="35"/>
    <s v="26-35"/>
    <x v="1"/>
    <d v="2017-08-05T00:00:00"/>
    <n v="8.4"/>
    <x v="1"/>
    <n v="12050"/>
    <x v="1"/>
    <x v="3"/>
    <n v="5"/>
    <n v="29"/>
    <x v="1"/>
    <m/>
    <x v="2"/>
    <x v="2"/>
    <x v="2"/>
    <n v="1"/>
    <n v="1"/>
    <n v="0"/>
  </r>
  <r>
    <s v="E11028"/>
    <x v="0"/>
    <x v="1"/>
    <s v="Female"/>
    <n v="32"/>
    <s v="26-35"/>
    <x v="1"/>
    <d v="2017-10-22T00:00:00"/>
    <n v="7.2"/>
    <x v="1"/>
    <n v="3850"/>
    <x v="1"/>
    <x v="1"/>
    <n v="3"/>
    <n v="24"/>
    <x v="0"/>
    <d v="2025-01-15T00:00:00"/>
    <x v="1"/>
    <x v="7"/>
    <x v="3"/>
    <n v="1"/>
    <n v="0"/>
    <n v="1"/>
  </r>
  <r>
    <s v="E11029"/>
    <x v="5"/>
    <x v="1"/>
    <s v="Female"/>
    <n v="36"/>
    <s v="36-45"/>
    <x v="1"/>
    <d v="2016-09-11T00:00:00"/>
    <n v="9.3000000000000007"/>
    <x v="1"/>
    <n v="5450"/>
    <x v="1"/>
    <x v="0"/>
    <n v="5"/>
    <n v="5"/>
    <x v="1"/>
    <m/>
    <x v="2"/>
    <x v="2"/>
    <x v="2"/>
    <n v="1"/>
    <n v="1"/>
    <n v="0"/>
  </r>
  <r>
    <s v="E11030"/>
    <x v="3"/>
    <x v="0"/>
    <s v="Male"/>
    <n v="34"/>
    <s v="26-35"/>
    <x v="0"/>
    <d v="2023-07-25T00:00:00"/>
    <n v="2.4"/>
    <x v="0"/>
    <n v="5500"/>
    <x v="0"/>
    <x v="1"/>
    <n v="4"/>
    <n v="31"/>
    <x v="1"/>
    <m/>
    <x v="2"/>
    <x v="2"/>
    <x v="2"/>
    <n v="1"/>
    <n v="1"/>
    <n v="0"/>
  </r>
  <r>
    <s v="E11031"/>
    <x v="0"/>
    <x v="0"/>
    <s v="Female"/>
    <n v="25"/>
    <s v="20-25"/>
    <x v="1"/>
    <d v="2024-03-25T00:00:00"/>
    <n v="1.8"/>
    <x v="0"/>
    <n v="3000"/>
    <x v="1"/>
    <x v="1"/>
    <n v="3"/>
    <n v="24"/>
    <x v="1"/>
    <m/>
    <x v="2"/>
    <x v="2"/>
    <x v="2"/>
    <n v="1"/>
    <n v="1"/>
    <n v="0"/>
  </r>
  <r>
    <s v="E11032"/>
    <x v="5"/>
    <x v="2"/>
    <s v="Male"/>
    <n v="37"/>
    <s v="36-45"/>
    <x v="0"/>
    <d v="2023-09-04T00:00:00"/>
    <n v="2.2999999999999998"/>
    <x v="0"/>
    <n v="7900"/>
    <x v="1"/>
    <x v="4"/>
    <n v="3"/>
    <n v="10"/>
    <x v="1"/>
    <m/>
    <x v="2"/>
    <x v="2"/>
    <x v="2"/>
    <n v="1"/>
    <n v="1"/>
    <n v="0"/>
  </r>
  <r>
    <s v="E11033"/>
    <x v="6"/>
    <x v="3"/>
    <s v="Male"/>
    <n v="48"/>
    <s v="46+"/>
    <x v="0"/>
    <d v="2013-02-26T00:00:00"/>
    <n v="12.8"/>
    <x v="1"/>
    <n v="10300"/>
    <x v="0"/>
    <x v="0"/>
    <n v="3"/>
    <n v="27"/>
    <x v="1"/>
    <m/>
    <x v="2"/>
    <x v="2"/>
    <x v="2"/>
    <n v="1"/>
    <n v="1"/>
    <n v="0"/>
  </r>
  <r>
    <s v="E11034"/>
    <x v="0"/>
    <x v="0"/>
    <s v="Female"/>
    <n v="27"/>
    <s v="26-35"/>
    <x v="1"/>
    <d v="2024-12-04T00:00:00"/>
    <n v="1.1000000000000001"/>
    <x v="0"/>
    <n v="3300"/>
    <x v="0"/>
    <x v="1"/>
    <n v="3"/>
    <n v="11"/>
    <x v="1"/>
    <m/>
    <x v="2"/>
    <x v="2"/>
    <x v="2"/>
    <n v="1"/>
    <n v="1"/>
    <n v="0"/>
  </r>
  <r>
    <s v="E11035"/>
    <x v="4"/>
    <x v="0"/>
    <s v="Male"/>
    <n v="21"/>
    <s v="20-25"/>
    <x v="0"/>
    <d v="2025-09-15T00:00:00"/>
    <n v="0.3"/>
    <x v="3"/>
    <n v="4250"/>
    <x v="0"/>
    <x v="0"/>
    <n v="3"/>
    <n v="28"/>
    <x v="1"/>
    <m/>
    <x v="2"/>
    <x v="2"/>
    <x v="2"/>
    <n v="1"/>
    <n v="1"/>
    <n v="0"/>
  </r>
  <r>
    <s v="E11036"/>
    <x v="0"/>
    <x v="0"/>
    <s v="Female"/>
    <n v="21"/>
    <s v="20-25"/>
    <x v="0"/>
    <d v="2025-11-08T00:00:00"/>
    <n v="0.1"/>
    <x v="3"/>
    <n v="2350"/>
    <x v="1"/>
    <x v="2"/>
    <n v="3"/>
    <n v="31"/>
    <x v="1"/>
    <m/>
    <x v="2"/>
    <x v="2"/>
    <x v="2"/>
    <n v="1"/>
    <n v="1"/>
    <n v="0"/>
  </r>
  <r>
    <s v="E11037"/>
    <x v="1"/>
    <x v="2"/>
    <s v="Male"/>
    <n v="32"/>
    <s v="26-35"/>
    <x v="0"/>
    <d v="2021-11-23T00:00:00"/>
    <n v="4.0999999999999996"/>
    <x v="2"/>
    <n v="5150"/>
    <x v="1"/>
    <x v="1"/>
    <n v="3"/>
    <n v="19"/>
    <x v="1"/>
    <m/>
    <x v="2"/>
    <x v="2"/>
    <x v="2"/>
    <n v="1"/>
    <n v="1"/>
    <n v="0"/>
  </r>
  <r>
    <s v="E11038"/>
    <x v="1"/>
    <x v="1"/>
    <s v="Female"/>
    <n v="31"/>
    <s v="26-35"/>
    <x v="0"/>
    <d v="2024-05-29T00:00:00"/>
    <n v="1.6"/>
    <x v="0"/>
    <n v="4250"/>
    <x v="0"/>
    <x v="0"/>
    <n v="3"/>
    <n v="15"/>
    <x v="1"/>
    <m/>
    <x v="2"/>
    <x v="2"/>
    <x v="2"/>
    <n v="1"/>
    <n v="1"/>
    <n v="0"/>
  </r>
  <r>
    <s v="E11039"/>
    <x v="1"/>
    <x v="0"/>
    <s v="Female"/>
    <n v="21"/>
    <s v="20-25"/>
    <x v="0"/>
    <d v="2025-10-18T00:00:00"/>
    <n v="0.2"/>
    <x v="3"/>
    <n v="2900"/>
    <x v="0"/>
    <x v="1"/>
    <n v="3"/>
    <n v="26"/>
    <x v="1"/>
    <m/>
    <x v="2"/>
    <x v="2"/>
    <x v="2"/>
    <n v="1"/>
    <n v="1"/>
    <n v="0"/>
  </r>
  <r>
    <s v="E11040"/>
    <x v="0"/>
    <x v="1"/>
    <s v="Female"/>
    <n v="42"/>
    <s v="36-45"/>
    <x v="1"/>
    <d v="2019-04-15T00:00:00"/>
    <n v="6.7"/>
    <x v="1"/>
    <n v="3250"/>
    <x v="0"/>
    <x v="2"/>
    <n v="5"/>
    <n v="26"/>
    <x v="1"/>
    <m/>
    <x v="2"/>
    <x v="2"/>
    <x v="2"/>
    <n v="1"/>
    <n v="1"/>
    <n v="0"/>
  </r>
  <r>
    <s v="E11041"/>
    <x v="2"/>
    <x v="1"/>
    <s v="Female"/>
    <n v="28"/>
    <s v="26-35"/>
    <x v="2"/>
    <d v="2023-12-28T00:00:00"/>
    <n v="2"/>
    <x v="0"/>
    <n v="5950"/>
    <x v="0"/>
    <x v="1"/>
    <n v="4"/>
    <n v="33"/>
    <x v="1"/>
    <m/>
    <x v="2"/>
    <x v="2"/>
    <x v="2"/>
    <n v="1"/>
    <n v="1"/>
    <n v="0"/>
  </r>
  <r>
    <s v="E11042"/>
    <x v="0"/>
    <x v="2"/>
    <s v="Male"/>
    <n v="34"/>
    <s v="26-35"/>
    <x v="0"/>
    <d v="2018-11-27T00:00:00"/>
    <n v="7.1"/>
    <x v="1"/>
    <n v="4250"/>
    <x v="0"/>
    <x v="0"/>
    <n v="3"/>
    <n v="29"/>
    <x v="1"/>
    <m/>
    <x v="2"/>
    <x v="2"/>
    <x v="2"/>
    <n v="1"/>
    <n v="1"/>
    <n v="0"/>
  </r>
  <r>
    <s v="E11043"/>
    <x v="2"/>
    <x v="0"/>
    <s v="Male"/>
    <n v="34"/>
    <s v="26-35"/>
    <x v="1"/>
    <d v="2022-05-21T00:00:00"/>
    <n v="3.6"/>
    <x v="2"/>
    <n v="5050"/>
    <x v="0"/>
    <x v="0"/>
    <n v="4"/>
    <n v="15"/>
    <x v="1"/>
    <m/>
    <x v="2"/>
    <x v="2"/>
    <x v="2"/>
    <n v="1"/>
    <n v="1"/>
    <n v="0"/>
  </r>
  <r>
    <s v="E11044"/>
    <x v="5"/>
    <x v="2"/>
    <s v="Male"/>
    <n v="34"/>
    <s v="26-35"/>
    <x v="1"/>
    <d v="2016-01-24T00:00:00"/>
    <n v="9.9"/>
    <x v="1"/>
    <n v="7100"/>
    <x v="0"/>
    <x v="0"/>
    <n v="3"/>
    <n v="20"/>
    <x v="1"/>
    <m/>
    <x v="2"/>
    <x v="2"/>
    <x v="2"/>
    <n v="1"/>
    <n v="1"/>
    <n v="0"/>
  </r>
  <r>
    <s v="E11045"/>
    <x v="6"/>
    <x v="1"/>
    <s v="Male"/>
    <n v="29"/>
    <s v="26-35"/>
    <x v="2"/>
    <d v="2024-03-10T00:00:00"/>
    <n v="1.8"/>
    <x v="0"/>
    <n v="4800"/>
    <x v="0"/>
    <x v="1"/>
    <n v="5"/>
    <n v="9"/>
    <x v="1"/>
    <m/>
    <x v="2"/>
    <x v="2"/>
    <x v="2"/>
    <n v="1"/>
    <n v="1"/>
    <n v="0"/>
  </r>
  <r>
    <s v="E11046"/>
    <x v="6"/>
    <x v="1"/>
    <s v="Male"/>
    <n v="28"/>
    <s v="26-35"/>
    <x v="0"/>
    <d v="2021-06-14T00:00:00"/>
    <n v="4.5"/>
    <x v="2"/>
    <n v="5150"/>
    <x v="0"/>
    <x v="1"/>
    <n v="3"/>
    <n v="27"/>
    <x v="1"/>
    <m/>
    <x v="2"/>
    <x v="2"/>
    <x v="2"/>
    <n v="1"/>
    <n v="1"/>
    <n v="0"/>
  </r>
  <r>
    <s v="E11047"/>
    <x v="5"/>
    <x v="0"/>
    <s v="Male"/>
    <n v="30"/>
    <s v="26-35"/>
    <x v="1"/>
    <d v="2021-08-26T00:00:00"/>
    <n v="3.9"/>
    <x v="2"/>
    <n v="4400"/>
    <x v="0"/>
    <x v="1"/>
    <n v="3"/>
    <n v="33"/>
    <x v="0"/>
    <d v="2025-07-10T00:00:00"/>
    <x v="1"/>
    <x v="4"/>
    <x v="0"/>
    <n v="1"/>
    <n v="0"/>
    <n v="1"/>
  </r>
  <r>
    <s v="E11048"/>
    <x v="1"/>
    <x v="1"/>
    <s v="Female"/>
    <n v="28"/>
    <s v="26-35"/>
    <x v="1"/>
    <d v="2023-06-27T00:00:00"/>
    <n v="2.5"/>
    <x v="0"/>
    <n v="4050"/>
    <x v="1"/>
    <x v="0"/>
    <n v="3"/>
    <n v="21"/>
    <x v="1"/>
    <m/>
    <x v="2"/>
    <x v="2"/>
    <x v="2"/>
    <n v="1"/>
    <n v="1"/>
    <n v="0"/>
  </r>
  <r>
    <s v="E11049"/>
    <x v="2"/>
    <x v="1"/>
    <s v="Female"/>
    <n v="36"/>
    <s v="36-45"/>
    <x v="1"/>
    <d v="2019-03-10T00:00:00"/>
    <n v="5.5"/>
    <x v="1"/>
    <n v="5750"/>
    <x v="0"/>
    <x v="2"/>
    <n v="4"/>
    <n v="22"/>
    <x v="0"/>
    <d v="2024-09-08T00:00:00"/>
    <x v="0"/>
    <x v="12"/>
    <x v="0"/>
    <n v="1"/>
    <n v="0"/>
    <n v="1"/>
  </r>
  <r>
    <s v="E11050"/>
    <x v="1"/>
    <x v="3"/>
    <s v="Female"/>
    <n v="44"/>
    <s v="36-45"/>
    <x v="0"/>
    <d v="2022-09-29T00:00:00"/>
    <n v="3.3"/>
    <x v="2"/>
    <n v="7500"/>
    <x v="0"/>
    <x v="0"/>
    <n v="3"/>
    <n v="32"/>
    <x v="1"/>
    <m/>
    <x v="2"/>
    <x v="2"/>
    <x v="2"/>
    <n v="1"/>
    <n v="1"/>
    <n v="0"/>
  </r>
  <r>
    <s v="E11051"/>
    <x v="1"/>
    <x v="1"/>
    <s v="Female"/>
    <n v="27"/>
    <s v="26-35"/>
    <x v="1"/>
    <d v="2024-09-19T00:00:00"/>
    <n v="1.3"/>
    <x v="0"/>
    <n v="4750"/>
    <x v="1"/>
    <x v="1"/>
    <n v="3"/>
    <n v="27"/>
    <x v="1"/>
    <m/>
    <x v="2"/>
    <x v="2"/>
    <x v="2"/>
    <n v="1"/>
    <n v="1"/>
    <n v="0"/>
  </r>
  <r>
    <s v="E11052"/>
    <x v="5"/>
    <x v="0"/>
    <s v="Male"/>
    <n v="24"/>
    <s v="20-25"/>
    <x v="1"/>
    <d v="2024-01-24T00:00:00"/>
    <n v="1.9"/>
    <x v="0"/>
    <n v="4350"/>
    <x v="0"/>
    <x v="1"/>
    <n v="3"/>
    <n v="16"/>
    <x v="1"/>
    <m/>
    <x v="2"/>
    <x v="2"/>
    <x v="2"/>
    <n v="1"/>
    <n v="1"/>
    <n v="0"/>
  </r>
  <r>
    <s v="E11053"/>
    <x v="0"/>
    <x v="1"/>
    <s v="Female"/>
    <n v="35"/>
    <s v="26-35"/>
    <x v="1"/>
    <d v="2018-02-12T00:00:00"/>
    <n v="7.9"/>
    <x v="1"/>
    <n v="3550"/>
    <x v="1"/>
    <x v="1"/>
    <n v="3"/>
    <n v="41"/>
    <x v="1"/>
    <m/>
    <x v="2"/>
    <x v="2"/>
    <x v="2"/>
    <n v="1"/>
    <n v="1"/>
    <n v="0"/>
  </r>
  <r>
    <s v="E11054"/>
    <x v="3"/>
    <x v="1"/>
    <s v="Male"/>
    <n v="36"/>
    <s v="36-45"/>
    <x v="1"/>
    <d v="2018-03-08T00:00:00"/>
    <n v="7.8"/>
    <x v="1"/>
    <n v="6900"/>
    <x v="0"/>
    <x v="1"/>
    <n v="3"/>
    <n v="21"/>
    <x v="1"/>
    <m/>
    <x v="2"/>
    <x v="2"/>
    <x v="2"/>
    <n v="1"/>
    <n v="1"/>
    <n v="0"/>
  </r>
  <r>
    <s v="E11055"/>
    <x v="1"/>
    <x v="2"/>
    <s v="Male"/>
    <n v="49"/>
    <s v="46+"/>
    <x v="0"/>
    <d v="2020-09-29T00:00:00"/>
    <n v="5.3"/>
    <x v="1"/>
    <n v="5600"/>
    <x v="0"/>
    <x v="0"/>
    <n v="2"/>
    <n v="32"/>
    <x v="1"/>
    <m/>
    <x v="2"/>
    <x v="2"/>
    <x v="2"/>
    <n v="1"/>
    <n v="1"/>
    <n v="0"/>
  </r>
  <r>
    <s v="E11056"/>
    <x v="3"/>
    <x v="1"/>
    <s v="Female"/>
    <n v="32"/>
    <s v="26-35"/>
    <x v="1"/>
    <d v="2023-12-15T00:00:00"/>
    <n v="2"/>
    <x v="0"/>
    <n v="7000"/>
    <x v="0"/>
    <x v="0"/>
    <n v="2"/>
    <n v="19"/>
    <x v="1"/>
    <m/>
    <x v="2"/>
    <x v="2"/>
    <x v="2"/>
    <n v="1"/>
    <n v="1"/>
    <n v="0"/>
  </r>
  <r>
    <s v="E11057"/>
    <x v="2"/>
    <x v="0"/>
    <s v="Female"/>
    <n v="21"/>
    <s v="20-25"/>
    <x v="1"/>
    <d v="2025-12-10T00:00:00"/>
    <n v="0.1"/>
    <x v="3"/>
    <n v="5950"/>
    <x v="1"/>
    <x v="4"/>
    <n v="4"/>
    <n v="28"/>
    <x v="1"/>
    <m/>
    <x v="2"/>
    <x v="2"/>
    <x v="2"/>
    <n v="1"/>
    <n v="1"/>
    <n v="0"/>
  </r>
  <r>
    <s v="E11058"/>
    <x v="4"/>
    <x v="0"/>
    <s v="Male"/>
    <n v="29"/>
    <s v="26-35"/>
    <x v="2"/>
    <d v="2019-09-16T00:00:00"/>
    <n v="6.3"/>
    <x v="1"/>
    <n v="3900"/>
    <x v="0"/>
    <x v="4"/>
    <n v="4"/>
    <n v="28"/>
    <x v="1"/>
    <m/>
    <x v="2"/>
    <x v="2"/>
    <x v="2"/>
    <n v="1"/>
    <n v="1"/>
    <n v="0"/>
  </r>
  <r>
    <s v="E11059"/>
    <x v="6"/>
    <x v="2"/>
    <s v="Female"/>
    <n v="48"/>
    <s v="46+"/>
    <x v="1"/>
    <d v="2012-09-17T00:00:00"/>
    <n v="13.3"/>
    <x v="1"/>
    <n v="6250"/>
    <x v="0"/>
    <x v="0"/>
    <n v="3"/>
    <n v="27"/>
    <x v="1"/>
    <m/>
    <x v="2"/>
    <x v="2"/>
    <x v="2"/>
    <n v="1"/>
    <n v="1"/>
    <n v="0"/>
  </r>
  <r>
    <s v="E11060"/>
    <x v="1"/>
    <x v="2"/>
    <s v="Male"/>
    <n v="33"/>
    <s v="26-35"/>
    <x v="0"/>
    <d v="2023-09-04T00:00:00"/>
    <n v="1.7"/>
    <x v="0"/>
    <n v="5700"/>
    <x v="1"/>
    <x v="4"/>
    <n v="4"/>
    <n v="29"/>
    <x v="0"/>
    <d v="2025-05-20T00:00:00"/>
    <x v="1"/>
    <x v="9"/>
    <x v="0"/>
    <n v="1"/>
    <n v="0"/>
    <n v="1"/>
  </r>
  <r>
    <s v="E11061"/>
    <x v="4"/>
    <x v="1"/>
    <s v="Male"/>
    <n v="31"/>
    <s v="26-35"/>
    <x v="0"/>
    <d v="2019-12-16T00:00:00"/>
    <n v="6"/>
    <x v="1"/>
    <n v="4650"/>
    <x v="0"/>
    <x v="4"/>
    <n v="3"/>
    <n v="47"/>
    <x v="1"/>
    <m/>
    <x v="2"/>
    <x v="2"/>
    <x v="2"/>
    <n v="1"/>
    <n v="1"/>
    <n v="0"/>
  </r>
  <r>
    <s v="E11062"/>
    <x v="0"/>
    <x v="0"/>
    <s v="Male"/>
    <n v="23"/>
    <s v="20-25"/>
    <x v="1"/>
    <d v="2024-08-08T00:00:00"/>
    <n v="1.4"/>
    <x v="0"/>
    <n v="2700"/>
    <x v="0"/>
    <x v="0"/>
    <n v="3"/>
    <n v="41"/>
    <x v="1"/>
    <m/>
    <x v="2"/>
    <x v="2"/>
    <x v="2"/>
    <n v="1"/>
    <n v="1"/>
    <n v="0"/>
  </r>
  <r>
    <s v="E11063"/>
    <x v="6"/>
    <x v="0"/>
    <s v="Male"/>
    <n v="26"/>
    <s v="26-35"/>
    <x v="1"/>
    <d v="2025-01-02T00:00:00"/>
    <n v="1"/>
    <x v="3"/>
    <n v="4200"/>
    <x v="0"/>
    <x v="1"/>
    <n v="3"/>
    <n v="9"/>
    <x v="1"/>
    <m/>
    <x v="2"/>
    <x v="2"/>
    <x v="2"/>
    <n v="1"/>
    <n v="1"/>
    <n v="0"/>
  </r>
  <r>
    <s v="E11064"/>
    <x v="3"/>
    <x v="1"/>
    <s v="Male"/>
    <n v="39"/>
    <s v="36-45"/>
    <x v="0"/>
    <d v="2016-10-22T00:00:00"/>
    <n v="9.1999999999999993"/>
    <x v="1"/>
    <n v="7350"/>
    <x v="0"/>
    <x v="1"/>
    <n v="3"/>
    <n v="16"/>
    <x v="1"/>
    <m/>
    <x v="2"/>
    <x v="2"/>
    <x v="2"/>
    <n v="1"/>
    <n v="1"/>
    <n v="0"/>
  </r>
  <r>
    <s v="E11065"/>
    <x v="1"/>
    <x v="0"/>
    <s v="Male"/>
    <n v="33"/>
    <s v="26-35"/>
    <x v="1"/>
    <d v="2018-09-19T00:00:00"/>
    <n v="7.3"/>
    <x v="1"/>
    <n v="3550"/>
    <x v="0"/>
    <x v="2"/>
    <n v="3"/>
    <n v="27"/>
    <x v="1"/>
    <m/>
    <x v="2"/>
    <x v="2"/>
    <x v="2"/>
    <n v="1"/>
    <n v="1"/>
    <n v="0"/>
  </r>
  <r>
    <s v="E11066"/>
    <x v="4"/>
    <x v="1"/>
    <s v="Male"/>
    <n v="33"/>
    <s v="26-35"/>
    <x v="0"/>
    <d v="2022-02-25T00:00:00"/>
    <n v="3.8"/>
    <x v="2"/>
    <n v="5050"/>
    <x v="0"/>
    <x v="1"/>
    <n v="4"/>
    <n v="25"/>
    <x v="1"/>
    <m/>
    <x v="2"/>
    <x v="2"/>
    <x v="2"/>
    <n v="1"/>
    <n v="1"/>
    <n v="0"/>
  </r>
  <r>
    <s v="E11067"/>
    <x v="3"/>
    <x v="1"/>
    <s v="Male"/>
    <n v="28"/>
    <s v="26-35"/>
    <x v="0"/>
    <d v="2024-03-14T00:00:00"/>
    <n v="1.8"/>
    <x v="0"/>
    <n v="7450"/>
    <x v="0"/>
    <x v="2"/>
    <n v="4"/>
    <n v="14"/>
    <x v="1"/>
    <m/>
    <x v="2"/>
    <x v="2"/>
    <x v="2"/>
    <n v="1"/>
    <n v="1"/>
    <n v="0"/>
  </r>
  <r>
    <s v="E11068"/>
    <x v="4"/>
    <x v="2"/>
    <s v="Male"/>
    <n v="43"/>
    <s v="36-45"/>
    <x v="1"/>
    <d v="2014-04-03T00:00:00"/>
    <n v="11.7"/>
    <x v="1"/>
    <n v="8450"/>
    <x v="0"/>
    <x v="0"/>
    <n v="3"/>
    <n v="7"/>
    <x v="1"/>
    <m/>
    <x v="2"/>
    <x v="2"/>
    <x v="2"/>
    <n v="1"/>
    <n v="1"/>
    <n v="0"/>
  </r>
  <r>
    <s v="E11069"/>
    <x v="4"/>
    <x v="2"/>
    <s v="Female"/>
    <n v="46"/>
    <s v="46+"/>
    <x v="0"/>
    <d v="2015-12-13T00:00:00"/>
    <n v="10.1"/>
    <x v="1"/>
    <n v="8200"/>
    <x v="0"/>
    <x v="0"/>
    <n v="3"/>
    <n v="22"/>
    <x v="1"/>
    <m/>
    <x v="2"/>
    <x v="2"/>
    <x v="2"/>
    <n v="1"/>
    <n v="1"/>
    <n v="0"/>
  </r>
  <r>
    <s v="E11070"/>
    <x v="1"/>
    <x v="1"/>
    <s v="Male"/>
    <n v="37"/>
    <s v="36-45"/>
    <x v="1"/>
    <d v="2017-08-02T00:00:00"/>
    <n v="8.4"/>
    <x v="1"/>
    <n v="4100"/>
    <x v="1"/>
    <x v="1"/>
    <n v="4"/>
    <n v="27"/>
    <x v="1"/>
    <m/>
    <x v="2"/>
    <x v="2"/>
    <x v="2"/>
    <n v="1"/>
    <n v="1"/>
    <n v="0"/>
  </r>
  <r>
    <s v="E11071"/>
    <x v="6"/>
    <x v="0"/>
    <s v="Female"/>
    <n v="26"/>
    <s v="26-35"/>
    <x v="0"/>
    <d v="2022-10-10T00:00:00"/>
    <n v="3.2"/>
    <x v="2"/>
    <n v="3750"/>
    <x v="0"/>
    <x v="0"/>
    <n v="4"/>
    <n v="31"/>
    <x v="1"/>
    <m/>
    <x v="2"/>
    <x v="2"/>
    <x v="2"/>
    <n v="1"/>
    <n v="1"/>
    <n v="0"/>
  </r>
  <r>
    <s v="E11072"/>
    <x v="5"/>
    <x v="0"/>
    <s v="Male"/>
    <n v="32"/>
    <s v="26-35"/>
    <x v="1"/>
    <d v="2020-05-18T00:00:00"/>
    <n v="5.6"/>
    <x v="1"/>
    <n v="3700"/>
    <x v="0"/>
    <x v="1"/>
    <n v="4"/>
    <n v="27"/>
    <x v="1"/>
    <m/>
    <x v="2"/>
    <x v="2"/>
    <x v="2"/>
    <n v="1"/>
    <n v="1"/>
    <n v="0"/>
  </r>
  <r>
    <s v="E11073"/>
    <x v="6"/>
    <x v="0"/>
    <s v="Male"/>
    <n v="30"/>
    <s v="26-35"/>
    <x v="1"/>
    <d v="2023-11-12T00:00:00"/>
    <n v="2.1"/>
    <x v="0"/>
    <n v="3500"/>
    <x v="0"/>
    <x v="0"/>
    <n v="3"/>
    <n v="25"/>
    <x v="1"/>
    <m/>
    <x v="2"/>
    <x v="2"/>
    <x v="2"/>
    <n v="1"/>
    <n v="1"/>
    <n v="0"/>
  </r>
  <r>
    <s v="E11074"/>
    <x v="5"/>
    <x v="0"/>
    <s v="Male"/>
    <n v="21"/>
    <s v="20-25"/>
    <x v="2"/>
    <d v="2025-10-31T00:00:00"/>
    <n v="0.2"/>
    <x v="3"/>
    <n v="3650"/>
    <x v="1"/>
    <x v="2"/>
    <n v="5"/>
    <n v="30"/>
    <x v="1"/>
    <m/>
    <x v="2"/>
    <x v="2"/>
    <x v="2"/>
    <n v="1"/>
    <n v="1"/>
    <n v="0"/>
  </r>
  <r>
    <s v="E11075"/>
    <x v="1"/>
    <x v="2"/>
    <s v="Female"/>
    <n v="48"/>
    <s v="46+"/>
    <x v="1"/>
    <d v="2017-08-25T00:00:00"/>
    <n v="8.4"/>
    <x v="1"/>
    <n v="5650"/>
    <x v="1"/>
    <x v="1"/>
    <n v="3"/>
    <n v="18"/>
    <x v="1"/>
    <m/>
    <x v="2"/>
    <x v="2"/>
    <x v="2"/>
    <n v="1"/>
    <n v="1"/>
    <n v="0"/>
  </r>
  <r>
    <s v="E11076"/>
    <x v="4"/>
    <x v="1"/>
    <s v="Female"/>
    <n v="38"/>
    <s v="36-45"/>
    <x v="0"/>
    <d v="2015-03-09T00:00:00"/>
    <n v="10.8"/>
    <x v="1"/>
    <n v="6300"/>
    <x v="0"/>
    <x v="1"/>
    <n v="4"/>
    <n v="27"/>
    <x v="1"/>
    <m/>
    <x v="2"/>
    <x v="2"/>
    <x v="2"/>
    <n v="1"/>
    <n v="1"/>
    <n v="0"/>
  </r>
  <r>
    <s v="E11077"/>
    <x v="5"/>
    <x v="0"/>
    <s v="Male"/>
    <n v="37"/>
    <s v="36-45"/>
    <x v="1"/>
    <d v="2023-07-27T00:00:00"/>
    <n v="2.4"/>
    <x v="0"/>
    <n v="4300"/>
    <x v="0"/>
    <x v="4"/>
    <n v="4"/>
    <n v="30"/>
    <x v="1"/>
    <m/>
    <x v="2"/>
    <x v="2"/>
    <x v="2"/>
    <n v="1"/>
    <n v="1"/>
    <n v="0"/>
  </r>
  <r>
    <s v="E11078"/>
    <x v="5"/>
    <x v="0"/>
    <s v="Female"/>
    <n v="27"/>
    <s v="26-35"/>
    <x v="1"/>
    <d v="2024-07-17T00:00:00"/>
    <n v="0.8"/>
    <x v="3"/>
    <n v="4600"/>
    <x v="1"/>
    <x v="1"/>
    <n v="5"/>
    <n v="24"/>
    <x v="0"/>
    <d v="2025-05-19T00:00:00"/>
    <x v="1"/>
    <x v="9"/>
    <x v="0"/>
    <n v="1"/>
    <n v="0"/>
    <n v="1"/>
  </r>
  <r>
    <s v="E11079"/>
    <x v="3"/>
    <x v="2"/>
    <s v="Female"/>
    <n v="41"/>
    <s v="36-45"/>
    <x v="1"/>
    <d v="2014-01-18T00:00:00"/>
    <n v="12"/>
    <x v="1"/>
    <n v="11600"/>
    <x v="0"/>
    <x v="0"/>
    <n v="3"/>
    <n v="11"/>
    <x v="1"/>
    <m/>
    <x v="2"/>
    <x v="2"/>
    <x v="2"/>
    <n v="1"/>
    <n v="1"/>
    <n v="0"/>
  </r>
  <r>
    <s v="E11080"/>
    <x v="0"/>
    <x v="2"/>
    <s v="Female"/>
    <n v="34"/>
    <s v="26-35"/>
    <x v="2"/>
    <d v="2019-01-20T00:00:00"/>
    <n v="6.9"/>
    <x v="1"/>
    <n v="5850"/>
    <x v="0"/>
    <x v="1"/>
    <n v="3"/>
    <n v="16"/>
    <x v="1"/>
    <m/>
    <x v="2"/>
    <x v="2"/>
    <x v="2"/>
    <n v="1"/>
    <n v="1"/>
    <n v="0"/>
  </r>
  <r>
    <s v="E11081"/>
    <x v="5"/>
    <x v="2"/>
    <s v="Male"/>
    <n v="39"/>
    <s v="36-45"/>
    <x v="1"/>
    <d v="2020-06-20T00:00:00"/>
    <n v="5.5"/>
    <x v="1"/>
    <n v="9250"/>
    <x v="0"/>
    <x v="0"/>
    <n v="3"/>
    <n v="26"/>
    <x v="1"/>
    <m/>
    <x v="2"/>
    <x v="2"/>
    <x v="2"/>
    <n v="1"/>
    <n v="1"/>
    <n v="0"/>
  </r>
  <r>
    <s v="E11082"/>
    <x v="1"/>
    <x v="1"/>
    <s v="Male"/>
    <n v="39"/>
    <s v="36-45"/>
    <x v="1"/>
    <d v="2020-10-23T00:00:00"/>
    <n v="4.2"/>
    <x v="2"/>
    <n v="4750"/>
    <x v="1"/>
    <x v="4"/>
    <n v="3"/>
    <n v="40"/>
    <x v="0"/>
    <d v="2024-12-27T00:00:00"/>
    <x v="0"/>
    <x v="5"/>
    <x v="1"/>
    <n v="1"/>
    <n v="0"/>
    <n v="1"/>
  </r>
  <r>
    <s v="E11083"/>
    <x v="4"/>
    <x v="0"/>
    <s v="Male"/>
    <n v="35"/>
    <s v="26-35"/>
    <x v="2"/>
    <d v="2024-03-08T00:00:00"/>
    <n v="1.5"/>
    <x v="0"/>
    <n v="5200"/>
    <x v="1"/>
    <x v="1"/>
    <n v="2"/>
    <n v="32"/>
    <x v="0"/>
    <d v="2025-09-08T00:00:00"/>
    <x v="1"/>
    <x v="12"/>
    <x v="1"/>
    <n v="1"/>
    <n v="0"/>
    <n v="1"/>
  </r>
  <r>
    <s v="E11084"/>
    <x v="2"/>
    <x v="0"/>
    <s v="Male"/>
    <n v="36"/>
    <s v="36-45"/>
    <x v="0"/>
    <d v="2022-06-02T00:00:00"/>
    <n v="2.4"/>
    <x v="0"/>
    <n v="5400"/>
    <x v="0"/>
    <x v="1"/>
    <n v="4"/>
    <n v="22"/>
    <x v="0"/>
    <d v="2024-10-10T00:00:00"/>
    <x v="0"/>
    <x v="11"/>
    <x v="4"/>
    <n v="1"/>
    <n v="0"/>
    <n v="1"/>
  </r>
  <r>
    <s v="E11085"/>
    <x v="0"/>
    <x v="0"/>
    <s v="Female"/>
    <n v="22"/>
    <s v="20-25"/>
    <x v="0"/>
    <d v="2025-08-26T00:00:00"/>
    <n v="0.3"/>
    <x v="3"/>
    <n v="2650"/>
    <x v="0"/>
    <x v="1"/>
    <n v="3"/>
    <n v="32"/>
    <x v="1"/>
    <m/>
    <x v="2"/>
    <x v="2"/>
    <x v="2"/>
    <n v="1"/>
    <n v="1"/>
    <n v="0"/>
  </r>
  <r>
    <s v="E11086"/>
    <x v="5"/>
    <x v="0"/>
    <s v="Male"/>
    <n v="21"/>
    <s v="20-25"/>
    <x v="1"/>
    <d v="2025-12-04T00:00:00"/>
    <n v="0.1"/>
    <x v="3"/>
    <n v="3800"/>
    <x v="1"/>
    <x v="0"/>
    <n v="3"/>
    <n v="31"/>
    <x v="1"/>
    <m/>
    <x v="2"/>
    <x v="2"/>
    <x v="2"/>
    <n v="1"/>
    <n v="1"/>
    <n v="0"/>
  </r>
  <r>
    <s v="E11087"/>
    <x v="2"/>
    <x v="1"/>
    <s v="Female"/>
    <n v="36"/>
    <s v="36-45"/>
    <x v="0"/>
    <d v="2019-11-15T00:00:00"/>
    <n v="5.4"/>
    <x v="1"/>
    <n v="7150"/>
    <x v="1"/>
    <x v="1"/>
    <n v="5"/>
    <n v="26"/>
    <x v="0"/>
    <d v="2025-04-22T00:00:00"/>
    <x v="1"/>
    <x v="8"/>
    <x v="3"/>
    <n v="1"/>
    <n v="0"/>
    <n v="1"/>
  </r>
  <r>
    <s v="E11088"/>
    <x v="0"/>
    <x v="0"/>
    <s v="Male"/>
    <n v="21"/>
    <s v="20-25"/>
    <x v="1"/>
    <d v="2025-10-29T00:00:00"/>
    <n v="0"/>
    <x v="3"/>
    <n v="3350"/>
    <x v="1"/>
    <x v="0"/>
    <n v="5"/>
    <n v="5"/>
    <x v="0"/>
    <d v="2025-11-09T00:00:00"/>
    <x v="1"/>
    <x v="10"/>
    <x v="3"/>
    <n v="1"/>
    <n v="0"/>
    <n v="1"/>
  </r>
  <r>
    <s v="E11089"/>
    <x v="4"/>
    <x v="2"/>
    <s v="Female"/>
    <n v="40"/>
    <s v="36-45"/>
    <x v="1"/>
    <d v="2012-06-23T00:00:00"/>
    <n v="13.5"/>
    <x v="1"/>
    <n v="6900"/>
    <x v="1"/>
    <x v="4"/>
    <n v="5"/>
    <n v="37"/>
    <x v="1"/>
    <m/>
    <x v="2"/>
    <x v="2"/>
    <x v="2"/>
    <n v="1"/>
    <n v="1"/>
    <n v="0"/>
  </r>
  <r>
    <s v="E11090"/>
    <x v="0"/>
    <x v="0"/>
    <s v="Female"/>
    <n v="34"/>
    <s v="26-35"/>
    <x v="0"/>
    <d v="2015-10-24T00:00:00"/>
    <n v="10.199999999999999"/>
    <x v="1"/>
    <n v="2400"/>
    <x v="0"/>
    <x v="0"/>
    <n v="4"/>
    <n v="31"/>
    <x v="1"/>
    <m/>
    <x v="2"/>
    <x v="2"/>
    <x v="2"/>
    <n v="1"/>
    <n v="1"/>
    <n v="0"/>
  </r>
  <r>
    <s v="E11091"/>
    <x v="0"/>
    <x v="0"/>
    <s v="Male"/>
    <n v="28"/>
    <s v="26-35"/>
    <x v="0"/>
    <d v="2024-05-26T00:00:00"/>
    <n v="1.6"/>
    <x v="0"/>
    <n v="2900"/>
    <x v="0"/>
    <x v="0"/>
    <n v="3"/>
    <n v="16"/>
    <x v="1"/>
    <m/>
    <x v="2"/>
    <x v="2"/>
    <x v="2"/>
    <n v="1"/>
    <n v="1"/>
    <n v="0"/>
  </r>
  <r>
    <s v="E11092"/>
    <x v="4"/>
    <x v="1"/>
    <s v="Male"/>
    <n v="33"/>
    <s v="26-35"/>
    <x v="0"/>
    <d v="2020-11-22T00:00:00"/>
    <n v="5.0999999999999996"/>
    <x v="1"/>
    <n v="5900"/>
    <x v="0"/>
    <x v="1"/>
    <n v="2"/>
    <n v="21"/>
    <x v="1"/>
    <m/>
    <x v="2"/>
    <x v="2"/>
    <x v="2"/>
    <n v="1"/>
    <n v="1"/>
    <n v="0"/>
  </r>
  <r>
    <s v="E11093"/>
    <x v="5"/>
    <x v="0"/>
    <s v="Male"/>
    <n v="21"/>
    <s v="20-25"/>
    <x v="1"/>
    <d v="2025-11-09T00:00:00"/>
    <n v="0.1"/>
    <x v="3"/>
    <n v="4500"/>
    <x v="1"/>
    <x v="0"/>
    <n v="5"/>
    <n v="31"/>
    <x v="1"/>
    <m/>
    <x v="2"/>
    <x v="2"/>
    <x v="2"/>
    <n v="1"/>
    <n v="1"/>
    <n v="0"/>
  </r>
  <r>
    <s v="E11094"/>
    <x v="5"/>
    <x v="1"/>
    <s v="Female"/>
    <n v="29"/>
    <s v="26-35"/>
    <x v="1"/>
    <d v="2020-01-14T00:00:00"/>
    <n v="6"/>
    <x v="1"/>
    <n v="5000"/>
    <x v="0"/>
    <x v="2"/>
    <n v="4"/>
    <n v="32"/>
    <x v="1"/>
    <m/>
    <x v="2"/>
    <x v="2"/>
    <x v="2"/>
    <n v="1"/>
    <n v="1"/>
    <n v="0"/>
  </r>
  <r>
    <s v="E11095"/>
    <x v="5"/>
    <x v="3"/>
    <s v="Male"/>
    <n v="44"/>
    <s v="36-45"/>
    <x v="1"/>
    <d v="2015-11-04T00:00:00"/>
    <n v="10.199999999999999"/>
    <x v="1"/>
    <n v="8300"/>
    <x v="0"/>
    <x v="0"/>
    <n v="3"/>
    <n v="13"/>
    <x v="1"/>
    <m/>
    <x v="2"/>
    <x v="2"/>
    <x v="2"/>
    <n v="1"/>
    <n v="1"/>
    <n v="0"/>
  </r>
  <r>
    <s v="E11096"/>
    <x v="2"/>
    <x v="1"/>
    <s v="Male"/>
    <n v="32"/>
    <s v="26-35"/>
    <x v="0"/>
    <d v="2017-06-22T00:00:00"/>
    <n v="8.5"/>
    <x v="1"/>
    <n v="6600"/>
    <x v="0"/>
    <x v="2"/>
    <n v="3"/>
    <n v="14"/>
    <x v="1"/>
    <m/>
    <x v="2"/>
    <x v="2"/>
    <x v="2"/>
    <n v="1"/>
    <n v="1"/>
    <n v="0"/>
  </r>
  <r>
    <s v="E11097"/>
    <x v="3"/>
    <x v="1"/>
    <s v="Female"/>
    <n v="25"/>
    <s v="20-25"/>
    <x v="0"/>
    <d v="2024-05-09T00:00:00"/>
    <n v="1.6"/>
    <x v="0"/>
    <n v="7650"/>
    <x v="0"/>
    <x v="2"/>
    <n v="4"/>
    <n v="19"/>
    <x v="1"/>
    <m/>
    <x v="2"/>
    <x v="2"/>
    <x v="2"/>
    <n v="1"/>
    <n v="1"/>
    <n v="0"/>
  </r>
  <r>
    <s v="E11098"/>
    <x v="4"/>
    <x v="0"/>
    <s v="Male"/>
    <n v="21"/>
    <s v="20-25"/>
    <x v="0"/>
    <d v="2025-12-13T00:00:00"/>
    <n v="0"/>
    <x v="3"/>
    <n v="4600"/>
    <x v="0"/>
    <x v="1"/>
    <n v="3"/>
    <n v="27"/>
    <x v="0"/>
    <d v="2025-12-26T00:00:00"/>
    <x v="1"/>
    <x v="5"/>
    <x v="1"/>
    <n v="1"/>
    <n v="0"/>
    <n v="1"/>
  </r>
  <r>
    <s v="E11099"/>
    <x v="0"/>
    <x v="1"/>
    <s v="Male"/>
    <n v="32"/>
    <s v="26-35"/>
    <x v="0"/>
    <d v="2019-07-23T00:00:00"/>
    <n v="6.4"/>
    <x v="1"/>
    <n v="3450"/>
    <x v="0"/>
    <x v="2"/>
    <n v="5"/>
    <n v="19"/>
    <x v="1"/>
    <m/>
    <x v="2"/>
    <x v="2"/>
    <x v="2"/>
    <n v="1"/>
    <n v="1"/>
    <n v="0"/>
  </r>
  <r>
    <s v="E11100"/>
    <x v="1"/>
    <x v="0"/>
    <s v="Male"/>
    <n v="37"/>
    <s v="36-45"/>
    <x v="1"/>
    <d v="2014-07-02T00:00:00"/>
    <n v="10"/>
    <x v="1"/>
    <n v="2650"/>
    <x v="1"/>
    <x v="1"/>
    <n v="4"/>
    <n v="27"/>
    <x v="0"/>
    <d v="2024-06-30T00:00:00"/>
    <x v="0"/>
    <x v="0"/>
    <x v="3"/>
    <n v="1"/>
    <n v="0"/>
    <n v="1"/>
  </r>
  <r>
    <s v="E11101"/>
    <x v="6"/>
    <x v="0"/>
    <s v="Female"/>
    <n v="33"/>
    <s v="26-35"/>
    <x v="1"/>
    <d v="2024-02-07T00:00:00"/>
    <n v="1.9"/>
    <x v="0"/>
    <n v="3850"/>
    <x v="0"/>
    <x v="0"/>
    <n v="2"/>
    <n v="21"/>
    <x v="1"/>
    <m/>
    <x v="2"/>
    <x v="2"/>
    <x v="2"/>
    <n v="1"/>
    <n v="1"/>
    <n v="0"/>
  </r>
  <r>
    <s v="E11102"/>
    <x v="2"/>
    <x v="3"/>
    <s v="Male"/>
    <n v="44"/>
    <s v="36-45"/>
    <x v="2"/>
    <d v="2016-08-24T00:00:00"/>
    <n v="9.4"/>
    <x v="1"/>
    <n v="12850"/>
    <x v="0"/>
    <x v="0"/>
    <n v="4"/>
    <n v="24"/>
    <x v="1"/>
    <m/>
    <x v="2"/>
    <x v="2"/>
    <x v="2"/>
    <n v="1"/>
    <n v="1"/>
    <n v="0"/>
  </r>
  <r>
    <s v="E11103"/>
    <x v="1"/>
    <x v="1"/>
    <s v="Male"/>
    <n v="40"/>
    <s v="36-45"/>
    <x v="1"/>
    <d v="2012-07-12T00:00:00"/>
    <n v="13.5"/>
    <x v="1"/>
    <n v="4900"/>
    <x v="1"/>
    <x v="0"/>
    <n v="3"/>
    <n v="47"/>
    <x v="1"/>
    <m/>
    <x v="2"/>
    <x v="2"/>
    <x v="2"/>
    <n v="1"/>
    <n v="1"/>
    <n v="0"/>
  </r>
  <r>
    <s v="E11104"/>
    <x v="0"/>
    <x v="0"/>
    <s v="Male"/>
    <n v="21"/>
    <s v="20-25"/>
    <x v="1"/>
    <d v="2025-12-01T00:00:00"/>
    <n v="0.1"/>
    <x v="3"/>
    <n v="2600"/>
    <x v="0"/>
    <x v="1"/>
    <n v="3"/>
    <n v="28"/>
    <x v="1"/>
    <m/>
    <x v="2"/>
    <x v="2"/>
    <x v="2"/>
    <n v="1"/>
    <n v="1"/>
    <n v="0"/>
  </r>
  <r>
    <s v="E11105"/>
    <x v="3"/>
    <x v="0"/>
    <s v="Female"/>
    <n v="33"/>
    <s v="26-35"/>
    <x v="2"/>
    <d v="2018-06-26T00:00:00"/>
    <n v="7.5"/>
    <x v="1"/>
    <n v="6100"/>
    <x v="1"/>
    <x v="1"/>
    <n v="3"/>
    <n v="27"/>
    <x v="1"/>
    <m/>
    <x v="2"/>
    <x v="2"/>
    <x v="2"/>
    <n v="1"/>
    <n v="1"/>
    <n v="0"/>
  </r>
  <r>
    <s v="E11106"/>
    <x v="3"/>
    <x v="0"/>
    <s v="Male"/>
    <n v="27"/>
    <s v="26-35"/>
    <x v="1"/>
    <d v="2023-02-04T00:00:00"/>
    <n v="2.9"/>
    <x v="0"/>
    <n v="6150"/>
    <x v="0"/>
    <x v="4"/>
    <n v="3"/>
    <n v="29"/>
    <x v="1"/>
    <m/>
    <x v="2"/>
    <x v="2"/>
    <x v="2"/>
    <n v="1"/>
    <n v="1"/>
    <n v="0"/>
  </r>
  <r>
    <s v="E11107"/>
    <x v="3"/>
    <x v="0"/>
    <s v="Female"/>
    <n v="28"/>
    <s v="26-35"/>
    <x v="0"/>
    <d v="2022-05-23T00:00:00"/>
    <n v="3.6"/>
    <x v="2"/>
    <n v="4750"/>
    <x v="0"/>
    <x v="1"/>
    <n v="4"/>
    <n v="10"/>
    <x v="1"/>
    <m/>
    <x v="2"/>
    <x v="2"/>
    <x v="2"/>
    <n v="1"/>
    <n v="1"/>
    <n v="0"/>
  </r>
  <r>
    <s v="E11108"/>
    <x v="5"/>
    <x v="1"/>
    <s v="Female"/>
    <n v="27"/>
    <s v="26-35"/>
    <x v="1"/>
    <d v="2022-06-08T00:00:00"/>
    <n v="2.5"/>
    <x v="0"/>
    <n v="6450"/>
    <x v="0"/>
    <x v="4"/>
    <n v="5"/>
    <n v="32"/>
    <x v="0"/>
    <d v="2024-12-24T00:00:00"/>
    <x v="0"/>
    <x v="5"/>
    <x v="6"/>
    <n v="1"/>
    <n v="0"/>
    <n v="1"/>
  </r>
  <r>
    <s v="E11109"/>
    <x v="1"/>
    <x v="2"/>
    <s v="Male"/>
    <n v="46"/>
    <s v="46+"/>
    <x v="0"/>
    <d v="2013-03-18T00:00:00"/>
    <n v="12.2"/>
    <x v="1"/>
    <n v="5450"/>
    <x v="1"/>
    <x v="3"/>
    <n v="3"/>
    <n v="6"/>
    <x v="0"/>
    <d v="2025-05-18T00:00:00"/>
    <x v="1"/>
    <x v="9"/>
    <x v="0"/>
    <n v="1"/>
    <n v="0"/>
    <n v="1"/>
  </r>
  <r>
    <s v="E11110"/>
    <x v="4"/>
    <x v="0"/>
    <s v="Female"/>
    <n v="27"/>
    <s v="26-35"/>
    <x v="0"/>
    <d v="2025-01-23T00:00:00"/>
    <n v="0.9"/>
    <x v="3"/>
    <n v="4000"/>
    <x v="1"/>
    <x v="1"/>
    <n v="4"/>
    <n v="28"/>
    <x v="1"/>
    <m/>
    <x v="2"/>
    <x v="2"/>
    <x v="2"/>
    <n v="1"/>
    <n v="1"/>
    <n v="0"/>
  </r>
  <r>
    <s v="E11111"/>
    <x v="4"/>
    <x v="1"/>
    <s v="Male"/>
    <n v="27"/>
    <s v="26-35"/>
    <x v="2"/>
    <d v="2023-02-04T00:00:00"/>
    <n v="2.9"/>
    <x v="0"/>
    <n v="4900"/>
    <x v="1"/>
    <x v="1"/>
    <n v="4"/>
    <n v="30"/>
    <x v="1"/>
    <m/>
    <x v="2"/>
    <x v="2"/>
    <x v="2"/>
    <n v="1"/>
    <n v="1"/>
    <n v="0"/>
  </r>
  <r>
    <s v="E11112"/>
    <x v="6"/>
    <x v="0"/>
    <s v="Female"/>
    <n v="26"/>
    <s v="26-35"/>
    <x v="1"/>
    <d v="2023-05-11T00:00:00"/>
    <n v="2.6"/>
    <x v="0"/>
    <n v="4250"/>
    <x v="0"/>
    <x v="1"/>
    <n v="3"/>
    <n v="29"/>
    <x v="1"/>
    <m/>
    <x v="2"/>
    <x v="2"/>
    <x v="2"/>
    <n v="1"/>
    <n v="1"/>
    <n v="0"/>
  </r>
  <r>
    <s v="E11113"/>
    <x v="1"/>
    <x v="0"/>
    <s v="Female"/>
    <n v="21"/>
    <s v="20-25"/>
    <x v="1"/>
    <d v="2025-12-04T00:00:00"/>
    <n v="0.1"/>
    <x v="3"/>
    <n v="3500"/>
    <x v="0"/>
    <x v="1"/>
    <n v="5"/>
    <n v="11"/>
    <x v="1"/>
    <m/>
    <x v="2"/>
    <x v="2"/>
    <x v="2"/>
    <n v="1"/>
    <n v="1"/>
    <n v="0"/>
  </r>
  <r>
    <s v="E11114"/>
    <x v="1"/>
    <x v="3"/>
    <s v="Male"/>
    <n v="46"/>
    <s v="46+"/>
    <x v="0"/>
    <d v="2020-03-01T00:00:00"/>
    <n v="5.8"/>
    <x v="1"/>
    <n v="7750"/>
    <x v="0"/>
    <x v="0"/>
    <n v="3"/>
    <n v="14"/>
    <x v="1"/>
    <m/>
    <x v="2"/>
    <x v="2"/>
    <x v="2"/>
    <n v="1"/>
    <n v="1"/>
    <n v="0"/>
  </r>
  <r>
    <s v="E11115"/>
    <x v="2"/>
    <x v="1"/>
    <s v="Female"/>
    <n v="34"/>
    <s v="26-35"/>
    <x v="0"/>
    <d v="2018-09-27T00:00:00"/>
    <n v="7.3"/>
    <x v="1"/>
    <n v="5850"/>
    <x v="0"/>
    <x v="2"/>
    <n v="2"/>
    <n v="41"/>
    <x v="1"/>
    <m/>
    <x v="2"/>
    <x v="2"/>
    <x v="2"/>
    <n v="1"/>
    <n v="1"/>
    <n v="0"/>
  </r>
  <r>
    <s v="E11116"/>
    <x v="1"/>
    <x v="1"/>
    <s v="Male"/>
    <n v="33"/>
    <s v="26-35"/>
    <x v="1"/>
    <d v="2019-03-19T00:00:00"/>
    <n v="6.8"/>
    <x v="1"/>
    <n v="3600"/>
    <x v="0"/>
    <x v="1"/>
    <n v="3"/>
    <n v="23"/>
    <x v="1"/>
    <m/>
    <x v="2"/>
    <x v="2"/>
    <x v="2"/>
    <n v="1"/>
    <n v="1"/>
    <n v="0"/>
  </r>
  <r>
    <s v="E11117"/>
    <x v="1"/>
    <x v="0"/>
    <s v="Male"/>
    <n v="26"/>
    <s v="26-35"/>
    <x v="0"/>
    <d v="2025-01-24T00:00:00"/>
    <n v="0.9"/>
    <x v="3"/>
    <n v="3600"/>
    <x v="0"/>
    <x v="1"/>
    <n v="4"/>
    <n v="32"/>
    <x v="1"/>
    <m/>
    <x v="2"/>
    <x v="2"/>
    <x v="2"/>
    <n v="1"/>
    <n v="1"/>
    <n v="0"/>
  </r>
  <r>
    <s v="E11118"/>
    <x v="3"/>
    <x v="0"/>
    <s v="Male"/>
    <n v="25"/>
    <s v="20-25"/>
    <x v="2"/>
    <d v="2024-09-08T00:00:00"/>
    <n v="1.3"/>
    <x v="0"/>
    <n v="6750"/>
    <x v="0"/>
    <x v="1"/>
    <n v="4"/>
    <n v="24"/>
    <x v="1"/>
    <m/>
    <x v="2"/>
    <x v="2"/>
    <x v="2"/>
    <n v="1"/>
    <n v="1"/>
    <n v="0"/>
  </r>
  <r>
    <s v="E11119"/>
    <x v="5"/>
    <x v="1"/>
    <s v="Male"/>
    <n v="35"/>
    <s v="26-35"/>
    <x v="0"/>
    <d v="2017-03-29T00:00:00"/>
    <n v="8.8000000000000007"/>
    <x v="1"/>
    <n v="5150"/>
    <x v="0"/>
    <x v="0"/>
    <n v="3"/>
    <n v="32"/>
    <x v="1"/>
    <m/>
    <x v="2"/>
    <x v="2"/>
    <x v="2"/>
    <n v="1"/>
    <n v="1"/>
    <n v="0"/>
  </r>
  <r>
    <s v="E11120"/>
    <x v="0"/>
    <x v="0"/>
    <s v="Male"/>
    <n v="32"/>
    <s v="26-35"/>
    <x v="0"/>
    <d v="2018-04-02T00:00:00"/>
    <n v="6.3"/>
    <x v="1"/>
    <n v="2350"/>
    <x v="1"/>
    <x v="4"/>
    <n v="3"/>
    <n v="18"/>
    <x v="0"/>
    <d v="2024-07-10T00:00:00"/>
    <x v="0"/>
    <x v="4"/>
    <x v="0"/>
    <n v="1"/>
    <n v="0"/>
    <n v="1"/>
  </r>
  <r>
    <s v="E11121"/>
    <x v="3"/>
    <x v="0"/>
    <s v="Female"/>
    <n v="21"/>
    <s v="20-25"/>
    <x v="0"/>
    <d v="2025-11-20T00:00:00"/>
    <n v="0.1"/>
    <x v="3"/>
    <n v="5650"/>
    <x v="0"/>
    <x v="2"/>
    <n v="5"/>
    <n v="24"/>
    <x v="1"/>
    <m/>
    <x v="2"/>
    <x v="2"/>
    <x v="2"/>
    <n v="1"/>
    <n v="1"/>
    <n v="0"/>
  </r>
  <r>
    <s v="E11122"/>
    <x v="3"/>
    <x v="2"/>
    <s v="Male"/>
    <n v="46"/>
    <s v="46+"/>
    <x v="2"/>
    <d v="2017-07-13T00:00:00"/>
    <n v="8.5"/>
    <x v="1"/>
    <n v="9950"/>
    <x v="0"/>
    <x v="0"/>
    <n v="4"/>
    <n v="28"/>
    <x v="1"/>
    <m/>
    <x v="2"/>
    <x v="2"/>
    <x v="2"/>
    <n v="1"/>
    <n v="1"/>
    <n v="0"/>
  </r>
  <r>
    <s v="E11123"/>
    <x v="3"/>
    <x v="0"/>
    <s v="Female"/>
    <n v="23"/>
    <s v="20-25"/>
    <x v="1"/>
    <d v="2025-04-16T00:00:00"/>
    <n v="0.7"/>
    <x v="3"/>
    <n v="5400"/>
    <x v="0"/>
    <x v="1"/>
    <n v="3"/>
    <n v="27"/>
    <x v="1"/>
    <m/>
    <x v="2"/>
    <x v="2"/>
    <x v="2"/>
    <n v="1"/>
    <n v="1"/>
    <n v="0"/>
  </r>
  <r>
    <s v="E11124"/>
    <x v="0"/>
    <x v="2"/>
    <s v="Female"/>
    <n v="29"/>
    <s v="26-35"/>
    <x v="1"/>
    <d v="2023-03-18T00:00:00"/>
    <n v="2.8"/>
    <x v="0"/>
    <n v="5850"/>
    <x v="1"/>
    <x v="1"/>
    <n v="2"/>
    <n v="21"/>
    <x v="1"/>
    <m/>
    <x v="2"/>
    <x v="2"/>
    <x v="2"/>
    <n v="1"/>
    <n v="1"/>
    <n v="0"/>
  </r>
  <r>
    <s v="E11125"/>
    <x v="5"/>
    <x v="1"/>
    <s v="Male"/>
    <n v="37"/>
    <s v="36-45"/>
    <x v="0"/>
    <d v="2015-08-23T00:00:00"/>
    <n v="10.4"/>
    <x v="1"/>
    <n v="5050"/>
    <x v="0"/>
    <x v="1"/>
    <n v="3"/>
    <n v="39"/>
    <x v="1"/>
    <m/>
    <x v="2"/>
    <x v="2"/>
    <x v="2"/>
    <n v="1"/>
    <n v="1"/>
    <n v="0"/>
  </r>
  <r>
    <s v="E11126"/>
    <x v="3"/>
    <x v="0"/>
    <s v="Male"/>
    <n v="21"/>
    <s v="20-25"/>
    <x v="1"/>
    <d v="2025-12-14T00:00:00"/>
    <n v="0"/>
    <x v="3"/>
    <n v="5200"/>
    <x v="1"/>
    <x v="1"/>
    <n v="4"/>
    <n v="30"/>
    <x v="1"/>
    <m/>
    <x v="2"/>
    <x v="2"/>
    <x v="2"/>
    <n v="1"/>
    <n v="1"/>
    <n v="0"/>
  </r>
  <r>
    <s v="E11127"/>
    <x v="4"/>
    <x v="1"/>
    <s v="Male"/>
    <n v="34"/>
    <s v="26-35"/>
    <x v="2"/>
    <d v="2018-02-05T00:00:00"/>
    <n v="7.9"/>
    <x v="1"/>
    <n v="4800"/>
    <x v="0"/>
    <x v="4"/>
    <n v="4"/>
    <n v="25"/>
    <x v="1"/>
    <m/>
    <x v="2"/>
    <x v="2"/>
    <x v="2"/>
    <n v="1"/>
    <n v="1"/>
    <n v="0"/>
  </r>
  <r>
    <s v="E11128"/>
    <x v="0"/>
    <x v="0"/>
    <s v="Female"/>
    <n v="25"/>
    <s v="20-25"/>
    <x v="1"/>
    <d v="2023-10-18T00:00:00"/>
    <n v="2.2000000000000002"/>
    <x v="0"/>
    <n v="3600"/>
    <x v="0"/>
    <x v="1"/>
    <n v="3"/>
    <n v="17"/>
    <x v="1"/>
    <m/>
    <x v="2"/>
    <x v="2"/>
    <x v="2"/>
    <n v="1"/>
    <n v="1"/>
    <n v="0"/>
  </r>
  <r>
    <s v="E11129"/>
    <x v="0"/>
    <x v="1"/>
    <s v="Male"/>
    <n v="32"/>
    <s v="26-35"/>
    <x v="0"/>
    <d v="2024-02-14T00:00:00"/>
    <n v="1.9"/>
    <x v="0"/>
    <n v="3700"/>
    <x v="0"/>
    <x v="1"/>
    <n v="5"/>
    <n v="35"/>
    <x v="1"/>
    <m/>
    <x v="2"/>
    <x v="2"/>
    <x v="2"/>
    <n v="1"/>
    <n v="1"/>
    <n v="0"/>
  </r>
  <r>
    <s v="E11130"/>
    <x v="2"/>
    <x v="2"/>
    <s v="Male"/>
    <n v="37"/>
    <s v="36-45"/>
    <x v="0"/>
    <d v="2022-11-07T00:00:00"/>
    <n v="3.1"/>
    <x v="2"/>
    <n v="9250"/>
    <x v="0"/>
    <x v="0"/>
    <n v="3"/>
    <n v="12"/>
    <x v="1"/>
    <m/>
    <x v="2"/>
    <x v="2"/>
    <x v="2"/>
    <n v="1"/>
    <n v="1"/>
    <n v="0"/>
  </r>
  <r>
    <s v="E11131"/>
    <x v="5"/>
    <x v="1"/>
    <s v="Male"/>
    <n v="32"/>
    <s v="26-35"/>
    <x v="0"/>
    <d v="2019-01-03T00:00:00"/>
    <n v="7"/>
    <x v="1"/>
    <n v="5400"/>
    <x v="1"/>
    <x v="1"/>
    <n v="4"/>
    <n v="34"/>
    <x v="1"/>
    <m/>
    <x v="2"/>
    <x v="2"/>
    <x v="2"/>
    <n v="1"/>
    <n v="1"/>
    <n v="0"/>
  </r>
  <r>
    <s v="E11132"/>
    <x v="6"/>
    <x v="1"/>
    <s v="Male"/>
    <n v="36"/>
    <s v="36-45"/>
    <x v="1"/>
    <d v="2023-12-07T00:00:00"/>
    <n v="2.1"/>
    <x v="0"/>
    <n v="4550"/>
    <x v="1"/>
    <x v="4"/>
    <n v="3"/>
    <n v="41"/>
    <x v="1"/>
    <m/>
    <x v="2"/>
    <x v="2"/>
    <x v="2"/>
    <n v="1"/>
    <n v="1"/>
    <n v="0"/>
  </r>
  <r>
    <s v="E11133"/>
    <x v="4"/>
    <x v="0"/>
    <s v="Male"/>
    <n v="32"/>
    <s v="26-35"/>
    <x v="1"/>
    <d v="2019-08-12T00:00:00"/>
    <n v="6.4"/>
    <x v="1"/>
    <n v="3900"/>
    <x v="0"/>
    <x v="1"/>
    <n v="3"/>
    <n v="10"/>
    <x v="1"/>
    <m/>
    <x v="2"/>
    <x v="2"/>
    <x v="2"/>
    <n v="1"/>
    <n v="1"/>
    <n v="0"/>
  </r>
  <r>
    <s v="E11134"/>
    <x v="4"/>
    <x v="0"/>
    <s v="Male"/>
    <n v="32"/>
    <s v="26-35"/>
    <x v="0"/>
    <d v="2018-03-04T00:00:00"/>
    <n v="7.8"/>
    <x v="1"/>
    <n v="5100"/>
    <x v="0"/>
    <x v="1"/>
    <n v="5"/>
    <n v="28"/>
    <x v="1"/>
    <m/>
    <x v="2"/>
    <x v="2"/>
    <x v="2"/>
    <n v="1"/>
    <n v="1"/>
    <n v="0"/>
  </r>
  <r>
    <s v="E11135"/>
    <x v="1"/>
    <x v="1"/>
    <s v="Female"/>
    <n v="30"/>
    <s v="26-35"/>
    <x v="0"/>
    <d v="2022-08-13T00:00:00"/>
    <n v="3.4"/>
    <x v="2"/>
    <n v="3550"/>
    <x v="1"/>
    <x v="1"/>
    <n v="3"/>
    <n v="25"/>
    <x v="1"/>
    <m/>
    <x v="2"/>
    <x v="2"/>
    <x v="2"/>
    <n v="1"/>
    <n v="1"/>
    <n v="0"/>
  </r>
  <r>
    <s v="E11136"/>
    <x v="0"/>
    <x v="2"/>
    <s v="Female"/>
    <n v="39"/>
    <s v="36-45"/>
    <x v="1"/>
    <d v="2014-09-15T00:00:00"/>
    <n v="11.3"/>
    <x v="1"/>
    <n v="6900"/>
    <x v="0"/>
    <x v="0"/>
    <n v="4"/>
    <n v="14"/>
    <x v="1"/>
    <m/>
    <x v="2"/>
    <x v="2"/>
    <x v="2"/>
    <n v="1"/>
    <n v="1"/>
    <n v="0"/>
  </r>
  <r>
    <s v="E11137"/>
    <x v="3"/>
    <x v="0"/>
    <s v="Male"/>
    <n v="21"/>
    <s v="20-25"/>
    <x v="1"/>
    <d v="2025-10-03T00:00:00"/>
    <n v="0.2"/>
    <x v="3"/>
    <n v="5450"/>
    <x v="0"/>
    <x v="1"/>
    <n v="3"/>
    <n v="23"/>
    <x v="1"/>
    <m/>
    <x v="2"/>
    <x v="2"/>
    <x v="2"/>
    <n v="1"/>
    <n v="1"/>
    <n v="0"/>
  </r>
  <r>
    <s v="E11138"/>
    <x v="5"/>
    <x v="0"/>
    <s v="Male"/>
    <n v="35"/>
    <s v="26-35"/>
    <x v="2"/>
    <d v="2021-01-31T00:00:00"/>
    <n v="4.9000000000000004"/>
    <x v="2"/>
    <n v="3850"/>
    <x v="0"/>
    <x v="1"/>
    <n v="3"/>
    <n v="33"/>
    <x v="1"/>
    <m/>
    <x v="2"/>
    <x v="2"/>
    <x v="2"/>
    <n v="1"/>
    <n v="1"/>
    <n v="0"/>
  </r>
  <r>
    <s v="E11139"/>
    <x v="5"/>
    <x v="1"/>
    <s v="Male"/>
    <n v="24"/>
    <s v="20-25"/>
    <x v="1"/>
    <d v="2025-03-05T00:00:00"/>
    <n v="0.8"/>
    <x v="3"/>
    <n v="5200"/>
    <x v="1"/>
    <x v="0"/>
    <n v="3"/>
    <n v="31"/>
    <x v="1"/>
    <m/>
    <x v="2"/>
    <x v="2"/>
    <x v="2"/>
    <n v="1"/>
    <n v="1"/>
    <n v="0"/>
  </r>
  <r>
    <s v="E11140"/>
    <x v="0"/>
    <x v="0"/>
    <s v="Female"/>
    <n v="21"/>
    <s v="20-25"/>
    <x v="1"/>
    <d v="2025-11-02T00:00:00"/>
    <n v="0.1"/>
    <x v="3"/>
    <n v="2050"/>
    <x v="1"/>
    <x v="1"/>
    <n v="3"/>
    <n v="0"/>
    <x v="0"/>
    <d v="2025-12-25T00:00:00"/>
    <x v="1"/>
    <x v="5"/>
    <x v="3"/>
    <n v="1"/>
    <n v="0"/>
    <n v="1"/>
  </r>
  <r>
    <s v="E11141"/>
    <x v="2"/>
    <x v="2"/>
    <s v="Male"/>
    <n v="37"/>
    <s v="36-45"/>
    <x v="2"/>
    <d v="2020-12-24T00:00:00"/>
    <n v="5"/>
    <x v="2"/>
    <n v="10600"/>
    <x v="0"/>
    <x v="1"/>
    <n v="4"/>
    <n v="11"/>
    <x v="1"/>
    <m/>
    <x v="2"/>
    <x v="2"/>
    <x v="2"/>
    <n v="1"/>
    <n v="1"/>
    <n v="0"/>
  </r>
  <r>
    <s v="E11142"/>
    <x v="0"/>
    <x v="1"/>
    <s v="Female"/>
    <n v="31"/>
    <s v="26-35"/>
    <x v="0"/>
    <d v="2019-10-26T00:00:00"/>
    <n v="6.2"/>
    <x v="1"/>
    <n v="4050"/>
    <x v="0"/>
    <x v="1"/>
    <n v="4"/>
    <n v="30"/>
    <x v="1"/>
    <m/>
    <x v="2"/>
    <x v="2"/>
    <x v="2"/>
    <n v="1"/>
    <n v="1"/>
    <n v="0"/>
  </r>
  <r>
    <s v="E11143"/>
    <x v="0"/>
    <x v="2"/>
    <s v="Female"/>
    <n v="49"/>
    <s v="46+"/>
    <x v="0"/>
    <d v="2015-11-16T00:00:00"/>
    <n v="10.1"/>
    <x v="1"/>
    <n v="5300"/>
    <x v="1"/>
    <x v="1"/>
    <n v="4"/>
    <n v="17"/>
    <x v="1"/>
    <m/>
    <x v="2"/>
    <x v="2"/>
    <x v="2"/>
    <n v="1"/>
    <n v="1"/>
    <n v="0"/>
  </r>
  <r>
    <s v="E11144"/>
    <x v="3"/>
    <x v="2"/>
    <s v="Female"/>
    <n v="41"/>
    <s v="36-45"/>
    <x v="2"/>
    <d v="2017-02-12T00:00:00"/>
    <n v="8.9"/>
    <x v="1"/>
    <n v="10700"/>
    <x v="0"/>
    <x v="1"/>
    <n v="3"/>
    <n v="18"/>
    <x v="1"/>
    <m/>
    <x v="2"/>
    <x v="2"/>
    <x v="2"/>
    <n v="1"/>
    <n v="1"/>
    <n v="0"/>
  </r>
  <r>
    <s v="E11145"/>
    <x v="3"/>
    <x v="0"/>
    <s v="Female"/>
    <n v="23"/>
    <s v="20-25"/>
    <x v="0"/>
    <d v="2025-03-21T00:00:00"/>
    <n v="0.8"/>
    <x v="3"/>
    <n v="6200"/>
    <x v="0"/>
    <x v="0"/>
    <n v="3"/>
    <n v="17"/>
    <x v="1"/>
    <m/>
    <x v="2"/>
    <x v="2"/>
    <x v="2"/>
    <n v="1"/>
    <n v="1"/>
    <n v="0"/>
  </r>
  <r>
    <s v="E11146"/>
    <x v="0"/>
    <x v="1"/>
    <s v="Male"/>
    <n v="28"/>
    <s v="26-35"/>
    <x v="1"/>
    <d v="2024-05-09T00:00:00"/>
    <n v="1.6"/>
    <x v="0"/>
    <n v="3200"/>
    <x v="0"/>
    <x v="0"/>
    <n v="4"/>
    <n v="15"/>
    <x v="1"/>
    <m/>
    <x v="2"/>
    <x v="2"/>
    <x v="2"/>
    <n v="1"/>
    <n v="1"/>
    <n v="0"/>
  </r>
  <r>
    <s v="E11147"/>
    <x v="3"/>
    <x v="0"/>
    <s v="Male"/>
    <n v="27"/>
    <s v="26-35"/>
    <x v="2"/>
    <d v="2022-07-22T00:00:00"/>
    <n v="3.4"/>
    <x v="2"/>
    <n v="4300"/>
    <x v="0"/>
    <x v="2"/>
    <n v="4"/>
    <n v="19"/>
    <x v="1"/>
    <m/>
    <x v="2"/>
    <x v="2"/>
    <x v="2"/>
    <n v="1"/>
    <n v="1"/>
    <n v="0"/>
  </r>
  <r>
    <s v="E11148"/>
    <x v="5"/>
    <x v="1"/>
    <s v="Male"/>
    <n v="32"/>
    <s v="26-35"/>
    <x v="1"/>
    <d v="2021-10-19T00:00:00"/>
    <n v="4.2"/>
    <x v="2"/>
    <n v="5250"/>
    <x v="0"/>
    <x v="1"/>
    <n v="5"/>
    <n v="42"/>
    <x v="1"/>
    <m/>
    <x v="2"/>
    <x v="2"/>
    <x v="2"/>
    <n v="1"/>
    <n v="1"/>
    <n v="0"/>
  </r>
  <r>
    <s v="E11149"/>
    <x v="4"/>
    <x v="2"/>
    <s v="Female"/>
    <n v="41"/>
    <s v="36-45"/>
    <x v="1"/>
    <d v="2012-12-22T00:00:00"/>
    <n v="13"/>
    <x v="1"/>
    <n v="8250"/>
    <x v="0"/>
    <x v="0"/>
    <n v="3"/>
    <n v="32"/>
    <x v="1"/>
    <m/>
    <x v="2"/>
    <x v="2"/>
    <x v="2"/>
    <n v="1"/>
    <n v="1"/>
    <n v="0"/>
  </r>
  <r>
    <s v="E11150"/>
    <x v="0"/>
    <x v="0"/>
    <s v="Female"/>
    <n v="26"/>
    <s v="26-35"/>
    <x v="1"/>
    <d v="2022-11-25T00:00:00"/>
    <n v="3.1"/>
    <x v="2"/>
    <n v="3150"/>
    <x v="0"/>
    <x v="2"/>
    <n v="3"/>
    <n v="17"/>
    <x v="1"/>
    <m/>
    <x v="2"/>
    <x v="2"/>
    <x v="2"/>
    <n v="1"/>
    <n v="1"/>
    <n v="0"/>
  </r>
  <r>
    <s v="E11151"/>
    <x v="2"/>
    <x v="3"/>
    <s v="Female"/>
    <n v="46"/>
    <s v="46+"/>
    <x v="1"/>
    <d v="2011-09-29T00:00:00"/>
    <n v="14.3"/>
    <x v="1"/>
    <n v="14050"/>
    <x v="0"/>
    <x v="1"/>
    <n v="3"/>
    <n v="16"/>
    <x v="1"/>
    <m/>
    <x v="2"/>
    <x v="2"/>
    <x v="2"/>
    <n v="1"/>
    <n v="1"/>
    <n v="0"/>
  </r>
  <r>
    <s v="E11152"/>
    <x v="3"/>
    <x v="0"/>
    <s v="Male"/>
    <n v="25"/>
    <s v="20-25"/>
    <x v="1"/>
    <d v="2023-07-11T00:00:00"/>
    <n v="2.1"/>
    <x v="0"/>
    <n v="5750"/>
    <x v="0"/>
    <x v="1"/>
    <n v="3"/>
    <n v="20"/>
    <x v="0"/>
    <d v="2025-08-21T00:00:00"/>
    <x v="1"/>
    <x v="1"/>
    <x v="1"/>
    <n v="1"/>
    <n v="0"/>
    <n v="1"/>
  </r>
  <r>
    <s v="E11153"/>
    <x v="1"/>
    <x v="3"/>
    <s v="Female"/>
    <n v="39"/>
    <s v="36-45"/>
    <x v="1"/>
    <d v="2023-10-11T00:00:00"/>
    <n v="2.2000000000000002"/>
    <x v="0"/>
    <n v="9200"/>
    <x v="1"/>
    <x v="0"/>
    <n v="4"/>
    <n v="26"/>
    <x v="1"/>
    <m/>
    <x v="2"/>
    <x v="2"/>
    <x v="2"/>
    <n v="1"/>
    <n v="1"/>
    <n v="0"/>
  </r>
  <r>
    <s v="E11154"/>
    <x v="0"/>
    <x v="0"/>
    <s v="Female"/>
    <n v="25"/>
    <s v="20-25"/>
    <x v="1"/>
    <d v="2023-09-21T00:00:00"/>
    <n v="1.3"/>
    <x v="0"/>
    <n v="2200"/>
    <x v="1"/>
    <x v="1"/>
    <n v="3"/>
    <n v="17"/>
    <x v="0"/>
    <d v="2025-01-17T00:00:00"/>
    <x v="1"/>
    <x v="7"/>
    <x v="3"/>
    <n v="1"/>
    <n v="0"/>
    <n v="1"/>
  </r>
  <r>
    <s v="E11155"/>
    <x v="1"/>
    <x v="0"/>
    <s v="Male"/>
    <n v="29"/>
    <s v="26-35"/>
    <x v="1"/>
    <d v="2020-01-10T00:00:00"/>
    <n v="6"/>
    <x v="1"/>
    <n v="3750"/>
    <x v="1"/>
    <x v="1"/>
    <n v="4"/>
    <n v="14"/>
    <x v="1"/>
    <m/>
    <x v="2"/>
    <x v="2"/>
    <x v="2"/>
    <n v="1"/>
    <n v="1"/>
    <n v="0"/>
  </r>
  <r>
    <s v="E11156"/>
    <x v="0"/>
    <x v="3"/>
    <s v="Female"/>
    <n v="42"/>
    <s v="36-45"/>
    <x v="0"/>
    <d v="2011-08-28T00:00:00"/>
    <n v="14.3"/>
    <x v="1"/>
    <n v="7450"/>
    <x v="0"/>
    <x v="2"/>
    <n v="3"/>
    <n v="43"/>
    <x v="1"/>
    <m/>
    <x v="2"/>
    <x v="2"/>
    <x v="2"/>
    <n v="1"/>
    <n v="1"/>
    <n v="0"/>
  </r>
  <r>
    <s v="E11157"/>
    <x v="2"/>
    <x v="2"/>
    <s v="Male"/>
    <n v="29"/>
    <s v="26-35"/>
    <x v="1"/>
    <d v="2020-09-14T00:00:00"/>
    <n v="5.3"/>
    <x v="1"/>
    <n v="9950"/>
    <x v="0"/>
    <x v="2"/>
    <n v="4"/>
    <n v="29"/>
    <x v="1"/>
    <m/>
    <x v="2"/>
    <x v="2"/>
    <x v="2"/>
    <n v="1"/>
    <n v="1"/>
    <n v="0"/>
  </r>
  <r>
    <s v="E11158"/>
    <x v="4"/>
    <x v="2"/>
    <s v="Female"/>
    <n v="28"/>
    <s v="26-35"/>
    <x v="1"/>
    <d v="2024-11-11T00:00:00"/>
    <n v="0.5"/>
    <x v="3"/>
    <n v="8550"/>
    <x v="0"/>
    <x v="1"/>
    <n v="3"/>
    <n v="18"/>
    <x v="0"/>
    <d v="2025-05-07T00:00:00"/>
    <x v="1"/>
    <x v="9"/>
    <x v="5"/>
    <n v="1"/>
    <n v="0"/>
    <n v="1"/>
  </r>
  <r>
    <s v="E11159"/>
    <x v="6"/>
    <x v="1"/>
    <s v="Female"/>
    <n v="28"/>
    <s v="26-35"/>
    <x v="1"/>
    <d v="2020-07-26T00:00:00"/>
    <n v="5.4"/>
    <x v="1"/>
    <n v="4600"/>
    <x v="0"/>
    <x v="0"/>
    <n v="3"/>
    <n v="33"/>
    <x v="1"/>
    <m/>
    <x v="2"/>
    <x v="2"/>
    <x v="2"/>
    <n v="1"/>
    <n v="1"/>
    <n v="0"/>
  </r>
  <r>
    <s v="E11160"/>
    <x v="4"/>
    <x v="3"/>
    <s v="Female"/>
    <n v="41"/>
    <s v="36-45"/>
    <x v="1"/>
    <d v="2023-09-14T00:00:00"/>
    <n v="2.2999999999999998"/>
    <x v="0"/>
    <n v="13200"/>
    <x v="0"/>
    <x v="0"/>
    <n v="3"/>
    <n v="34"/>
    <x v="1"/>
    <m/>
    <x v="2"/>
    <x v="2"/>
    <x v="2"/>
    <n v="1"/>
    <n v="1"/>
    <n v="0"/>
  </r>
  <r>
    <s v="E11161"/>
    <x v="6"/>
    <x v="2"/>
    <s v="Female"/>
    <n v="44"/>
    <s v="36-45"/>
    <x v="1"/>
    <d v="2018-08-24T00:00:00"/>
    <n v="7.4"/>
    <x v="1"/>
    <n v="7850"/>
    <x v="0"/>
    <x v="0"/>
    <n v="3"/>
    <n v="17"/>
    <x v="1"/>
    <m/>
    <x v="2"/>
    <x v="2"/>
    <x v="2"/>
    <n v="1"/>
    <n v="1"/>
    <n v="0"/>
  </r>
  <r>
    <s v="E11162"/>
    <x v="5"/>
    <x v="0"/>
    <s v="Male"/>
    <n v="27"/>
    <s v="26-35"/>
    <x v="0"/>
    <d v="2024-06-14T00:00:00"/>
    <n v="1.5"/>
    <x v="0"/>
    <n v="4200"/>
    <x v="1"/>
    <x v="1"/>
    <n v="2"/>
    <n v="26"/>
    <x v="1"/>
    <m/>
    <x v="2"/>
    <x v="2"/>
    <x v="2"/>
    <n v="1"/>
    <n v="1"/>
    <n v="0"/>
  </r>
  <r>
    <s v="E11163"/>
    <x v="1"/>
    <x v="3"/>
    <s v="Male"/>
    <n v="42"/>
    <s v="36-45"/>
    <x v="1"/>
    <d v="2016-07-20T00:00:00"/>
    <n v="9.4"/>
    <x v="1"/>
    <n v="9100"/>
    <x v="1"/>
    <x v="1"/>
    <n v="4"/>
    <n v="17"/>
    <x v="1"/>
    <m/>
    <x v="2"/>
    <x v="2"/>
    <x v="2"/>
    <n v="1"/>
    <n v="1"/>
    <n v="0"/>
  </r>
  <r>
    <s v="E11164"/>
    <x v="0"/>
    <x v="2"/>
    <s v="Male"/>
    <n v="37"/>
    <s v="36-45"/>
    <x v="1"/>
    <d v="2020-10-27T00:00:00"/>
    <n v="5.2"/>
    <x v="1"/>
    <n v="4600"/>
    <x v="0"/>
    <x v="3"/>
    <n v="3"/>
    <n v="22"/>
    <x v="1"/>
    <m/>
    <x v="2"/>
    <x v="2"/>
    <x v="2"/>
    <n v="1"/>
    <n v="1"/>
    <n v="0"/>
  </r>
  <r>
    <s v="E11165"/>
    <x v="5"/>
    <x v="0"/>
    <s v="Female"/>
    <n v="21"/>
    <s v="20-25"/>
    <x v="1"/>
    <d v="2025-10-20T00:00:00"/>
    <n v="0"/>
    <x v="3"/>
    <n v="4150"/>
    <x v="0"/>
    <x v="0"/>
    <n v="4"/>
    <n v="24"/>
    <x v="0"/>
    <d v="2025-11-07T00:00:00"/>
    <x v="1"/>
    <x v="10"/>
    <x v="5"/>
    <n v="1"/>
    <n v="0"/>
    <n v="1"/>
  </r>
  <r>
    <s v="E11166"/>
    <x v="5"/>
    <x v="0"/>
    <s v="Male"/>
    <n v="21"/>
    <s v="20-25"/>
    <x v="1"/>
    <d v="2025-11-29T00:00:00"/>
    <n v="0"/>
    <x v="3"/>
    <n v="4950"/>
    <x v="1"/>
    <x v="1"/>
    <n v="5"/>
    <n v="24"/>
    <x v="0"/>
    <d v="2025-12-04T00:00:00"/>
    <x v="1"/>
    <x v="5"/>
    <x v="3"/>
    <n v="1"/>
    <n v="0"/>
    <n v="1"/>
  </r>
  <r>
    <s v="E11167"/>
    <x v="0"/>
    <x v="1"/>
    <s v="Female"/>
    <n v="39"/>
    <s v="36-45"/>
    <x v="1"/>
    <d v="2011-08-24T00:00:00"/>
    <n v="14.4"/>
    <x v="1"/>
    <n v="3600"/>
    <x v="1"/>
    <x v="1"/>
    <n v="3"/>
    <n v="6"/>
    <x v="1"/>
    <m/>
    <x v="2"/>
    <x v="2"/>
    <x v="2"/>
    <n v="1"/>
    <n v="1"/>
    <n v="0"/>
  </r>
  <r>
    <s v="E11168"/>
    <x v="3"/>
    <x v="3"/>
    <s v="Male"/>
    <n v="45"/>
    <s v="36-45"/>
    <x v="0"/>
    <d v="2021-02-09T00:00:00"/>
    <n v="4.9000000000000004"/>
    <x v="2"/>
    <n v="14050"/>
    <x v="1"/>
    <x v="0"/>
    <n v="4"/>
    <n v="16"/>
    <x v="1"/>
    <m/>
    <x v="2"/>
    <x v="2"/>
    <x v="2"/>
    <n v="1"/>
    <n v="1"/>
    <n v="0"/>
  </r>
  <r>
    <s v="E11169"/>
    <x v="3"/>
    <x v="1"/>
    <s v="Female"/>
    <n v="31"/>
    <s v="26-35"/>
    <x v="2"/>
    <d v="2018-07-03T00:00:00"/>
    <n v="7.5"/>
    <x v="1"/>
    <n v="8300"/>
    <x v="0"/>
    <x v="0"/>
    <n v="3"/>
    <n v="25"/>
    <x v="1"/>
    <m/>
    <x v="2"/>
    <x v="2"/>
    <x v="2"/>
    <n v="1"/>
    <n v="1"/>
    <n v="0"/>
  </r>
  <r>
    <s v="E11170"/>
    <x v="3"/>
    <x v="0"/>
    <s v="Female"/>
    <n v="25"/>
    <s v="20-25"/>
    <x v="0"/>
    <d v="2024-09-22T00:00:00"/>
    <n v="1.3"/>
    <x v="0"/>
    <n v="4950"/>
    <x v="1"/>
    <x v="0"/>
    <n v="3"/>
    <n v="7"/>
    <x v="1"/>
    <m/>
    <x v="2"/>
    <x v="2"/>
    <x v="2"/>
    <n v="1"/>
    <n v="1"/>
    <n v="0"/>
  </r>
  <r>
    <s v="E11171"/>
    <x v="6"/>
    <x v="1"/>
    <s v="Male"/>
    <n v="29"/>
    <s v="26-35"/>
    <x v="1"/>
    <d v="2024-03-01T00:00:00"/>
    <n v="1.8"/>
    <x v="0"/>
    <n v="5000"/>
    <x v="0"/>
    <x v="1"/>
    <n v="3"/>
    <n v="15"/>
    <x v="1"/>
    <m/>
    <x v="2"/>
    <x v="2"/>
    <x v="2"/>
    <n v="1"/>
    <n v="1"/>
    <n v="0"/>
  </r>
  <r>
    <s v="E11172"/>
    <x v="1"/>
    <x v="2"/>
    <s v="Female"/>
    <n v="43"/>
    <s v="36-45"/>
    <x v="0"/>
    <d v="2014-07-09T00:00:00"/>
    <n v="11.5"/>
    <x v="1"/>
    <n v="6450"/>
    <x v="0"/>
    <x v="1"/>
    <n v="4"/>
    <n v="4"/>
    <x v="1"/>
    <m/>
    <x v="2"/>
    <x v="2"/>
    <x v="2"/>
    <n v="1"/>
    <n v="1"/>
    <n v="0"/>
  </r>
  <r>
    <s v="E11173"/>
    <x v="3"/>
    <x v="0"/>
    <s v="Male"/>
    <n v="23"/>
    <s v="20-25"/>
    <x v="0"/>
    <d v="2025-07-02T00:00:00"/>
    <n v="0.4"/>
    <x v="3"/>
    <n v="4700"/>
    <x v="0"/>
    <x v="1"/>
    <n v="4"/>
    <n v="10"/>
    <x v="0"/>
    <d v="2025-12-10T00:00:00"/>
    <x v="1"/>
    <x v="5"/>
    <x v="5"/>
    <n v="1"/>
    <n v="0"/>
    <n v="1"/>
  </r>
  <r>
    <s v="E11174"/>
    <x v="5"/>
    <x v="2"/>
    <s v="Male"/>
    <n v="44"/>
    <s v="36-45"/>
    <x v="1"/>
    <d v="2014-07-31T00:00:00"/>
    <n v="11.4"/>
    <x v="1"/>
    <n v="7800"/>
    <x v="1"/>
    <x v="0"/>
    <n v="3"/>
    <n v="22"/>
    <x v="1"/>
    <m/>
    <x v="2"/>
    <x v="2"/>
    <x v="2"/>
    <n v="1"/>
    <n v="1"/>
    <n v="0"/>
  </r>
  <r>
    <s v="E11175"/>
    <x v="3"/>
    <x v="1"/>
    <s v="Male"/>
    <n v="29"/>
    <s v="26-35"/>
    <x v="1"/>
    <d v="2020-12-28T00:00:00"/>
    <n v="5"/>
    <x v="2"/>
    <n v="7050"/>
    <x v="0"/>
    <x v="1"/>
    <n v="3"/>
    <n v="33"/>
    <x v="1"/>
    <m/>
    <x v="2"/>
    <x v="2"/>
    <x v="2"/>
    <n v="1"/>
    <n v="1"/>
    <n v="0"/>
  </r>
  <r>
    <s v="E11176"/>
    <x v="0"/>
    <x v="2"/>
    <s v="Female"/>
    <n v="53"/>
    <s v="46+"/>
    <x v="1"/>
    <d v="2013-12-26T00:00:00"/>
    <n v="12"/>
    <x v="1"/>
    <n v="5400"/>
    <x v="0"/>
    <x v="0"/>
    <n v="3"/>
    <n v="36"/>
    <x v="1"/>
    <m/>
    <x v="2"/>
    <x v="2"/>
    <x v="2"/>
    <n v="1"/>
    <n v="1"/>
    <n v="0"/>
  </r>
  <r>
    <s v="E11177"/>
    <x v="1"/>
    <x v="1"/>
    <s v="Male"/>
    <n v="29"/>
    <s v="26-35"/>
    <x v="1"/>
    <d v="2024-04-27T00:00:00"/>
    <n v="1.7"/>
    <x v="0"/>
    <n v="4400"/>
    <x v="0"/>
    <x v="0"/>
    <n v="4"/>
    <n v="5"/>
    <x v="1"/>
    <m/>
    <x v="2"/>
    <x v="2"/>
    <x v="2"/>
    <n v="1"/>
    <n v="1"/>
    <n v="0"/>
  </r>
  <r>
    <s v="E11178"/>
    <x v="3"/>
    <x v="0"/>
    <s v="Male"/>
    <n v="26"/>
    <s v="26-35"/>
    <x v="0"/>
    <d v="2022-04-14T00:00:00"/>
    <n v="3.7"/>
    <x v="2"/>
    <n v="6600"/>
    <x v="0"/>
    <x v="4"/>
    <n v="4"/>
    <n v="43"/>
    <x v="1"/>
    <m/>
    <x v="2"/>
    <x v="2"/>
    <x v="2"/>
    <n v="1"/>
    <n v="1"/>
    <n v="0"/>
  </r>
  <r>
    <s v="E11179"/>
    <x v="1"/>
    <x v="0"/>
    <s v="Male"/>
    <n v="25"/>
    <s v="20-25"/>
    <x v="2"/>
    <d v="2025-02-01T00:00:00"/>
    <n v="0.9"/>
    <x v="3"/>
    <n v="3250"/>
    <x v="1"/>
    <x v="1"/>
    <n v="3"/>
    <n v="20"/>
    <x v="1"/>
    <m/>
    <x v="2"/>
    <x v="2"/>
    <x v="2"/>
    <n v="1"/>
    <n v="1"/>
    <n v="0"/>
  </r>
  <r>
    <s v="E11180"/>
    <x v="2"/>
    <x v="2"/>
    <s v="Male"/>
    <n v="40"/>
    <s v="36-45"/>
    <x v="2"/>
    <d v="2020-04-06T00:00:00"/>
    <n v="5.7"/>
    <x v="1"/>
    <n v="10600"/>
    <x v="0"/>
    <x v="2"/>
    <n v="4"/>
    <n v="29"/>
    <x v="1"/>
    <m/>
    <x v="2"/>
    <x v="2"/>
    <x v="2"/>
    <n v="1"/>
    <n v="1"/>
    <n v="0"/>
  </r>
  <r>
    <s v="E11181"/>
    <x v="5"/>
    <x v="1"/>
    <s v="Male"/>
    <n v="32"/>
    <s v="26-35"/>
    <x v="0"/>
    <d v="2018-07-01T00:00:00"/>
    <n v="7.5"/>
    <x v="1"/>
    <n v="5500"/>
    <x v="1"/>
    <x v="1"/>
    <n v="4"/>
    <n v="15"/>
    <x v="1"/>
    <m/>
    <x v="2"/>
    <x v="2"/>
    <x v="2"/>
    <n v="1"/>
    <n v="1"/>
    <n v="0"/>
  </r>
  <r>
    <s v="E11182"/>
    <x v="0"/>
    <x v="3"/>
    <s v="Male"/>
    <n v="39"/>
    <s v="36-45"/>
    <x v="1"/>
    <d v="2016-05-26T00:00:00"/>
    <n v="9.6"/>
    <x v="1"/>
    <n v="8050"/>
    <x v="1"/>
    <x v="1"/>
    <n v="5"/>
    <n v="18"/>
    <x v="1"/>
    <m/>
    <x v="2"/>
    <x v="2"/>
    <x v="2"/>
    <n v="1"/>
    <n v="1"/>
    <n v="0"/>
  </r>
  <r>
    <s v="E11183"/>
    <x v="5"/>
    <x v="0"/>
    <s v="Male"/>
    <n v="30"/>
    <s v="26-35"/>
    <x v="0"/>
    <d v="2021-11-16T00:00:00"/>
    <n v="4.0999999999999996"/>
    <x v="2"/>
    <n v="4250"/>
    <x v="0"/>
    <x v="0"/>
    <n v="4"/>
    <n v="28"/>
    <x v="1"/>
    <m/>
    <x v="2"/>
    <x v="2"/>
    <x v="2"/>
    <n v="1"/>
    <n v="1"/>
    <n v="0"/>
  </r>
  <r>
    <s v="E11184"/>
    <x v="1"/>
    <x v="1"/>
    <s v="Female"/>
    <n v="31"/>
    <s v="26-35"/>
    <x v="1"/>
    <d v="2023-05-17T00:00:00"/>
    <n v="2.6"/>
    <x v="0"/>
    <n v="4350"/>
    <x v="0"/>
    <x v="1"/>
    <n v="3"/>
    <n v="10"/>
    <x v="1"/>
    <m/>
    <x v="2"/>
    <x v="2"/>
    <x v="2"/>
    <n v="1"/>
    <n v="1"/>
    <n v="0"/>
  </r>
  <r>
    <s v="E11185"/>
    <x v="4"/>
    <x v="0"/>
    <s v="Male"/>
    <n v="26"/>
    <s v="26-35"/>
    <x v="0"/>
    <d v="2022-02-20T00:00:00"/>
    <n v="3.9"/>
    <x v="2"/>
    <n v="4350"/>
    <x v="0"/>
    <x v="4"/>
    <n v="2"/>
    <n v="30"/>
    <x v="1"/>
    <m/>
    <x v="2"/>
    <x v="2"/>
    <x v="2"/>
    <n v="1"/>
    <n v="1"/>
    <n v="0"/>
  </r>
  <r>
    <s v="E11186"/>
    <x v="5"/>
    <x v="1"/>
    <s v="Male"/>
    <n v="30"/>
    <s v="26-35"/>
    <x v="2"/>
    <d v="2024-02-15T00:00:00"/>
    <n v="0.4"/>
    <x v="3"/>
    <n v="5450"/>
    <x v="1"/>
    <x v="4"/>
    <n v="4"/>
    <n v="40"/>
    <x v="0"/>
    <d v="2024-07-02T00:00:00"/>
    <x v="0"/>
    <x v="4"/>
    <x v="5"/>
    <n v="1"/>
    <n v="0"/>
    <n v="1"/>
  </r>
  <r>
    <s v="E11187"/>
    <x v="0"/>
    <x v="0"/>
    <s v="Male"/>
    <n v="21"/>
    <s v="20-25"/>
    <x v="0"/>
    <d v="2025-11-08T00:00:00"/>
    <n v="0.1"/>
    <x v="3"/>
    <n v="3200"/>
    <x v="0"/>
    <x v="1"/>
    <n v="3"/>
    <n v="34"/>
    <x v="1"/>
    <m/>
    <x v="2"/>
    <x v="2"/>
    <x v="2"/>
    <n v="1"/>
    <n v="1"/>
    <n v="0"/>
  </r>
  <r>
    <s v="E11188"/>
    <x v="3"/>
    <x v="1"/>
    <s v="Male"/>
    <n v="35"/>
    <s v="26-35"/>
    <x v="0"/>
    <d v="2021-09-14T00:00:00"/>
    <n v="4.3"/>
    <x v="2"/>
    <n v="5500"/>
    <x v="0"/>
    <x v="4"/>
    <n v="3"/>
    <n v="34"/>
    <x v="1"/>
    <m/>
    <x v="2"/>
    <x v="2"/>
    <x v="2"/>
    <n v="1"/>
    <n v="1"/>
    <n v="0"/>
  </r>
  <r>
    <s v="E11189"/>
    <x v="5"/>
    <x v="3"/>
    <s v="Female"/>
    <n v="47"/>
    <s v="46+"/>
    <x v="1"/>
    <d v="2021-02-08T00:00:00"/>
    <n v="3.3"/>
    <x v="2"/>
    <n v="10450"/>
    <x v="0"/>
    <x v="1"/>
    <n v="4"/>
    <n v="30"/>
    <x v="0"/>
    <d v="2024-06-10T00:00:00"/>
    <x v="0"/>
    <x v="0"/>
    <x v="1"/>
    <n v="1"/>
    <n v="0"/>
    <n v="1"/>
  </r>
  <r>
    <s v="E11190"/>
    <x v="3"/>
    <x v="0"/>
    <s v="Male"/>
    <n v="21"/>
    <s v="20-25"/>
    <x v="1"/>
    <d v="2025-10-11T00:00:00"/>
    <n v="0.2"/>
    <x v="3"/>
    <n v="6150"/>
    <x v="0"/>
    <x v="0"/>
    <n v="4"/>
    <n v="39"/>
    <x v="1"/>
    <m/>
    <x v="2"/>
    <x v="2"/>
    <x v="2"/>
    <n v="1"/>
    <n v="1"/>
    <n v="0"/>
  </r>
  <r>
    <s v="E11191"/>
    <x v="5"/>
    <x v="0"/>
    <s v="Male"/>
    <n v="21"/>
    <s v="20-25"/>
    <x v="2"/>
    <d v="2025-09-18T00:00:00"/>
    <n v="0.3"/>
    <x v="3"/>
    <n v="4150"/>
    <x v="0"/>
    <x v="0"/>
    <n v="3"/>
    <n v="27"/>
    <x v="1"/>
    <m/>
    <x v="2"/>
    <x v="2"/>
    <x v="2"/>
    <n v="1"/>
    <n v="1"/>
    <n v="0"/>
  </r>
  <r>
    <s v="E11192"/>
    <x v="1"/>
    <x v="1"/>
    <s v="Female"/>
    <n v="29"/>
    <s v="26-35"/>
    <x v="1"/>
    <d v="2024-01-01T00:00:00"/>
    <n v="2"/>
    <x v="0"/>
    <n v="4200"/>
    <x v="1"/>
    <x v="4"/>
    <n v="3"/>
    <n v="19"/>
    <x v="1"/>
    <m/>
    <x v="2"/>
    <x v="2"/>
    <x v="2"/>
    <n v="1"/>
    <n v="1"/>
    <n v="0"/>
  </r>
  <r>
    <s v="E11193"/>
    <x v="1"/>
    <x v="1"/>
    <s v="Female"/>
    <n v="34"/>
    <s v="26-35"/>
    <x v="0"/>
    <d v="2024-05-31T00:00:00"/>
    <n v="1.6"/>
    <x v="0"/>
    <n v="4300"/>
    <x v="0"/>
    <x v="0"/>
    <n v="3"/>
    <n v="25"/>
    <x v="1"/>
    <m/>
    <x v="2"/>
    <x v="2"/>
    <x v="2"/>
    <n v="1"/>
    <n v="1"/>
    <n v="0"/>
  </r>
  <r>
    <s v="E11194"/>
    <x v="0"/>
    <x v="1"/>
    <s v="Male"/>
    <n v="32"/>
    <s v="26-35"/>
    <x v="2"/>
    <d v="2024-08-29T00:00:00"/>
    <n v="1.3"/>
    <x v="0"/>
    <n v="3050"/>
    <x v="1"/>
    <x v="1"/>
    <n v="5"/>
    <n v="34"/>
    <x v="1"/>
    <m/>
    <x v="2"/>
    <x v="2"/>
    <x v="2"/>
    <n v="1"/>
    <n v="1"/>
    <n v="0"/>
  </r>
  <r>
    <s v="E11195"/>
    <x v="1"/>
    <x v="1"/>
    <s v="Male"/>
    <n v="21"/>
    <s v="20-25"/>
    <x v="2"/>
    <d v="2025-09-30T00:00:00"/>
    <n v="0.3"/>
    <x v="3"/>
    <n v="4000"/>
    <x v="0"/>
    <x v="0"/>
    <n v="3"/>
    <n v="24"/>
    <x v="1"/>
    <m/>
    <x v="2"/>
    <x v="2"/>
    <x v="2"/>
    <n v="1"/>
    <n v="1"/>
    <n v="0"/>
  </r>
  <r>
    <s v="E11196"/>
    <x v="0"/>
    <x v="1"/>
    <s v="Female"/>
    <n v="30"/>
    <s v="26-35"/>
    <x v="1"/>
    <d v="2022-07-23T00:00:00"/>
    <n v="2.9"/>
    <x v="0"/>
    <n v="3500"/>
    <x v="0"/>
    <x v="1"/>
    <n v="3"/>
    <n v="40"/>
    <x v="0"/>
    <d v="2025-06-23T00:00:00"/>
    <x v="1"/>
    <x v="0"/>
    <x v="3"/>
    <n v="1"/>
    <n v="0"/>
    <n v="1"/>
  </r>
  <r>
    <s v="E11197"/>
    <x v="0"/>
    <x v="0"/>
    <s v="Male"/>
    <n v="24"/>
    <s v="20-25"/>
    <x v="1"/>
    <d v="2024-11-17T00:00:00"/>
    <n v="0.8"/>
    <x v="3"/>
    <n v="2800"/>
    <x v="1"/>
    <x v="3"/>
    <n v="3"/>
    <n v="47"/>
    <x v="0"/>
    <d v="2025-09-20T00:00:00"/>
    <x v="1"/>
    <x v="12"/>
    <x v="3"/>
    <n v="1"/>
    <n v="0"/>
    <n v="1"/>
  </r>
  <r>
    <s v="E11198"/>
    <x v="0"/>
    <x v="2"/>
    <s v="Female"/>
    <n v="42"/>
    <s v="36-45"/>
    <x v="1"/>
    <d v="2018-02-20T00:00:00"/>
    <n v="7.9"/>
    <x v="1"/>
    <n v="5600"/>
    <x v="0"/>
    <x v="0"/>
    <n v="3"/>
    <n v="14"/>
    <x v="1"/>
    <m/>
    <x v="2"/>
    <x v="2"/>
    <x v="2"/>
    <n v="1"/>
    <n v="1"/>
    <n v="0"/>
  </r>
  <r>
    <s v="E11199"/>
    <x v="4"/>
    <x v="0"/>
    <s v="Male"/>
    <n v="33"/>
    <s v="26-35"/>
    <x v="1"/>
    <d v="2019-08-28T00:00:00"/>
    <n v="6.3"/>
    <x v="1"/>
    <n v="5100"/>
    <x v="0"/>
    <x v="0"/>
    <n v="2"/>
    <n v="10"/>
    <x v="1"/>
    <m/>
    <x v="2"/>
    <x v="2"/>
    <x v="2"/>
    <n v="1"/>
    <n v="1"/>
    <n v="0"/>
  </r>
  <r>
    <s v="E11200"/>
    <x v="1"/>
    <x v="0"/>
    <s v="Female"/>
    <n v="26"/>
    <s v="26-35"/>
    <x v="1"/>
    <d v="2023-04-17T00:00:00"/>
    <n v="2.7"/>
    <x v="0"/>
    <n v="3400"/>
    <x v="0"/>
    <x v="1"/>
    <n v="3"/>
    <n v="22"/>
    <x v="1"/>
    <m/>
    <x v="2"/>
    <x v="2"/>
    <x v="2"/>
    <n v="1"/>
    <n v="1"/>
    <n v="0"/>
  </r>
  <r>
    <s v="E11201"/>
    <x v="5"/>
    <x v="0"/>
    <s v="Male"/>
    <n v="23"/>
    <s v="20-25"/>
    <x v="1"/>
    <d v="2024-11-29T00:00:00"/>
    <n v="1.1000000000000001"/>
    <x v="0"/>
    <n v="3650"/>
    <x v="0"/>
    <x v="2"/>
    <n v="3"/>
    <n v="32"/>
    <x v="1"/>
    <m/>
    <x v="2"/>
    <x v="2"/>
    <x v="2"/>
    <n v="1"/>
    <n v="1"/>
    <n v="0"/>
  </r>
  <r>
    <s v="E11202"/>
    <x v="1"/>
    <x v="0"/>
    <s v="Male"/>
    <n v="35"/>
    <s v="26-35"/>
    <x v="1"/>
    <d v="2019-06-25T00:00:00"/>
    <n v="6.5"/>
    <x v="1"/>
    <n v="3450"/>
    <x v="0"/>
    <x v="2"/>
    <n v="4"/>
    <n v="34"/>
    <x v="1"/>
    <m/>
    <x v="2"/>
    <x v="2"/>
    <x v="2"/>
    <n v="1"/>
    <n v="1"/>
    <n v="0"/>
  </r>
  <r>
    <s v="E11203"/>
    <x v="5"/>
    <x v="0"/>
    <s v="Male"/>
    <n v="32"/>
    <s v="26-35"/>
    <x v="1"/>
    <d v="2022-07-18T00:00:00"/>
    <n v="3.5"/>
    <x v="2"/>
    <n v="3500"/>
    <x v="0"/>
    <x v="0"/>
    <n v="4"/>
    <n v="20"/>
    <x v="1"/>
    <m/>
    <x v="2"/>
    <x v="2"/>
    <x v="2"/>
    <n v="1"/>
    <n v="1"/>
    <n v="0"/>
  </r>
  <r>
    <s v="E11204"/>
    <x v="3"/>
    <x v="1"/>
    <s v="Female"/>
    <n v="25"/>
    <s v="20-25"/>
    <x v="2"/>
    <d v="2023-07-09T00:00:00"/>
    <n v="2.5"/>
    <x v="0"/>
    <n v="8800"/>
    <x v="0"/>
    <x v="1"/>
    <n v="2"/>
    <n v="33"/>
    <x v="1"/>
    <m/>
    <x v="2"/>
    <x v="2"/>
    <x v="2"/>
    <n v="1"/>
    <n v="1"/>
    <n v="0"/>
  </r>
  <r>
    <s v="E11205"/>
    <x v="1"/>
    <x v="0"/>
    <s v="Female"/>
    <n v="24"/>
    <s v="20-25"/>
    <x v="0"/>
    <d v="2023-12-12T00:00:00"/>
    <n v="2.1"/>
    <x v="0"/>
    <n v="3650"/>
    <x v="0"/>
    <x v="1"/>
    <n v="3"/>
    <n v="34"/>
    <x v="1"/>
    <m/>
    <x v="2"/>
    <x v="2"/>
    <x v="2"/>
    <n v="1"/>
    <n v="1"/>
    <n v="0"/>
  </r>
  <r>
    <s v="E11206"/>
    <x v="4"/>
    <x v="1"/>
    <s v="Male"/>
    <n v="33"/>
    <s v="26-35"/>
    <x v="1"/>
    <d v="2020-01-01T00:00:00"/>
    <n v="6"/>
    <x v="1"/>
    <n v="5300"/>
    <x v="0"/>
    <x v="0"/>
    <n v="3"/>
    <n v="20"/>
    <x v="1"/>
    <m/>
    <x v="2"/>
    <x v="2"/>
    <x v="2"/>
    <n v="1"/>
    <n v="1"/>
    <n v="0"/>
  </r>
  <r>
    <s v="E11207"/>
    <x v="5"/>
    <x v="0"/>
    <s v="Male"/>
    <n v="26"/>
    <s v="26-35"/>
    <x v="2"/>
    <d v="2025-04-11T00:00:00"/>
    <n v="0.7"/>
    <x v="3"/>
    <n v="4600"/>
    <x v="1"/>
    <x v="4"/>
    <n v="3"/>
    <n v="13"/>
    <x v="1"/>
    <m/>
    <x v="2"/>
    <x v="2"/>
    <x v="2"/>
    <n v="1"/>
    <n v="1"/>
    <n v="0"/>
  </r>
  <r>
    <s v="E11208"/>
    <x v="1"/>
    <x v="1"/>
    <s v="Male"/>
    <n v="34"/>
    <s v="26-35"/>
    <x v="0"/>
    <d v="2015-09-13T00:00:00"/>
    <n v="10.3"/>
    <x v="1"/>
    <n v="3950"/>
    <x v="1"/>
    <x v="1"/>
    <n v="3"/>
    <n v="31"/>
    <x v="1"/>
    <m/>
    <x v="2"/>
    <x v="2"/>
    <x v="2"/>
    <n v="1"/>
    <n v="1"/>
    <n v="0"/>
  </r>
  <r>
    <s v="E11209"/>
    <x v="5"/>
    <x v="0"/>
    <s v="Male"/>
    <n v="25"/>
    <s v="20-25"/>
    <x v="0"/>
    <d v="2025-04-08T00:00:00"/>
    <n v="0.6"/>
    <x v="3"/>
    <n v="4800"/>
    <x v="1"/>
    <x v="3"/>
    <n v="3"/>
    <n v="34"/>
    <x v="0"/>
    <d v="2025-11-04T00:00:00"/>
    <x v="1"/>
    <x v="10"/>
    <x v="1"/>
    <n v="1"/>
    <n v="0"/>
    <n v="1"/>
  </r>
  <r>
    <s v="E11210"/>
    <x v="3"/>
    <x v="2"/>
    <s v="Male"/>
    <n v="37"/>
    <s v="36-45"/>
    <x v="0"/>
    <d v="2020-04-09T00:00:00"/>
    <n v="5.7"/>
    <x v="1"/>
    <n v="12850"/>
    <x v="0"/>
    <x v="1"/>
    <n v="4"/>
    <n v="16"/>
    <x v="1"/>
    <m/>
    <x v="2"/>
    <x v="2"/>
    <x v="2"/>
    <n v="1"/>
    <n v="1"/>
    <n v="0"/>
  </r>
  <r>
    <s v="E11211"/>
    <x v="5"/>
    <x v="0"/>
    <s v="Female"/>
    <n v="29"/>
    <s v="26-35"/>
    <x v="0"/>
    <d v="2023-08-14T00:00:00"/>
    <n v="2.1"/>
    <x v="0"/>
    <n v="4150"/>
    <x v="0"/>
    <x v="2"/>
    <n v="4"/>
    <n v="36"/>
    <x v="0"/>
    <d v="2025-10-01T00:00:00"/>
    <x v="1"/>
    <x v="11"/>
    <x v="0"/>
    <n v="1"/>
    <n v="0"/>
    <n v="1"/>
  </r>
  <r>
    <s v="E11212"/>
    <x v="2"/>
    <x v="2"/>
    <s v="Female"/>
    <n v="48"/>
    <s v="46+"/>
    <x v="0"/>
    <d v="2019-12-07T00:00:00"/>
    <n v="6.1"/>
    <x v="1"/>
    <n v="9500"/>
    <x v="0"/>
    <x v="1"/>
    <n v="3"/>
    <n v="39"/>
    <x v="1"/>
    <m/>
    <x v="2"/>
    <x v="2"/>
    <x v="2"/>
    <n v="1"/>
    <n v="1"/>
    <n v="0"/>
  </r>
  <r>
    <s v="E11213"/>
    <x v="1"/>
    <x v="1"/>
    <s v="Female"/>
    <n v="26"/>
    <s v="26-35"/>
    <x v="2"/>
    <d v="2023-05-28T00:00:00"/>
    <n v="2.6"/>
    <x v="0"/>
    <n v="4050"/>
    <x v="0"/>
    <x v="1"/>
    <n v="3"/>
    <n v="21"/>
    <x v="1"/>
    <m/>
    <x v="2"/>
    <x v="2"/>
    <x v="2"/>
    <n v="1"/>
    <n v="1"/>
    <n v="0"/>
  </r>
  <r>
    <s v="E11214"/>
    <x v="1"/>
    <x v="0"/>
    <s v="Female"/>
    <n v="37"/>
    <s v="36-45"/>
    <x v="1"/>
    <d v="2023-12-04T00:00:00"/>
    <n v="2.1"/>
    <x v="0"/>
    <n v="3900"/>
    <x v="0"/>
    <x v="1"/>
    <n v="4"/>
    <n v="20"/>
    <x v="1"/>
    <m/>
    <x v="2"/>
    <x v="2"/>
    <x v="2"/>
    <n v="1"/>
    <n v="1"/>
    <n v="0"/>
  </r>
  <r>
    <s v="E11215"/>
    <x v="6"/>
    <x v="2"/>
    <s v="Male"/>
    <n v="49"/>
    <s v="46+"/>
    <x v="1"/>
    <d v="2021-12-19T00:00:00"/>
    <n v="4"/>
    <x v="2"/>
    <n v="8100"/>
    <x v="1"/>
    <x v="0"/>
    <n v="3"/>
    <n v="50"/>
    <x v="1"/>
    <m/>
    <x v="2"/>
    <x v="2"/>
    <x v="2"/>
    <n v="1"/>
    <n v="1"/>
    <n v="0"/>
  </r>
  <r>
    <s v="E11216"/>
    <x v="5"/>
    <x v="2"/>
    <s v="Male"/>
    <n v="45"/>
    <s v="36-45"/>
    <x v="0"/>
    <d v="2017-01-08T00:00:00"/>
    <n v="9"/>
    <x v="1"/>
    <n v="7350"/>
    <x v="1"/>
    <x v="1"/>
    <n v="5"/>
    <n v="18"/>
    <x v="1"/>
    <m/>
    <x v="2"/>
    <x v="2"/>
    <x v="2"/>
    <n v="1"/>
    <n v="1"/>
    <n v="0"/>
  </r>
  <r>
    <s v="E11217"/>
    <x v="4"/>
    <x v="2"/>
    <s v="Male"/>
    <n v="38"/>
    <s v="36-45"/>
    <x v="1"/>
    <d v="2021-06-18T00:00:00"/>
    <n v="4.5"/>
    <x v="2"/>
    <n v="6750"/>
    <x v="0"/>
    <x v="2"/>
    <n v="3"/>
    <n v="27"/>
    <x v="1"/>
    <m/>
    <x v="2"/>
    <x v="2"/>
    <x v="2"/>
    <n v="1"/>
    <n v="1"/>
    <n v="0"/>
  </r>
  <r>
    <s v="E11218"/>
    <x v="4"/>
    <x v="2"/>
    <s v="Male"/>
    <n v="35"/>
    <s v="26-35"/>
    <x v="1"/>
    <d v="2023-02-17T00:00:00"/>
    <n v="2.9"/>
    <x v="0"/>
    <n v="7650"/>
    <x v="0"/>
    <x v="4"/>
    <n v="5"/>
    <n v="29"/>
    <x v="1"/>
    <m/>
    <x v="2"/>
    <x v="2"/>
    <x v="2"/>
    <n v="1"/>
    <n v="1"/>
    <n v="0"/>
  </r>
  <r>
    <s v="E11219"/>
    <x v="1"/>
    <x v="1"/>
    <s v="Male"/>
    <n v="36"/>
    <s v="36-45"/>
    <x v="0"/>
    <d v="2018-02-02T00:00:00"/>
    <n v="7.9"/>
    <x v="1"/>
    <n v="4650"/>
    <x v="0"/>
    <x v="2"/>
    <n v="4"/>
    <n v="13"/>
    <x v="1"/>
    <m/>
    <x v="2"/>
    <x v="2"/>
    <x v="2"/>
    <n v="1"/>
    <n v="1"/>
    <n v="0"/>
  </r>
  <r>
    <s v="E11220"/>
    <x v="6"/>
    <x v="0"/>
    <s v="Female"/>
    <n v="32"/>
    <s v="26-35"/>
    <x v="1"/>
    <d v="2024-07-21T00:00:00"/>
    <n v="1.4"/>
    <x v="0"/>
    <n v="3850"/>
    <x v="0"/>
    <x v="2"/>
    <n v="5"/>
    <n v="20"/>
    <x v="1"/>
    <m/>
    <x v="2"/>
    <x v="2"/>
    <x v="2"/>
    <n v="1"/>
    <n v="1"/>
    <n v="0"/>
  </r>
  <r>
    <s v="E11221"/>
    <x v="3"/>
    <x v="0"/>
    <s v="Male"/>
    <n v="28"/>
    <s v="26-35"/>
    <x v="2"/>
    <d v="2021-03-21T00:00:00"/>
    <n v="4.8"/>
    <x v="2"/>
    <n v="5850"/>
    <x v="0"/>
    <x v="0"/>
    <n v="4"/>
    <n v="24"/>
    <x v="1"/>
    <m/>
    <x v="2"/>
    <x v="2"/>
    <x v="2"/>
    <n v="1"/>
    <n v="1"/>
    <n v="0"/>
  </r>
  <r>
    <s v="E11222"/>
    <x v="1"/>
    <x v="0"/>
    <s v="Male"/>
    <n v="21"/>
    <s v="20-25"/>
    <x v="1"/>
    <d v="2025-11-09T00:00:00"/>
    <n v="0"/>
    <x v="3"/>
    <n v="3750"/>
    <x v="0"/>
    <x v="1"/>
    <n v="2"/>
    <n v="25"/>
    <x v="0"/>
    <d v="2025-11-25T00:00:00"/>
    <x v="1"/>
    <x v="10"/>
    <x v="3"/>
    <n v="1"/>
    <n v="0"/>
    <n v="1"/>
  </r>
  <r>
    <s v="E11223"/>
    <x v="1"/>
    <x v="0"/>
    <s v="Male"/>
    <n v="33"/>
    <s v="26-35"/>
    <x v="1"/>
    <d v="2024-02-04T00:00:00"/>
    <n v="1.9"/>
    <x v="0"/>
    <n v="2500"/>
    <x v="0"/>
    <x v="4"/>
    <n v="4"/>
    <n v="28"/>
    <x v="1"/>
    <m/>
    <x v="2"/>
    <x v="2"/>
    <x v="2"/>
    <n v="1"/>
    <n v="1"/>
    <n v="0"/>
  </r>
  <r>
    <s v="E11224"/>
    <x v="1"/>
    <x v="2"/>
    <s v="Female"/>
    <n v="34"/>
    <s v="26-35"/>
    <x v="0"/>
    <d v="2019-07-11T00:00:00"/>
    <n v="6.5"/>
    <x v="1"/>
    <n v="6650"/>
    <x v="1"/>
    <x v="4"/>
    <n v="3"/>
    <n v="17"/>
    <x v="1"/>
    <m/>
    <x v="2"/>
    <x v="2"/>
    <x v="2"/>
    <n v="1"/>
    <n v="1"/>
    <n v="0"/>
  </r>
  <r>
    <s v="E11225"/>
    <x v="5"/>
    <x v="0"/>
    <s v="Male"/>
    <n v="28"/>
    <s v="26-35"/>
    <x v="1"/>
    <d v="2024-01-27T00:00:00"/>
    <n v="0.9"/>
    <x v="3"/>
    <n v="3650"/>
    <x v="1"/>
    <x v="0"/>
    <n v="3"/>
    <n v="16"/>
    <x v="0"/>
    <d v="2024-12-06T00:00:00"/>
    <x v="0"/>
    <x v="5"/>
    <x v="0"/>
    <n v="1"/>
    <n v="0"/>
    <n v="1"/>
  </r>
  <r>
    <s v="E11226"/>
    <x v="0"/>
    <x v="3"/>
    <s v="Female"/>
    <n v="47"/>
    <s v="46+"/>
    <x v="1"/>
    <d v="2019-09-26T00:00:00"/>
    <n v="5.0999999999999996"/>
    <x v="1"/>
    <n v="8300"/>
    <x v="1"/>
    <x v="4"/>
    <n v="3"/>
    <n v="13"/>
    <x v="0"/>
    <d v="2024-10-19T00:00:00"/>
    <x v="0"/>
    <x v="11"/>
    <x v="3"/>
    <n v="1"/>
    <n v="0"/>
    <n v="1"/>
  </r>
  <r>
    <s v="E11227"/>
    <x v="1"/>
    <x v="0"/>
    <s v="Male"/>
    <n v="21"/>
    <s v="20-25"/>
    <x v="2"/>
    <d v="2025-10-01T00:00:00"/>
    <n v="0.2"/>
    <x v="3"/>
    <n v="3300"/>
    <x v="0"/>
    <x v="1"/>
    <n v="2"/>
    <n v="47"/>
    <x v="1"/>
    <m/>
    <x v="2"/>
    <x v="2"/>
    <x v="2"/>
    <n v="1"/>
    <n v="1"/>
    <n v="0"/>
  </r>
  <r>
    <s v="E11228"/>
    <x v="0"/>
    <x v="0"/>
    <s v="Female"/>
    <n v="22"/>
    <s v="20-25"/>
    <x v="2"/>
    <d v="2025-08-04T00:00:00"/>
    <n v="0.4"/>
    <x v="3"/>
    <n v="3050"/>
    <x v="0"/>
    <x v="1"/>
    <n v="3"/>
    <n v="25"/>
    <x v="1"/>
    <m/>
    <x v="2"/>
    <x v="2"/>
    <x v="2"/>
    <n v="1"/>
    <n v="1"/>
    <n v="0"/>
  </r>
  <r>
    <s v="E11229"/>
    <x v="1"/>
    <x v="1"/>
    <s v="Male"/>
    <n v="30"/>
    <s v="26-35"/>
    <x v="0"/>
    <d v="2022-03-21T00:00:00"/>
    <n v="3.8"/>
    <x v="2"/>
    <n v="4750"/>
    <x v="0"/>
    <x v="0"/>
    <n v="2"/>
    <n v="13"/>
    <x v="1"/>
    <m/>
    <x v="2"/>
    <x v="2"/>
    <x v="2"/>
    <n v="1"/>
    <n v="1"/>
    <n v="0"/>
  </r>
  <r>
    <s v="E11230"/>
    <x v="3"/>
    <x v="3"/>
    <s v="Male"/>
    <n v="44"/>
    <s v="36-45"/>
    <x v="0"/>
    <d v="2018-06-09T00:00:00"/>
    <n v="7.2"/>
    <x v="1"/>
    <n v="15900"/>
    <x v="1"/>
    <x v="4"/>
    <n v="4"/>
    <n v="13"/>
    <x v="0"/>
    <d v="2025-08-05T00:00:00"/>
    <x v="1"/>
    <x v="1"/>
    <x v="3"/>
    <n v="1"/>
    <n v="0"/>
    <n v="1"/>
  </r>
  <r>
    <s v="E11231"/>
    <x v="1"/>
    <x v="1"/>
    <s v="Male"/>
    <n v="32"/>
    <s v="26-35"/>
    <x v="1"/>
    <d v="2023-02-04T00:00:00"/>
    <n v="1.9"/>
    <x v="0"/>
    <n v="3800"/>
    <x v="0"/>
    <x v="1"/>
    <n v="4"/>
    <n v="31"/>
    <x v="0"/>
    <d v="2024-12-15T00:00:00"/>
    <x v="0"/>
    <x v="5"/>
    <x v="6"/>
    <n v="1"/>
    <n v="0"/>
    <n v="1"/>
  </r>
  <r>
    <s v="E11232"/>
    <x v="0"/>
    <x v="0"/>
    <s v="Male"/>
    <n v="25"/>
    <s v="20-25"/>
    <x v="0"/>
    <d v="2023-10-25T00:00:00"/>
    <n v="2.2000000000000002"/>
    <x v="0"/>
    <n v="2400"/>
    <x v="0"/>
    <x v="0"/>
    <n v="4"/>
    <n v="21"/>
    <x v="1"/>
    <m/>
    <x v="2"/>
    <x v="2"/>
    <x v="2"/>
    <n v="1"/>
    <n v="1"/>
    <n v="0"/>
  </r>
  <r>
    <s v="E11233"/>
    <x v="0"/>
    <x v="3"/>
    <s v="Female"/>
    <n v="46"/>
    <s v="46+"/>
    <x v="0"/>
    <d v="2018-02-10T00:00:00"/>
    <n v="7.9"/>
    <x v="1"/>
    <n v="9200"/>
    <x v="0"/>
    <x v="1"/>
    <n v="4"/>
    <n v="31"/>
    <x v="1"/>
    <m/>
    <x v="2"/>
    <x v="2"/>
    <x v="2"/>
    <n v="1"/>
    <n v="1"/>
    <n v="0"/>
  </r>
  <r>
    <s v="E11234"/>
    <x v="1"/>
    <x v="1"/>
    <s v="Female"/>
    <n v="32"/>
    <s v="26-35"/>
    <x v="1"/>
    <d v="2023-03-18T00:00:00"/>
    <n v="2.8"/>
    <x v="0"/>
    <n v="4200"/>
    <x v="1"/>
    <x v="0"/>
    <n v="3"/>
    <n v="31"/>
    <x v="1"/>
    <m/>
    <x v="2"/>
    <x v="2"/>
    <x v="2"/>
    <n v="1"/>
    <n v="1"/>
    <n v="0"/>
  </r>
  <r>
    <s v="E11235"/>
    <x v="0"/>
    <x v="1"/>
    <s v="Male"/>
    <n v="32"/>
    <s v="26-35"/>
    <x v="1"/>
    <d v="2018-05-18T00:00:00"/>
    <n v="7.6"/>
    <x v="1"/>
    <n v="2950"/>
    <x v="0"/>
    <x v="1"/>
    <n v="4"/>
    <n v="37"/>
    <x v="1"/>
    <m/>
    <x v="2"/>
    <x v="2"/>
    <x v="2"/>
    <n v="1"/>
    <n v="1"/>
    <n v="0"/>
  </r>
  <r>
    <s v="E11236"/>
    <x v="1"/>
    <x v="2"/>
    <s v="Male"/>
    <n v="36"/>
    <s v="36-45"/>
    <x v="0"/>
    <d v="2021-01-15T00:00:00"/>
    <n v="5"/>
    <x v="2"/>
    <n v="5850"/>
    <x v="0"/>
    <x v="1"/>
    <n v="4"/>
    <n v="20"/>
    <x v="1"/>
    <m/>
    <x v="2"/>
    <x v="2"/>
    <x v="2"/>
    <n v="1"/>
    <n v="1"/>
    <n v="0"/>
  </r>
  <r>
    <s v="E11237"/>
    <x v="0"/>
    <x v="0"/>
    <s v="Male"/>
    <n v="28"/>
    <s v="26-35"/>
    <x v="1"/>
    <d v="2020-06-03T00:00:00"/>
    <n v="5.6"/>
    <x v="1"/>
    <n v="3100"/>
    <x v="0"/>
    <x v="1"/>
    <n v="3"/>
    <n v="33"/>
    <x v="1"/>
    <m/>
    <x v="2"/>
    <x v="2"/>
    <x v="2"/>
    <n v="1"/>
    <n v="1"/>
    <n v="0"/>
  </r>
  <r>
    <s v="E11238"/>
    <x v="6"/>
    <x v="1"/>
    <s v="Male"/>
    <n v="40"/>
    <s v="36-45"/>
    <x v="1"/>
    <d v="2023-01-12T00:00:00"/>
    <n v="3"/>
    <x v="0"/>
    <n v="5450"/>
    <x v="0"/>
    <x v="1"/>
    <n v="4"/>
    <n v="31"/>
    <x v="1"/>
    <m/>
    <x v="2"/>
    <x v="2"/>
    <x v="2"/>
    <n v="1"/>
    <n v="1"/>
    <n v="0"/>
  </r>
  <r>
    <s v="E11239"/>
    <x v="0"/>
    <x v="0"/>
    <s v="Male"/>
    <n v="27"/>
    <s v="26-35"/>
    <x v="0"/>
    <d v="2022-11-10T00:00:00"/>
    <n v="3.1"/>
    <x v="2"/>
    <n v="2850"/>
    <x v="1"/>
    <x v="1"/>
    <n v="3"/>
    <n v="10"/>
    <x v="1"/>
    <m/>
    <x v="2"/>
    <x v="2"/>
    <x v="2"/>
    <n v="1"/>
    <n v="1"/>
    <n v="0"/>
  </r>
  <r>
    <s v="E11240"/>
    <x v="3"/>
    <x v="1"/>
    <s v="Female"/>
    <n v="35"/>
    <s v="26-35"/>
    <x v="1"/>
    <d v="2019-07-22T00:00:00"/>
    <n v="6.4"/>
    <x v="1"/>
    <n v="7400"/>
    <x v="0"/>
    <x v="0"/>
    <n v="4"/>
    <n v="8"/>
    <x v="1"/>
    <m/>
    <x v="2"/>
    <x v="2"/>
    <x v="2"/>
    <n v="1"/>
    <n v="1"/>
    <n v="0"/>
  </r>
  <r>
    <s v="E11241"/>
    <x v="1"/>
    <x v="1"/>
    <s v="Female"/>
    <n v="35"/>
    <s v="26-35"/>
    <x v="0"/>
    <d v="2023-01-25T00:00:00"/>
    <n v="2.9"/>
    <x v="0"/>
    <n v="4200"/>
    <x v="1"/>
    <x v="4"/>
    <n v="4"/>
    <n v="18"/>
    <x v="1"/>
    <m/>
    <x v="2"/>
    <x v="2"/>
    <x v="2"/>
    <n v="1"/>
    <n v="1"/>
    <n v="0"/>
  </r>
  <r>
    <s v="E11242"/>
    <x v="2"/>
    <x v="0"/>
    <s v="Female"/>
    <n v="22"/>
    <s v="20-25"/>
    <x v="2"/>
    <d v="2025-10-27T00:00:00"/>
    <n v="0.2"/>
    <x v="3"/>
    <n v="6250"/>
    <x v="0"/>
    <x v="1"/>
    <n v="3"/>
    <n v="28"/>
    <x v="1"/>
    <m/>
    <x v="2"/>
    <x v="2"/>
    <x v="2"/>
    <n v="1"/>
    <n v="1"/>
    <n v="0"/>
  </r>
  <r>
    <s v="E11243"/>
    <x v="4"/>
    <x v="0"/>
    <s v="Male"/>
    <n v="23"/>
    <s v="20-25"/>
    <x v="0"/>
    <d v="2024-09-04T00:00:00"/>
    <n v="1.3"/>
    <x v="0"/>
    <n v="3500"/>
    <x v="0"/>
    <x v="2"/>
    <n v="3"/>
    <n v="19"/>
    <x v="1"/>
    <m/>
    <x v="2"/>
    <x v="2"/>
    <x v="2"/>
    <n v="1"/>
    <n v="1"/>
    <n v="0"/>
  </r>
  <r>
    <s v="E11244"/>
    <x v="1"/>
    <x v="1"/>
    <s v="Female"/>
    <n v="39"/>
    <s v="36-45"/>
    <x v="0"/>
    <d v="2020-07-07T00:00:00"/>
    <n v="5.5"/>
    <x v="1"/>
    <n v="4150"/>
    <x v="1"/>
    <x v="1"/>
    <n v="3"/>
    <n v="34"/>
    <x v="1"/>
    <m/>
    <x v="2"/>
    <x v="2"/>
    <x v="2"/>
    <n v="1"/>
    <n v="1"/>
    <n v="0"/>
  </r>
  <r>
    <s v="E11245"/>
    <x v="5"/>
    <x v="3"/>
    <s v="Female"/>
    <n v="51"/>
    <s v="46+"/>
    <x v="0"/>
    <d v="2022-10-28T00:00:00"/>
    <n v="3.2"/>
    <x v="2"/>
    <n v="10500"/>
    <x v="0"/>
    <x v="2"/>
    <n v="3"/>
    <n v="19"/>
    <x v="1"/>
    <m/>
    <x v="2"/>
    <x v="2"/>
    <x v="2"/>
    <n v="1"/>
    <n v="1"/>
    <n v="0"/>
  </r>
  <r>
    <s v="E11246"/>
    <x v="4"/>
    <x v="3"/>
    <s v="Male"/>
    <n v="52"/>
    <s v="46+"/>
    <x v="1"/>
    <d v="2022-09-13T00:00:00"/>
    <n v="3.3"/>
    <x v="2"/>
    <n v="10450"/>
    <x v="1"/>
    <x v="4"/>
    <n v="3"/>
    <n v="27"/>
    <x v="1"/>
    <m/>
    <x v="2"/>
    <x v="2"/>
    <x v="2"/>
    <n v="1"/>
    <n v="1"/>
    <n v="0"/>
  </r>
  <r>
    <s v="E11247"/>
    <x v="0"/>
    <x v="1"/>
    <s v="Male"/>
    <n v="32"/>
    <s v="26-35"/>
    <x v="1"/>
    <d v="2023-05-17T00:00:00"/>
    <n v="2.6"/>
    <x v="0"/>
    <n v="3150"/>
    <x v="0"/>
    <x v="1"/>
    <n v="3"/>
    <n v="19"/>
    <x v="1"/>
    <m/>
    <x v="2"/>
    <x v="2"/>
    <x v="2"/>
    <n v="1"/>
    <n v="1"/>
    <n v="0"/>
  </r>
  <r>
    <s v="E11248"/>
    <x v="1"/>
    <x v="0"/>
    <s v="Male"/>
    <n v="34"/>
    <s v="26-35"/>
    <x v="1"/>
    <d v="2021-06-17T00:00:00"/>
    <n v="4.5"/>
    <x v="2"/>
    <n v="3400"/>
    <x v="0"/>
    <x v="0"/>
    <n v="3"/>
    <n v="23"/>
    <x v="1"/>
    <m/>
    <x v="2"/>
    <x v="2"/>
    <x v="2"/>
    <n v="1"/>
    <n v="1"/>
    <n v="0"/>
  </r>
  <r>
    <s v="E11249"/>
    <x v="5"/>
    <x v="0"/>
    <s v="Male"/>
    <n v="31"/>
    <s v="26-35"/>
    <x v="2"/>
    <d v="2022-01-03T00:00:00"/>
    <n v="4"/>
    <x v="2"/>
    <n v="3800"/>
    <x v="1"/>
    <x v="1"/>
    <n v="5"/>
    <n v="19"/>
    <x v="1"/>
    <m/>
    <x v="2"/>
    <x v="2"/>
    <x v="2"/>
    <n v="1"/>
    <n v="1"/>
    <n v="0"/>
  </r>
  <r>
    <s v="E11250"/>
    <x v="0"/>
    <x v="0"/>
    <s v="Male"/>
    <n v="38"/>
    <s v="36-45"/>
    <x v="0"/>
    <d v="2022-07-14T00:00:00"/>
    <n v="2.5"/>
    <x v="0"/>
    <n v="2450"/>
    <x v="1"/>
    <x v="1"/>
    <n v="4"/>
    <n v="17"/>
    <x v="0"/>
    <d v="2024-12-29T00:00:00"/>
    <x v="0"/>
    <x v="5"/>
    <x v="0"/>
    <n v="1"/>
    <n v="0"/>
    <n v="1"/>
  </r>
  <r>
    <s v="E11251"/>
    <x v="0"/>
    <x v="1"/>
    <s v="Male"/>
    <n v="26"/>
    <s v="26-35"/>
    <x v="0"/>
    <d v="2022-06-07T00:00:00"/>
    <n v="3.6"/>
    <x v="2"/>
    <n v="3800"/>
    <x v="1"/>
    <x v="0"/>
    <n v="3"/>
    <n v="18"/>
    <x v="1"/>
    <m/>
    <x v="2"/>
    <x v="2"/>
    <x v="2"/>
    <n v="1"/>
    <n v="1"/>
    <n v="0"/>
  </r>
  <r>
    <s v="E11252"/>
    <x v="5"/>
    <x v="0"/>
    <s v="Male"/>
    <n v="28"/>
    <s v="26-35"/>
    <x v="1"/>
    <d v="2021-03-07T00:00:00"/>
    <n v="3.1"/>
    <x v="2"/>
    <n v="4350"/>
    <x v="1"/>
    <x v="1"/>
    <n v="4"/>
    <n v="31"/>
    <x v="0"/>
    <d v="2024-04-01T00:00:00"/>
    <x v="0"/>
    <x v="8"/>
    <x v="5"/>
    <n v="1"/>
    <n v="0"/>
    <n v="1"/>
  </r>
  <r>
    <s v="E11253"/>
    <x v="6"/>
    <x v="2"/>
    <s v="Male"/>
    <n v="48"/>
    <s v="46+"/>
    <x v="1"/>
    <d v="2016-07-17T00:00:00"/>
    <n v="9.5"/>
    <x v="1"/>
    <n v="6250"/>
    <x v="1"/>
    <x v="1"/>
    <n v="4"/>
    <n v="17"/>
    <x v="1"/>
    <m/>
    <x v="2"/>
    <x v="2"/>
    <x v="2"/>
    <n v="1"/>
    <n v="1"/>
    <n v="0"/>
  </r>
  <r>
    <s v="E11254"/>
    <x v="3"/>
    <x v="3"/>
    <s v="Male"/>
    <n v="49"/>
    <s v="46+"/>
    <x v="0"/>
    <d v="2015-04-15T00:00:00"/>
    <n v="10.7"/>
    <x v="1"/>
    <n v="16050"/>
    <x v="0"/>
    <x v="0"/>
    <n v="3"/>
    <n v="34"/>
    <x v="1"/>
    <m/>
    <x v="2"/>
    <x v="2"/>
    <x v="2"/>
    <n v="1"/>
    <n v="1"/>
    <n v="0"/>
  </r>
  <r>
    <s v="E11255"/>
    <x v="1"/>
    <x v="0"/>
    <s v="Male"/>
    <n v="25"/>
    <s v="20-25"/>
    <x v="1"/>
    <d v="2023-02-02T00:00:00"/>
    <n v="2.9"/>
    <x v="0"/>
    <n v="3700"/>
    <x v="0"/>
    <x v="1"/>
    <n v="5"/>
    <n v="7"/>
    <x v="1"/>
    <m/>
    <x v="2"/>
    <x v="2"/>
    <x v="2"/>
    <n v="1"/>
    <n v="1"/>
    <n v="0"/>
  </r>
  <r>
    <s v="E11256"/>
    <x v="4"/>
    <x v="1"/>
    <s v="Male"/>
    <n v="27"/>
    <s v="26-35"/>
    <x v="1"/>
    <d v="2022-07-22T00:00:00"/>
    <n v="3.4"/>
    <x v="2"/>
    <n v="6800"/>
    <x v="0"/>
    <x v="0"/>
    <n v="3"/>
    <n v="30"/>
    <x v="1"/>
    <m/>
    <x v="2"/>
    <x v="2"/>
    <x v="2"/>
    <n v="1"/>
    <n v="1"/>
    <n v="0"/>
  </r>
  <r>
    <s v="E11257"/>
    <x v="0"/>
    <x v="0"/>
    <s v="Male"/>
    <n v="31"/>
    <s v="26-35"/>
    <x v="0"/>
    <d v="2020-04-23T00:00:00"/>
    <n v="5.7"/>
    <x v="1"/>
    <n v="2750"/>
    <x v="0"/>
    <x v="0"/>
    <n v="5"/>
    <n v="42"/>
    <x v="1"/>
    <m/>
    <x v="2"/>
    <x v="2"/>
    <x v="2"/>
    <n v="1"/>
    <n v="1"/>
    <n v="0"/>
  </r>
  <r>
    <s v="E11258"/>
    <x v="3"/>
    <x v="2"/>
    <s v="Female"/>
    <n v="42"/>
    <s v="36-45"/>
    <x v="1"/>
    <d v="2012-06-28T00:00:00"/>
    <n v="13.5"/>
    <x v="1"/>
    <n v="10150"/>
    <x v="0"/>
    <x v="0"/>
    <n v="4"/>
    <n v="40"/>
    <x v="1"/>
    <m/>
    <x v="2"/>
    <x v="2"/>
    <x v="2"/>
    <n v="1"/>
    <n v="1"/>
    <n v="0"/>
  </r>
  <r>
    <s v="E11259"/>
    <x v="2"/>
    <x v="1"/>
    <s v="Male"/>
    <n v="35"/>
    <s v="26-35"/>
    <x v="1"/>
    <d v="2022-12-12T00:00:00"/>
    <n v="3.1"/>
    <x v="2"/>
    <n v="6650"/>
    <x v="1"/>
    <x v="2"/>
    <n v="3"/>
    <n v="25"/>
    <x v="1"/>
    <m/>
    <x v="2"/>
    <x v="2"/>
    <x v="2"/>
    <n v="1"/>
    <n v="1"/>
    <n v="0"/>
  </r>
  <r>
    <s v="E11260"/>
    <x v="1"/>
    <x v="1"/>
    <s v="Female"/>
    <n v="39"/>
    <s v="36-45"/>
    <x v="0"/>
    <d v="2023-05-02T00:00:00"/>
    <n v="2.7"/>
    <x v="0"/>
    <n v="4000"/>
    <x v="1"/>
    <x v="0"/>
    <n v="3"/>
    <n v="19"/>
    <x v="1"/>
    <m/>
    <x v="2"/>
    <x v="2"/>
    <x v="2"/>
    <n v="1"/>
    <n v="1"/>
    <n v="0"/>
  </r>
  <r>
    <s v="E11261"/>
    <x v="0"/>
    <x v="1"/>
    <s v="Female"/>
    <n v="30"/>
    <s v="26-35"/>
    <x v="0"/>
    <d v="2022-11-02T00:00:00"/>
    <n v="2.8"/>
    <x v="0"/>
    <n v="3150"/>
    <x v="1"/>
    <x v="1"/>
    <n v="3"/>
    <n v="11"/>
    <x v="0"/>
    <d v="2025-08-07T00:00:00"/>
    <x v="1"/>
    <x v="1"/>
    <x v="0"/>
    <n v="1"/>
    <n v="0"/>
    <n v="1"/>
  </r>
  <r>
    <s v="E11262"/>
    <x v="1"/>
    <x v="1"/>
    <s v="Male"/>
    <n v="28"/>
    <s v="26-35"/>
    <x v="0"/>
    <d v="2023-11-15T00:00:00"/>
    <n v="2.1"/>
    <x v="0"/>
    <n v="4750"/>
    <x v="0"/>
    <x v="2"/>
    <n v="5"/>
    <n v="29"/>
    <x v="1"/>
    <m/>
    <x v="2"/>
    <x v="2"/>
    <x v="2"/>
    <n v="1"/>
    <n v="1"/>
    <n v="0"/>
  </r>
  <r>
    <s v="E11263"/>
    <x v="0"/>
    <x v="2"/>
    <s v="Male"/>
    <n v="40"/>
    <s v="36-45"/>
    <x v="1"/>
    <d v="2014-02-19T00:00:00"/>
    <n v="11.3"/>
    <x v="1"/>
    <n v="4900"/>
    <x v="1"/>
    <x v="4"/>
    <n v="3"/>
    <n v="27"/>
    <x v="0"/>
    <d v="2025-06-25T00:00:00"/>
    <x v="1"/>
    <x v="0"/>
    <x v="3"/>
    <n v="1"/>
    <n v="0"/>
    <n v="1"/>
  </r>
  <r>
    <s v="E11264"/>
    <x v="5"/>
    <x v="1"/>
    <s v="Female"/>
    <n v="25"/>
    <s v="20-25"/>
    <x v="0"/>
    <d v="2025-06-06T00:00:00"/>
    <n v="0.6"/>
    <x v="3"/>
    <n v="4950"/>
    <x v="0"/>
    <x v="0"/>
    <n v="4"/>
    <n v="15"/>
    <x v="1"/>
    <m/>
    <x v="2"/>
    <x v="2"/>
    <x v="2"/>
    <n v="1"/>
    <n v="1"/>
    <n v="0"/>
  </r>
  <r>
    <s v="E11265"/>
    <x v="2"/>
    <x v="0"/>
    <s v="Male"/>
    <n v="30"/>
    <s v="26-35"/>
    <x v="0"/>
    <d v="2024-05-05T00:00:00"/>
    <n v="1.7"/>
    <x v="0"/>
    <n v="5400"/>
    <x v="0"/>
    <x v="0"/>
    <n v="3"/>
    <n v="16"/>
    <x v="1"/>
    <m/>
    <x v="2"/>
    <x v="2"/>
    <x v="2"/>
    <n v="1"/>
    <n v="1"/>
    <n v="0"/>
  </r>
  <r>
    <s v="E11266"/>
    <x v="5"/>
    <x v="0"/>
    <s v="Male"/>
    <n v="25"/>
    <s v="20-25"/>
    <x v="0"/>
    <d v="2023-11-11T00:00:00"/>
    <n v="2.1"/>
    <x v="0"/>
    <n v="4750"/>
    <x v="0"/>
    <x v="4"/>
    <n v="4"/>
    <n v="9"/>
    <x v="1"/>
    <m/>
    <x v="2"/>
    <x v="2"/>
    <x v="2"/>
    <n v="1"/>
    <n v="1"/>
    <n v="0"/>
  </r>
  <r>
    <s v="E11267"/>
    <x v="0"/>
    <x v="3"/>
    <s v="Female"/>
    <n v="38"/>
    <s v="36-45"/>
    <x v="0"/>
    <d v="2015-05-14T00:00:00"/>
    <n v="10.6"/>
    <x v="1"/>
    <n v="7000"/>
    <x v="0"/>
    <x v="2"/>
    <n v="3"/>
    <n v="20"/>
    <x v="1"/>
    <m/>
    <x v="2"/>
    <x v="2"/>
    <x v="2"/>
    <n v="1"/>
    <n v="1"/>
    <n v="0"/>
  </r>
  <r>
    <s v="E11268"/>
    <x v="0"/>
    <x v="0"/>
    <s v="Male"/>
    <n v="21"/>
    <s v="20-25"/>
    <x v="1"/>
    <d v="2025-12-13T00:00:00"/>
    <n v="0"/>
    <x v="3"/>
    <n v="3350"/>
    <x v="0"/>
    <x v="0"/>
    <n v="3"/>
    <n v="30"/>
    <x v="1"/>
    <m/>
    <x v="2"/>
    <x v="2"/>
    <x v="2"/>
    <n v="1"/>
    <n v="1"/>
    <n v="0"/>
  </r>
  <r>
    <s v="E11269"/>
    <x v="0"/>
    <x v="3"/>
    <s v="Male"/>
    <n v="42"/>
    <s v="36-45"/>
    <x v="1"/>
    <d v="2011-05-05T00:00:00"/>
    <n v="14.7"/>
    <x v="1"/>
    <n v="6750"/>
    <x v="0"/>
    <x v="0"/>
    <n v="3"/>
    <n v="23"/>
    <x v="1"/>
    <m/>
    <x v="2"/>
    <x v="2"/>
    <x v="2"/>
    <n v="1"/>
    <n v="1"/>
    <n v="0"/>
  </r>
  <r>
    <s v="E11270"/>
    <x v="2"/>
    <x v="1"/>
    <s v="Male"/>
    <n v="30"/>
    <s v="26-35"/>
    <x v="1"/>
    <d v="2019-11-30T00:00:00"/>
    <n v="6.1"/>
    <x v="1"/>
    <n v="6300"/>
    <x v="0"/>
    <x v="1"/>
    <n v="3"/>
    <n v="19"/>
    <x v="1"/>
    <m/>
    <x v="2"/>
    <x v="2"/>
    <x v="2"/>
    <n v="1"/>
    <n v="1"/>
    <n v="0"/>
  </r>
  <r>
    <s v="E11271"/>
    <x v="0"/>
    <x v="2"/>
    <s v="Male"/>
    <n v="36"/>
    <s v="36-45"/>
    <x v="2"/>
    <d v="2018-04-25T00:00:00"/>
    <n v="7.7"/>
    <x v="1"/>
    <n v="5350"/>
    <x v="0"/>
    <x v="1"/>
    <n v="2"/>
    <n v="30"/>
    <x v="1"/>
    <m/>
    <x v="2"/>
    <x v="2"/>
    <x v="2"/>
    <n v="1"/>
    <n v="1"/>
    <n v="0"/>
  </r>
  <r>
    <s v="E11272"/>
    <x v="4"/>
    <x v="0"/>
    <s v="Male"/>
    <n v="21"/>
    <s v="20-25"/>
    <x v="0"/>
    <d v="2025-10-12T00:00:00"/>
    <n v="0.2"/>
    <x v="3"/>
    <n v="4350"/>
    <x v="0"/>
    <x v="2"/>
    <n v="4"/>
    <n v="41"/>
    <x v="1"/>
    <m/>
    <x v="2"/>
    <x v="2"/>
    <x v="2"/>
    <n v="1"/>
    <n v="1"/>
    <n v="0"/>
  </r>
  <r>
    <s v="E11273"/>
    <x v="5"/>
    <x v="1"/>
    <s v="Male"/>
    <n v="36"/>
    <s v="36-45"/>
    <x v="1"/>
    <d v="2017-07-20T00:00:00"/>
    <n v="6.9"/>
    <x v="1"/>
    <n v="5050"/>
    <x v="1"/>
    <x v="4"/>
    <n v="3"/>
    <n v="41"/>
    <x v="0"/>
    <d v="2024-05-27T00:00:00"/>
    <x v="0"/>
    <x v="9"/>
    <x v="3"/>
    <n v="1"/>
    <n v="0"/>
    <n v="1"/>
  </r>
  <r>
    <s v="E11274"/>
    <x v="5"/>
    <x v="2"/>
    <s v="Female"/>
    <n v="32"/>
    <s v="26-35"/>
    <x v="1"/>
    <d v="2020-07-29T00:00:00"/>
    <n v="4.9000000000000004"/>
    <x v="2"/>
    <n v="7150"/>
    <x v="1"/>
    <x v="4"/>
    <n v="4"/>
    <n v="33"/>
    <x v="0"/>
    <d v="2025-06-19T00:00:00"/>
    <x v="1"/>
    <x v="0"/>
    <x v="6"/>
    <n v="1"/>
    <n v="0"/>
    <n v="1"/>
  </r>
  <r>
    <s v="E11275"/>
    <x v="3"/>
    <x v="0"/>
    <s v="Male"/>
    <n v="27"/>
    <s v="26-35"/>
    <x v="0"/>
    <d v="2021-11-06T00:00:00"/>
    <n v="4.2"/>
    <x v="2"/>
    <n v="6550"/>
    <x v="0"/>
    <x v="1"/>
    <n v="4"/>
    <n v="28"/>
    <x v="1"/>
    <m/>
    <x v="2"/>
    <x v="2"/>
    <x v="2"/>
    <n v="1"/>
    <n v="1"/>
    <n v="0"/>
  </r>
  <r>
    <s v="E11276"/>
    <x v="5"/>
    <x v="2"/>
    <s v="Male"/>
    <n v="35"/>
    <s v="26-35"/>
    <x v="0"/>
    <d v="2016-03-30T00:00:00"/>
    <n v="9.6999999999999993"/>
    <x v="1"/>
    <n v="7500"/>
    <x v="0"/>
    <x v="0"/>
    <n v="3"/>
    <n v="15"/>
    <x v="0"/>
    <d v="2025-12-18T00:00:00"/>
    <x v="1"/>
    <x v="5"/>
    <x v="6"/>
    <n v="1"/>
    <n v="0"/>
    <n v="1"/>
  </r>
  <r>
    <s v="E11277"/>
    <x v="1"/>
    <x v="2"/>
    <s v="Male"/>
    <n v="40"/>
    <s v="36-45"/>
    <x v="0"/>
    <d v="2023-06-26T00:00:00"/>
    <n v="2.5"/>
    <x v="0"/>
    <n v="7450"/>
    <x v="1"/>
    <x v="0"/>
    <n v="3"/>
    <n v="24"/>
    <x v="1"/>
    <m/>
    <x v="2"/>
    <x v="2"/>
    <x v="2"/>
    <n v="1"/>
    <n v="1"/>
    <n v="0"/>
  </r>
  <r>
    <s v="E11278"/>
    <x v="1"/>
    <x v="3"/>
    <s v="Male"/>
    <n v="47"/>
    <s v="46+"/>
    <x v="0"/>
    <d v="2016-04-15T00:00:00"/>
    <n v="9.6999999999999993"/>
    <x v="1"/>
    <n v="8750"/>
    <x v="1"/>
    <x v="1"/>
    <n v="5"/>
    <n v="3"/>
    <x v="1"/>
    <m/>
    <x v="2"/>
    <x v="2"/>
    <x v="2"/>
    <n v="1"/>
    <n v="1"/>
    <n v="0"/>
  </r>
  <r>
    <s v="E11279"/>
    <x v="0"/>
    <x v="1"/>
    <s v="Male"/>
    <n v="21"/>
    <s v="20-25"/>
    <x v="1"/>
    <d v="2025-11-05T00:00:00"/>
    <n v="0.2"/>
    <x v="3"/>
    <n v="3400"/>
    <x v="0"/>
    <x v="0"/>
    <n v="3"/>
    <n v="37"/>
    <x v="1"/>
    <m/>
    <x v="2"/>
    <x v="2"/>
    <x v="2"/>
    <n v="1"/>
    <n v="1"/>
    <n v="0"/>
  </r>
  <r>
    <s v="E11280"/>
    <x v="5"/>
    <x v="0"/>
    <s v="Male"/>
    <n v="31"/>
    <s v="26-35"/>
    <x v="1"/>
    <d v="2021-11-29T00:00:00"/>
    <n v="4.0999999999999996"/>
    <x v="2"/>
    <n v="4050"/>
    <x v="1"/>
    <x v="2"/>
    <n v="4"/>
    <n v="9"/>
    <x v="1"/>
    <m/>
    <x v="2"/>
    <x v="2"/>
    <x v="2"/>
    <n v="1"/>
    <n v="1"/>
    <n v="0"/>
  </r>
  <r>
    <s v="E11281"/>
    <x v="6"/>
    <x v="2"/>
    <s v="Female"/>
    <n v="31"/>
    <s v="26-35"/>
    <x v="1"/>
    <d v="2021-07-21T00:00:00"/>
    <n v="4.4000000000000004"/>
    <x v="2"/>
    <n v="8650"/>
    <x v="0"/>
    <x v="1"/>
    <n v="4"/>
    <n v="30"/>
    <x v="1"/>
    <m/>
    <x v="2"/>
    <x v="2"/>
    <x v="2"/>
    <n v="1"/>
    <n v="1"/>
    <n v="0"/>
  </r>
  <r>
    <s v="E11282"/>
    <x v="3"/>
    <x v="0"/>
    <s v="Female"/>
    <n v="22"/>
    <s v="20-25"/>
    <x v="2"/>
    <d v="2025-09-23T00:00:00"/>
    <n v="0.3"/>
    <x v="3"/>
    <n v="7100"/>
    <x v="0"/>
    <x v="1"/>
    <n v="3"/>
    <n v="5"/>
    <x v="1"/>
    <m/>
    <x v="2"/>
    <x v="2"/>
    <x v="2"/>
    <n v="1"/>
    <n v="1"/>
    <n v="0"/>
  </r>
  <r>
    <s v="E11283"/>
    <x v="3"/>
    <x v="0"/>
    <s v="Female"/>
    <n v="32"/>
    <s v="26-35"/>
    <x v="1"/>
    <d v="2021-07-23T00:00:00"/>
    <n v="4.4000000000000004"/>
    <x v="2"/>
    <n v="7350"/>
    <x v="0"/>
    <x v="0"/>
    <n v="4"/>
    <n v="5"/>
    <x v="1"/>
    <m/>
    <x v="2"/>
    <x v="2"/>
    <x v="2"/>
    <n v="1"/>
    <n v="1"/>
    <n v="0"/>
  </r>
  <r>
    <s v="E11284"/>
    <x v="3"/>
    <x v="2"/>
    <s v="Male"/>
    <n v="36"/>
    <s v="36-45"/>
    <x v="1"/>
    <d v="2015-01-21T00:00:00"/>
    <n v="10.9"/>
    <x v="1"/>
    <n v="9800"/>
    <x v="0"/>
    <x v="1"/>
    <n v="5"/>
    <n v="16"/>
    <x v="1"/>
    <m/>
    <x v="2"/>
    <x v="2"/>
    <x v="2"/>
    <n v="1"/>
    <n v="1"/>
    <n v="0"/>
  </r>
  <r>
    <s v="E11285"/>
    <x v="3"/>
    <x v="1"/>
    <s v="Female"/>
    <n v="30"/>
    <s v="26-35"/>
    <x v="1"/>
    <d v="2019-04-03T00:00:00"/>
    <n v="6.7"/>
    <x v="1"/>
    <n v="8950"/>
    <x v="0"/>
    <x v="1"/>
    <n v="4"/>
    <n v="32"/>
    <x v="1"/>
    <m/>
    <x v="2"/>
    <x v="2"/>
    <x v="2"/>
    <n v="1"/>
    <n v="1"/>
    <n v="0"/>
  </r>
  <r>
    <s v="E11286"/>
    <x v="5"/>
    <x v="1"/>
    <s v="Female"/>
    <n v="35"/>
    <s v="26-35"/>
    <x v="0"/>
    <d v="2023-02-11T00:00:00"/>
    <n v="2.7"/>
    <x v="0"/>
    <n v="4200"/>
    <x v="1"/>
    <x v="4"/>
    <n v="2"/>
    <n v="35"/>
    <x v="0"/>
    <d v="2025-11-06T00:00:00"/>
    <x v="1"/>
    <x v="10"/>
    <x v="3"/>
    <n v="1"/>
    <n v="0"/>
    <n v="1"/>
  </r>
  <r>
    <s v="E11287"/>
    <x v="0"/>
    <x v="1"/>
    <s v="Female"/>
    <n v="30"/>
    <s v="26-35"/>
    <x v="1"/>
    <d v="2023-02-10T00:00:00"/>
    <n v="2.9"/>
    <x v="0"/>
    <n v="2900"/>
    <x v="1"/>
    <x v="1"/>
    <n v="4"/>
    <n v="4"/>
    <x v="1"/>
    <m/>
    <x v="2"/>
    <x v="2"/>
    <x v="2"/>
    <n v="1"/>
    <n v="1"/>
    <n v="0"/>
  </r>
  <r>
    <s v="E11288"/>
    <x v="2"/>
    <x v="0"/>
    <s v="Male"/>
    <n v="27"/>
    <s v="26-35"/>
    <x v="0"/>
    <d v="2022-11-06T00:00:00"/>
    <n v="3.2"/>
    <x v="2"/>
    <n v="6300"/>
    <x v="0"/>
    <x v="0"/>
    <n v="3"/>
    <n v="16"/>
    <x v="1"/>
    <m/>
    <x v="2"/>
    <x v="2"/>
    <x v="2"/>
    <n v="1"/>
    <n v="1"/>
    <n v="0"/>
  </r>
  <r>
    <s v="E11289"/>
    <x v="5"/>
    <x v="0"/>
    <s v="Female"/>
    <n v="31"/>
    <s v="26-35"/>
    <x v="1"/>
    <d v="2020-09-05T00:00:00"/>
    <n v="4.3"/>
    <x v="2"/>
    <n v="4050"/>
    <x v="0"/>
    <x v="1"/>
    <n v="4"/>
    <n v="27"/>
    <x v="0"/>
    <d v="2025-01-04T00:00:00"/>
    <x v="1"/>
    <x v="7"/>
    <x v="0"/>
    <n v="1"/>
    <n v="0"/>
    <n v="1"/>
  </r>
  <r>
    <s v="E11290"/>
    <x v="1"/>
    <x v="1"/>
    <s v="Female"/>
    <n v="34"/>
    <s v="26-35"/>
    <x v="0"/>
    <d v="2024-05-05T00:00:00"/>
    <n v="1.7"/>
    <x v="0"/>
    <n v="3600"/>
    <x v="0"/>
    <x v="0"/>
    <n v="3"/>
    <n v="10"/>
    <x v="1"/>
    <m/>
    <x v="2"/>
    <x v="2"/>
    <x v="2"/>
    <n v="1"/>
    <n v="1"/>
    <n v="0"/>
  </r>
  <r>
    <s v="E11291"/>
    <x v="2"/>
    <x v="1"/>
    <s v="Male"/>
    <n v="40"/>
    <s v="36-45"/>
    <x v="1"/>
    <d v="2015-09-18T00:00:00"/>
    <n v="10.3"/>
    <x v="1"/>
    <n v="5500"/>
    <x v="0"/>
    <x v="2"/>
    <n v="3"/>
    <n v="12"/>
    <x v="1"/>
    <m/>
    <x v="2"/>
    <x v="2"/>
    <x v="2"/>
    <n v="1"/>
    <n v="1"/>
    <n v="0"/>
  </r>
  <r>
    <s v="E11292"/>
    <x v="0"/>
    <x v="0"/>
    <s v="Male"/>
    <n v="21"/>
    <s v="20-25"/>
    <x v="1"/>
    <d v="2025-09-25T00:00:00"/>
    <n v="0.3"/>
    <x v="3"/>
    <n v="2450"/>
    <x v="0"/>
    <x v="0"/>
    <n v="4"/>
    <n v="22"/>
    <x v="1"/>
    <m/>
    <x v="2"/>
    <x v="2"/>
    <x v="2"/>
    <n v="1"/>
    <n v="1"/>
    <n v="0"/>
  </r>
  <r>
    <s v="E11293"/>
    <x v="1"/>
    <x v="0"/>
    <s v="Male"/>
    <n v="25"/>
    <s v="20-25"/>
    <x v="2"/>
    <d v="2024-03-31T00:00:00"/>
    <n v="1.8"/>
    <x v="0"/>
    <n v="3500"/>
    <x v="0"/>
    <x v="4"/>
    <n v="3"/>
    <n v="11"/>
    <x v="1"/>
    <m/>
    <x v="2"/>
    <x v="2"/>
    <x v="2"/>
    <n v="1"/>
    <n v="1"/>
    <n v="0"/>
  </r>
  <r>
    <s v="E11294"/>
    <x v="0"/>
    <x v="0"/>
    <s v="Male"/>
    <n v="24"/>
    <s v="20-25"/>
    <x v="0"/>
    <d v="2025-01-18T00:00:00"/>
    <n v="1"/>
    <x v="3"/>
    <n v="3050"/>
    <x v="1"/>
    <x v="0"/>
    <n v="2"/>
    <n v="47"/>
    <x v="1"/>
    <m/>
    <x v="2"/>
    <x v="2"/>
    <x v="2"/>
    <n v="1"/>
    <n v="1"/>
    <n v="0"/>
  </r>
  <r>
    <s v="E11295"/>
    <x v="3"/>
    <x v="1"/>
    <s v="Male"/>
    <n v="31"/>
    <s v="26-35"/>
    <x v="1"/>
    <d v="2021-08-18T00:00:00"/>
    <n v="4.4000000000000004"/>
    <x v="2"/>
    <n v="7650"/>
    <x v="0"/>
    <x v="2"/>
    <n v="3"/>
    <n v="25"/>
    <x v="1"/>
    <m/>
    <x v="2"/>
    <x v="2"/>
    <x v="2"/>
    <n v="1"/>
    <n v="1"/>
    <n v="0"/>
  </r>
  <r>
    <s v="E11296"/>
    <x v="6"/>
    <x v="1"/>
    <s v="Female"/>
    <n v="28"/>
    <s v="26-35"/>
    <x v="0"/>
    <d v="2022-08-14T00:00:00"/>
    <n v="3.4"/>
    <x v="2"/>
    <n v="5100"/>
    <x v="0"/>
    <x v="1"/>
    <n v="3"/>
    <n v="20"/>
    <x v="1"/>
    <m/>
    <x v="2"/>
    <x v="2"/>
    <x v="2"/>
    <n v="1"/>
    <n v="1"/>
    <n v="0"/>
  </r>
  <r>
    <s v="E11297"/>
    <x v="2"/>
    <x v="2"/>
    <s v="Female"/>
    <n v="44"/>
    <s v="36-45"/>
    <x v="1"/>
    <d v="2014-09-14T00:00:00"/>
    <n v="11.3"/>
    <x v="1"/>
    <n v="8650"/>
    <x v="0"/>
    <x v="2"/>
    <n v="4"/>
    <n v="23"/>
    <x v="1"/>
    <m/>
    <x v="2"/>
    <x v="2"/>
    <x v="2"/>
    <n v="1"/>
    <n v="1"/>
    <n v="0"/>
  </r>
  <r>
    <s v="E11298"/>
    <x v="6"/>
    <x v="2"/>
    <s v="Male"/>
    <n v="42"/>
    <s v="36-45"/>
    <x v="0"/>
    <d v="2014-03-27T00:00:00"/>
    <n v="11.8"/>
    <x v="1"/>
    <n v="6650"/>
    <x v="0"/>
    <x v="2"/>
    <n v="3"/>
    <n v="16"/>
    <x v="1"/>
    <m/>
    <x v="2"/>
    <x v="2"/>
    <x v="2"/>
    <n v="1"/>
    <n v="1"/>
    <n v="0"/>
  </r>
  <r>
    <s v="E11299"/>
    <x v="4"/>
    <x v="1"/>
    <s v="Female"/>
    <n v="32"/>
    <s v="26-35"/>
    <x v="1"/>
    <d v="2020-09-05T00:00:00"/>
    <n v="5.3"/>
    <x v="1"/>
    <n v="6150"/>
    <x v="0"/>
    <x v="1"/>
    <n v="4"/>
    <n v="21"/>
    <x v="1"/>
    <m/>
    <x v="2"/>
    <x v="2"/>
    <x v="2"/>
    <n v="1"/>
    <n v="1"/>
    <n v="0"/>
  </r>
  <r>
    <s v="E11300"/>
    <x v="0"/>
    <x v="2"/>
    <s v="Female"/>
    <n v="31"/>
    <s v="26-35"/>
    <x v="1"/>
    <d v="2021-07-03T00:00:00"/>
    <n v="4.5"/>
    <x v="2"/>
    <n v="6400"/>
    <x v="0"/>
    <x v="1"/>
    <n v="4"/>
    <n v="16"/>
    <x v="1"/>
    <m/>
    <x v="2"/>
    <x v="2"/>
    <x v="2"/>
    <n v="1"/>
    <n v="1"/>
    <n v="0"/>
  </r>
  <r>
    <s v="E11301"/>
    <x v="1"/>
    <x v="0"/>
    <s v="Male"/>
    <n v="32"/>
    <s v="26-35"/>
    <x v="1"/>
    <d v="2021-12-20T00:00:00"/>
    <n v="4"/>
    <x v="2"/>
    <n v="3400"/>
    <x v="1"/>
    <x v="1"/>
    <n v="4"/>
    <n v="36"/>
    <x v="1"/>
    <m/>
    <x v="2"/>
    <x v="2"/>
    <x v="2"/>
    <n v="1"/>
    <n v="1"/>
    <n v="0"/>
  </r>
  <r>
    <s v="E11302"/>
    <x v="3"/>
    <x v="1"/>
    <s v="Male"/>
    <n v="39"/>
    <s v="36-45"/>
    <x v="1"/>
    <d v="2022-02-01T00:00:00"/>
    <n v="3.9"/>
    <x v="2"/>
    <n v="7700"/>
    <x v="1"/>
    <x v="4"/>
    <n v="3"/>
    <n v="30"/>
    <x v="1"/>
    <m/>
    <x v="2"/>
    <x v="2"/>
    <x v="2"/>
    <n v="1"/>
    <n v="1"/>
    <n v="0"/>
  </r>
  <r>
    <s v="E11303"/>
    <x v="4"/>
    <x v="2"/>
    <s v="Male"/>
    <n v="38"/>
    <s v="36-45"/>
    <x v="0"/>
    <d v="2012-09-23T00:00:00"/>
    <n v="13.3"/>
    <x v="1"/>
    <n v="9150"/>
    <x v="0"/>
    <x v="1"/>
    <n v="3"/>
    <n v="28"/>
    <x v="1"/>
    <m/>
    <x v="2"/>
    <x v="2"/>
    <x v="2"/>
    <n v="1"/>
    <n v="1"/>
    <n v="0"/>
  </r>
  <r>
    <s v="E11304"/>
    <x v="5"/>
    <x v="0"/>
    <s v="Male"/>
    <n v="21"/>
    <s v="20-25"/>
    <x v="1"/>
    <d v="2025-11-19T00:00:00"/>
    <n v="0.1"/>
    <x v="3"/>
    <n v="4250"/>
    <x v="1"/>
    <x v="0"/>
    <n v="2"/>
    <n v="24"/>
    <x v="1"/>
    <m/>
    <x v="2"/>
    <x v="2"/>
    <x v="2"/>
    <n v="1"/>
    <n v="1"/>
    <n v="0"/>
  </r>
  <r>
    <s v="E11305"/>
    <x v="3"/>
    <x v="1"/>
    <s v="Female"/>
    <n v="28"/>
    <s v="26-35"/>
    <x v="0"/>
    <d v="2021-11-08T00:00:00"/>
    <n v="3.2"/>
    <x v="2"/>
    <n v="7150"/>
    <x v="1"/>
    <x v="2"/>
    <n v="4"/>
    <n v="15"/>
    <x v="0"/>
    <d v="2025-01-18T00:00:00"/>
    <x v="1"/>
    <x v="7"/>
    <x v="6"/>
    <n v="1"/>
    <n v="0"/>
    <n v="1"/>
  </r>
  <r>
    <s v="E11306"/>
    <x v="1"/>
    <x v="3"/>
    <s v="Female"/>
    <n v="48"/>
    <s v="46+"/>
    <x v="0"/>
    <d v="2022-11-29T00:00:00"/>
    <n v="3.1"/>
    <x v="2"/>
    <n v="9050"/>
    <x v="0"/>
    <x v="1"/>
    <n v="3"/>
    <n v="43"/>
    <x v="1"/>
    <m/>
    <x v="2"/>
    <x v="2"/>
    <x v="2"/>
    <n v="1"/>
    <n v="1"/>
    <n v="0"/>
  </r>
  <r>
    <s v="E11307"/>
    <x v="1"/>
    <x v="0"/>
    <s v="Female"/>
    <n v="34"/>
    <s v="26-35"/>
    <x v="0"/>
    <d v="2023-03-07T00:00:00"/>
    <n v="2.8"/>
    <x v="0"/>
    <n v="2700"/>
    <x v="0"/>
    <x v="2"/>
    <n v="4"/>
    <n v="34"/>
    <x v="1"/>
    <m/>
    <x v="2"/>
    <x v="2"/>
    <x v="2"/>
    <n v="1"/>
    <n v="1"/>
    <n v="0"/>
  </r>
  <r>
    <s v="E11308"/>
    <x v="3"/>
    <x v="0"/>
    <s v="Male"/>
    <n v="27"/>
    <s v="26-35"/>
    <x v="0"/>
    <d v="2023-05-31T00:00:00"/>
    <n v="2.6"/>
    <x v="0"/>
    <n v="6400"/>
    <x v="0"/>
    <x v="0"/>
    <n v="4"/>
    <n v="24"/>
    <x v="1"/>
    <m/>
    <x v="2"/>
    <x v="2"/>
    <x v="2"/>
    <n v="1"/>
    <n v="1"/>
    <n v="0"/>
  </r>
  <r>
    <s v="E11309"/>
    <x v="5"/>
    <x v="1"/>
    <s v="Male"/>
    <n v="33"/>
    <s v="26-35"/>
    <x v="1"/>
    <d v="2023-10-20T00:00:00"/>
    <n v="2.2000000000000002"/>
    <x v="0"/>
    <n v="5600"/>
    <x v="0"/>
    <x v="1"/>
    <n v="4"/>
    <n v="25"/>
    <x v="1"/>
    <m/>
    <x v="2"/>
    <x v="2"/>
    <x v="2"/>
    <n v="1"/>
    <n v="1"/>
    <n v="0"/>
  </r>
  <r>
    <s v="E11310"/>
    <x v="3"/>
    <x v="2"/>
    <s v="Male"/>
    <n v="35"/>
    <s v="26-35"/>
    <x v="2"/>
    <d v="2021-02-19T00:00:00"/>
    <n v="4.9000000000000004"/>
    <x v="2"/>
    <n v="12350"/>
    <x v="1"/>
    <x v="4"/>
    <n v="3"/>
    <n v="20"/>
    <x v="1"/>
    <m/>
    <x v="2"/>
    <x v="2"/>
    <x v="2"/>
    <n v="1"/>
    <n v="1"/>
    <n v="0"/>
  </r>
  <r>
    <s v="E11311"/>
    <x v="0"/>
    <x v="0"/>
    <s v="Male"/>
    <n v="22"/>
    <s v="20-25"/>
    <x v="1"/>
    <d v="2025-05-13T00:00:00"/>
    <n v="0.6"/>
    <x v="3"/>
    <n v="2250"/>
    <x v="0"/>
    <x v="0"/>
    <n v="3"/>
    <n v="35"/>
    <x v="1"/>
    <m/>
    <x v="2"/>
    <x v="2"/>
    <x v="2"/>
    <n v="1"/>
    <n v="1"/>
    <n v="0"/>
  </r>
  <r>
    <s v="E11312"/>
    <x v="3"/>
    <x v="1"/>
    <s v="Female"/>
    <n v="31"/>
    <s v="26-35"/>
    <x v="1"/>
    <d v="2020-07-20T00:00:00"/>
    <n v="5.4"/>
    <x v="1"/>
    <n v="8000"/>
    <x v="0"/>
    <x v="2"/>
    <n v="3"/>
    <n v="25"/>
    <x v="1"/>
    <m/>
    <x v="2"/>
    <x v="2"/>
    <x v="2"/>
    <n v="1"/>
    <n v="1"/>
    <n v="0"/>
  </r>
  <r>
    <s v="E11313"/>
    <x v="4"/>
    <x v="0"/>
    <s v="Female"/>
    <n v="23"/>
    <s v="20-25"/>
    <x v="1"/>
    <d v="2024-12-23T00:00:00"/>
    <n v="1"/>
    <x v="3"/>
    <n v="4700"/>
    <x v="0"/>
    <x v="1"/>
    <n v="5"/>
    <n v="23"/>
    <x v="1"/>
    <m/>
    <x v="2"/>
    <x v="2"/>
    <x v="2"/>
    <n v="1"/>
    <n v="1"/>
    <n v="0"/>
  </r>
  <r>
    <s v="E11314"/>
    <x v="1"/>
    <x v="1"/>
    <s v="Male"/>
    <n v="36"/>
    <s v="36-45"/>
    <x v="0"/>
    <d v="2021-10-23T00:00:00"/>
    <n v="4.2"/>
    <x v="2"/>
    <n v="4750"/>
    <x v="0"/>
    <x v="1"/>
    <n v="2"/>
    <n v="19"/>
    <x v="1"/>
    <m/>
    <x v="2"/>
    <x v="2"/>
    <x v="2"/>
    <n v="1"/>
    <n v="1"/>
    <n v="0"/>
  </r>
  <r>
    <s v="E11315"/>
    <x v="0"/>
    <x v="3"/>
    <s v="Female"/>
    <n v="50"/>
    <s v="46+"/>
    <x v="1"/>
    <d v="2022-07-15T00:00:00"/>
    <n v="3.5"/>
    <x v="2"/>
    <n v="5950"/>
    <x v="1"/>
    <x v="1"/>
    <n v="3"/>
    <n v="28"/>
    <x v="1"/>
    <m/>
    <x v="2"/>
    <x v="2"/>
    <x v="2"/>
    <n v="1"/>
    <n v="1"/>
    <n v="0"/>
  </r>
  <r>
    <s v="E11316"/>
    <x v="3"/>
    <x v="3"/>
    <s v="Male"/>
    <n v="45"/>
    <s v="36-45"/>
    <x v="1"/>
    <d v="2017-11-28T00:00:00"/>
    <n v="8.1"/>
    <x v="1"/>
    <n v="13950"/>
    <x v="0"/>
    <x v="0"/>
    <n v="3"/>
    <n v="22"/>
    <x v="1"/>
    <m/>
    <x v="2"/>
    <x v="2"/>
    <x v="2"/>
    <n v="1"/>
    <n v="1"/>
    <n v="0"/>
  </r>
  <r>
    <s v="E11317"/>
    <x v="1"/>
    <x v="0"/>
    <s v="Male"/>
    <n v="21"/>
    <s v="20-25"/>
    <x v="0"/>
    <d v="2025-12-02T00:00:00"/>
    <n v="0.1"/>
    <x v="3"/>
    <n v="3150"/>
    <x v="0"/>
    <x v="1"/>
    <n v="3"/>
    <n v="14"/>
    <x v="1"/>
    <m/>
    <x v="2"/>
    <x v="2"/>
    <x v="2"/>
    <n v="1"/>
    <n v="1"/>
    <n v="0"/>
  </r>
  <r>
    <s v="E11318"/>
    <x v="3"/>
    <x v="0"/>
    <s v="Male"/>
    <n v="21"/>
    <s v="20-25"/>
    <x v="1"/>
    <d v="2025-11-18T00:00:00"/>
    <n v="0.1"/>
    <x v="3"/>
    <n v="6250"/>
    <x v="0"/>
    <x v="1"/>
    <n v="3"/>
    <n v="25"/>
    <x v="0"/>
    <d v="2025-12-26T00:00:00"/>
    <x v="1"/>
    <x v="5"/>
    <x v="1"/>
    <n v="1"/>
    <n v="0"/>
    <n v="1"/>
  </r>
  <r>
    <s v="E11319"/>
    <x v="5"/>
    <x v="0"/>
    <s v="Female"/>
    <n v="23"/>
    <s v="20-25"/>
    <x v="1"/>
    <d v="2025-03-12T00:00:00"/>
    <n v="0.6"/>
    <x v="3"/>
    <n v="3350"/>
    <x v="1"/>
    <x v="2"/>
    <n v="5"/>
    <n v="13"/>
    <x v="0"/>
    <d v="2025-11-04T00:00:00"/>
    <x v="1"/>
    <x v="10"/>
    <x v="0"/>
    <n v="1"/>
    <n v="0"/>
    <n v="1"/>
  </r>
  <r>
    <s v="E11320"/>
    <x v="1"/>
    <x v="0"/>
    <s v="Male"/>
    <n v="27"/>
    <s v="26-35"/>
    <x v="1"/>
    <d v="2024-07-22T00:00:00"/>
    <n v="1.4"/>
    <x v="0"/>
    <n v="3950"/>
    <x v="0"/>
    <x v="1"/>
    <n v="3"/>
    <n v="37"/>
    <x v="1"/>
    <m/>
    <x v="2"/>
    <x v="2"/>
    <x v="2"/>
    <n v="1"/>
    <n v="1"/>
    <n v="0"/>
  </r>
  <r>
    <s v="E11321"/>
    <x v="0"/>
    <x v="1"/>
    <s v="Male"/>
    <n v="35"/>
    <s v="26-35"/>
    <x v="0"/>
    <d v="2018-08-06T00:00:00"/>
    <n v="7.4"/>
    <x v="1"/>
    <n v="3650"/>
    <x v="0"/>
    <x v="1"/>
    <n v="4"/>
    <n v="21"/>
    <x v="1"/>
    <m/>
    <x v="2"/>
    <x v="2"/>
    <x v="2"/>
    <n v="1"/>
    <n v="1"/>
    <n v="0"/>
  </r>
  <r>
    <s v="E11322"/>
    <x v="0"/>
    <x v="0"/>
    <s v="Female"/>
    <n v="32"/>
    <s v="26-35"/>
    <x v="1"/>
    <d v="2018-02-18T00:00:00"/>
    <n v="7.9"/>
    <x v="1"/>
    <n v="3800"/>
    <x v="0"/>
    <x v="0"/>
    <n v="3"/>
    <n v="15"/>
    <x v="1"/>
    <m/>
    <x v="2"/>
    <x v="2"/>
    <x v="2"/>
    <n v="1"/>
    <n v="1"/>
    <n v="0"/>
  </r>
  <r>
    <s v="E11323"/>
    <x v="1"/>
    <x v="1"/>
    <s v="Female"/>
    <n v="35"/>
    <s v="26-35"/>
    <x v="1"/>
    <d v="2023-04-30T00:00:00"/>
    <n v="2"/>
    <x v="0"/>
    <n v="4400"/>
    <x v="0"/>
    <x v="2"/>
    <n v="2"/>
    <n v="11"/>
    <x v="0"/>
    <d v="2025-04-28T00:00:00"/>
    <x v="1"/>
    <x v="8"/>
    <x v="6"/>
    <n v="1"/>
    <n v="0"/>
    <n v="1"/>
  </r>
  <r>
    <s v="E11324"/>
    <x v="0"/>
    <x v="0"/>
    <s v="Male"/>
    <n v="24"/>
    <s v="20-25"/>
    <x v="1"/>
    <d v="2025-05-13T00:00:00"/>
    <n v="0.6"/>
    <x v="3"/>
    <n v="2400"/>
    <x v="0"/>
    <x v="1"/>
    <n v="3"/>
    <n v="7"/>
    <x v="1"/>
    <m/>
    <x v="2"/>
    <x v="2"/>
    <x v="2"/>
    <n v="1"/>
    <n v="1"/>
    <n v="0"/>
  </r>
  <r>
    <s v="E11325"/>
    <x v="0"/>
    <x v="1"/>
    <s v="Female"/>
    <n v="39"/>
    <s v="36-45"/>
    <x v="1"/>
    <d v="2012-01-12T00:00:00"/>
    <n v="14"/>
    <x v="1"/>
    <n v="4100"/>
    <x v="0"/>
    <x v="2"/>
    <n v="3"/>
    <n v="9"/>
    <x v="1"/>
    <m/>
    <x v="2"/>
    <x v="2"/>
    <x v="2"/>
    <n v="1"/>
    <n v="1"/>
    <n v="0"/>
  </r>
  <r>
    <s v="E11326"/>
    <x v="5"/>
    <x v="1"/>
    <s v="Male"/>
    <n v="24"/>
    <s v="20-25"/>
    <x v="1"/>
    <d v="2025-08-12T00:00:00"/>
    <n v="0.4"/>
    <x v="3"/>
    <n v="5650"/>
    <x v="0"/>
    <x v="1"/>
    <n v="3"/>
    <n v="27"/>
    <x v="1"/>
    <m/>
    <x v="2"/>
    <x v="2"/>
    <x v="2"/>
    <n v="1"/>
    <n v="1"/>
    <n v="0"/>
  </r>
  <r>
    <s v="E11327"/>
    <x v="2"/>
    <x v="0"/>
    <s v="Female"/>
    <n v="29"/>
    <s v="26-35"/>
    <x v="0"/>
    <d v="2019-11-28T00:00:00"/>
    <n v="6.1"/>
    <x v="1"/>
    <n v="4450"/>
    <x v="0"/>
    <x v="4"/>
    <n v="2"/>
    <n v="43"/>
    <x v="1"/>
    <m/>
    <x v="2"/>
    <x v="2"/>
    <x v="2"/>
    <n v="1"/>
    <n v="1"/>
    <n v="0"/>
  </r>
  <r>
    <s v="E11328"/>
    <x v="1"/>
    <x v="3"/>
    <s v="Female"/>
    <n v="49"/>
    <s v="46+"/>
    <x v="0"/>
    <d v="2014-09-07T00:00:00"/>
    <n v="11.3"/>
    <x v="1"/>
    <n v="8200"/>
    <x v="0"/>
    <x v="0"/>
    <n v="3"/>
    <n v="23"/>
    <x v="1"/>
    <m/>
    <x v="2"/>
    <x v="2"/>
    <x v="2"/>
    <n v="1"/>
    <n v="1"/>
    <n v="0"/>
  </r>
  <r>
    <s v="E11329"/>
    <x v="6"/>
    <x v="2"/>
    <s v="Female"/>
    <n v="42"/>
    <s v="36-45"/>
    <x v="1"/>
    <d v="2011-04-04T00:00:00"/>
    <n v="14.5"/>
    <x v="1"/>
    <n v="6750"/>
    <x v="0"/>
    <x v="1"/>
    <n v="5"/>
    <n v="35"/>
    <x v="0"/>
    <d v="2025-10-18T00:00:00"/>
    <x v="1"/>
    <x v="11"/>
    <x v="1"/>
    <n v="1"/>
    <n v="0"/>
    <n v="1"/>
  </r>
  <r>
    <s v="E11330"/>
    <x v="1"/>
    <x v="1"/>
    <s v="Male"/>
    <n v="21"/>
    <s v="20-25"/>
    <x v="1"/>
    <d v="2025-12-10T00:00:00"/>
    <n v="0.1"/>
    <x v="3"/>
    <n v="4900"/>
    <x v="0"/>
    <x v="1"/>
    <n v="3"/>
    <n v="27"/>
    <x v="1"/>
    <m/>
    <x v="2"/>
    <x v="2"/>
    <x v="2"/>
    <n v="1"/>
    <n v="1"/>
    <n v="0"/>
  </r>
  <r>
    <s v="E11331"/>
    <x v="3"/>
    <x v="0"/>
    <s v="Male"/>
    <n v="21"/>
    <s v="20-25"/>
    <x v="1"/>
    <d v="2025-10-11T00:00:00"/>
    <n v="0.2"/>
    <x v="3"/>
    <n v="6900"/>
    <x v="0"/>
    <x v="1"/>
    <n v="4"/>
    <n v="32"/>
    <x v="1"/>
    <m/>
    <x v="2"/>
    <x v="2"/>
    <x v="2"/>
    <n v="1"/>
    <n v="1"/>
    <n v="0"/>
  </r>
  <r>
    <s v="E11332"/>
    <x v="1"/>
    <x v="0"/>
    <s v="Female"/>
    <n v="21"/>
    <s v="20-25"/>
    <x v="0"/>
    <d v="2025-10-13T00:00:00"/>
    <n v="0.2"/>
    <x v="3"/>
    <n v="4500"/>
    <x v="1"/>
    <x v="0"/>
    <n v="4"/>
    <n v="43"/>
    <x v="1"/>
    <m/>
    <x v="2"/>
    <x v="2"/>
    <x v="2"/>
    <n v="1"/>
    <n v="1"/>
    <n v="0"/>
  </r>
  <r>
    <s v="E11333"/>
    <x v="0"/>
    <x v="0"/>
    <s v="Female"/>
    <n v="21"/>
    <s v="20-25"/>
    <x v="1"/>
    <d v="2025-09-13T00:00:00"/>
    <n v="0.2"/>
    <x v="3"/>
    <n v="2900"/>
    <x v="0"/>
    <x v="0"/>
    <n v="3"/>
    <n v="24"/>
    <x v="0"/>
    <d v="2025-11-19T00:00:00"/>
    <x v="1"/>
    <x v="10"/>
    <x v="3"/>
    <n v="1"/>
    <n v="0"/>
    <n v="1"/>
  </r>
  <r>
    <s v="E11334"/>
    <x v="5"/>
    <x v="0"/>
    <s v="Female"/>
    <n v="21"/>
    <s v="20-25"/>
    <x v="1"/>
    <d v="2025-10-28T00:00:00"/>
    <n v="0.1"/>
    <x v="3"/>
    <n v="4250"/>
    <x v="1"/>
    <x v="4"/>
    <n v="4"/>
    <n v="13"/>
    <x v="0"/>
    <d v="2025-11-29T00:00:00"/>
    <x v="1"/>
    <x v="10"/>
    <x v="3"/>
    <n v="1"/>
    <n v="0"/>
    <n v="1"/>
  </r>
  <r>
    <s v="E11335"/>
    <x v="6"/>
    <x v="2"/>
    <s v="Male"/>
    <n v="39"/>
    <s v="36-45"/>
    <x v="2"/>
    <d v="2012-04-13T00:00:00"/>
    <n v="13.7"/>
    <x v="1"/>
    <n v="8100"/>
    <x v="1"/>
    <x v="1"/>
    <n v="3"/>
    <n v="29"/>
    <x v="1"/>
    <m/>
    <x v="2"/>
    <x v="2"/>
    <x v="2"/>
    <n v="1"/>
    <n v="1"/>
    <n v="0"/>
  </r>
  <r>
    <s v="E11336"/>
    <x v="1"/>
    <x v="1"/>
    <s v="Male"/>
    <n v="25"/>
    <s v="20-25"/>
    <x v="0"/>
    <d v="2023-07-31T00:00:00"/>
    <n v="2.4"/>
    <x v="0"/>
    <n v="3450"/>
    <x v="0"/>
    <x v="1"/>
    <n v="3"/>
    <n v="15"/>
    <x v="1"/>
    <m/>
    <x v="2"/>
    <x v="2"/>
    <x v="2"/>
    <n v="1"/>
    <n v="1"/>
    <n v="0"/>
  </r>
  <r>
    <s v="E11337"/>
    <x v="1"/>
    <x v="0"/>
    <s v="Male"/>
    <n v="24"/>
    <s v="20-25"/>
    <x v="1"/>
    <d v="2024-03-11T00:00:00"/>
    <n v="1.8"/>
    <x v="0"/>
    <n v="3650"/>
    <x v="0"/>
    <x v="0"/>
    <n v="3"/>
    <n v="24"/>
    <x v="1"/>
    <m/>
    <x v="2"/>
    <x v="2"/>
    <x v="2"/>
    <n v="1"/>
    <n v="1"/>
    <n v="0"/>
  </r>
  <r>
    <s v="E11338"/>
    <x v="6"/>
    <x v="0"/>
    <s v="Female"/>
    <n v="28"/>
    <s v="26-35"/>
    <x v="1"/>
    <d v="2024-07-31T00:00:00"/>
    <n v="1.4"/>
    <x v="0"/>
    <n v="3600"/>
    <x v="1"/>
    <x v="1"/>
    <n v="3"/>
    <n v="16"/>
    <x v="1"/>
    <m/>
    <x v="2"/>
    <x v="2"/>
    <x v="2"/>
    <n v="1"/>
    <n v="1"/>
    <n v="0"/>
  </r>
  <r>
    <s v="E11339"/>
    <x v="1"/>
    <x v="1"/>
    <s v="Female"/>
    <n v="31"/>
    <s v="26-35"/>
    <x v="1"/>
    <d v="2018-08-31T00:00:00"/>
    <n v="7.3"/>
    <x v="1"/>
    <n v="4900"/>
    <x v="1"/>
    <x v="1"/>
    <n v="4"/>
    <n v="37"/>
    <x v="1"/>
    <m/>
    <x v="2"/>
    <x v="2"/>
    <x v="2"/>
    <n v="1"/>
    <n v="1"/>
    <n v="0"/>
  </r>
  <r>
    <s v="E11340"/>
    <x v="5"/>
    <x v="2"/>
    <s v="Male"/>
    <n v="38"/>
    <s v="36-45"/>
    <x v="1"/>
    <d v="2018-10-18T00:00:00"/>
    <n v="7.2"/>
    <x v="1"/>
    <n v="8100"/>
    <x v="0"/>
    <x v="1"/>
    <n v="3"/>
    <n v="42"/>
    <x v="1"/>
    <m/>
    <x v="2"/>
    <x v="2"/>
    <x v="2"/>
    <n v="1"/>
    <n v="1"/>
    <n v="0"/>
  </r>
  <r>
    <s v="E11341"/>
    <x v="1"/>
    <x v="1"/>
    <s v="Male"/>
    <n v="39"/>
    <s v="36-45"/>
    <x v="1"/>
    <d v="2023-05-11T00:00:00"/>
    <n v="2.6"/>
    <x v="0"/>
    <n v="4650"/>
    <x v="0"/>
    <x v="4"/>
    <n v="4"/>
    <n v="20"/>
    <x v="1"/>
    <m/>
    <x v="2"/>
    <x v="2"/>
    <x v="2"/>
    <n v="1"/>
    <n v="1"/>
    <n v="0"/>
  </r>
  <r>
    <s v="E11342"/>
    <x v="1"/>
    <x v="0"/>
    <s v="Female"/>
    <n v="33"/>
    <s v="26-35"/>
    <x v="1"/>
    <d v="2020-04-06T00:00:00"/>
    <n v="4.8"/>
    <x v="2"/>
    <n v="3250"/>
    <x v="1"/>
    <x v="4"/>
    <n v="3"/>
    <n v="12"/>
    <x v="0"/>
    <d v="2025-01-08T00:00:00"/>
    <x v="1"/>
    <x v="7"/>
    <x v="3"/>
    <n v="1"/>
    <n v="0"/>
    <n v="1"/>
  </r>
  <r>
    <s v="E11343"/>
    <x v="0"/>
    <x v="3"/>
    <s v="Male"/>
    <n v="48"/>
    <s v="46+"/>
    <x v="1"/>
    <d v="2018-05-28T00:00:00"/>
    <n v="7.6"/>
    <x v="1"/>
    <n v="7050"/>
    <x v="0"/>
    <x v="3"/>
    <n v="3"/>
    <n v="20"/>
    <x v="1"/>
    <m/>
    <x v="2"/>
    <x v="2"/>
    <x v="2"/>
    <n v="1"/>
    <n v="1"/>
    <n v="0"/>
  </r>
  <r>
    <s v="E11344"/>
    <x v="5"/>
    <x v="3"/>
    <s v="Male"/>
    <n v="41"/>
    <s v="36-45"/>
    <x v="1"/>
    <d v="2023-01-22T00:00:00"/>
    <n v="2.9"/>
    <x v="0"/>
    <n v="11700"/>
    <x v="0"/>
    <x v="3"/>
    <n v="3"/>
    <n v="14"/>
    <x v="1"/>
    <m/>
    <x v="2"/>
    <x v="2"/>
    <x v="2"/>
    <n v="1"/>
    <n v="1"/>
    <n v="0"/>
  </r>
  <r>
    <s v="E11345"/>
    <x v="0"/>
    <x v="3"/>
    <s v="Male"/>
    <n v="35"/>
    <s v="26-35"/>
    <x v="2"/>
    <d v="2021-07-13T00:00:00"/>
    <n v="4.5"/>
    <x v="2"/>
    <n v="7950"/>
    <x v="0"/>
    <x v="2"/>
    <n v="3"/>
    <n v="34"/>
    <x v="1"/>
    <m/>
    <x v="2"/>
    <x v="2"/>
    <x v="2"/>
    <n v="1"/>
    <n v="1"/>
    <n v="0"/>
  </r>
  <r>
    <s v="E11346"/>
    <x v="5"/>
    <x v="3"/>
    <s v="Male"/>
    <n v="34"/>
    <s v="26-35"/>
    <x v="1"/>
    <d v="2021-11-10T00:00:00"/>
    <n v="4.0999999999999996"/>
    <x v="2"/>
    <n v="10500"/>
    <x v="1"/>
    <x v="4"/>
    <n v="3"/>
    <n v="13"/>
    <x v="1"/>
    <m/>
    <x v="2"/>
    <x v="2"/>
    <x v="2"/>
    <n v="1"/>
    <n v="1"/>
    <n v="0"/>
  </r>
  <r>
    <s v="E11347"/>
    <x v="0"/>
    <x v="0"/>
    <s v="Male"/>
    <n v="32"/>
    <s v="26-35"/>
    <x v="0"/>
    <d v="2018-04-03T00:00:00"/>
    <n v="7.7"/>
    <x v="1"/>
    <n v="2650"/>
    <x v="1"/>
    <x v="0"/>
    <n v="2"/>
    <n v="34"/>
    <x v="1"/>
    <m/>
    <x v="2"/>
    <x v="2"/>
    <x v="2"/>
    <n v="1"/>
    <n v="1"/>
    <n v="0"/>
  </r>
  <r>
    <s v="E11348"/>
    <x v="1"/>
    <x v="1"/>
    <s v="Male"/>
    <n v="37"/>
    <s v="36-45"/>
    <x v="0"/>
    <d v="2017-12-09T00:00:00"/>
    <n v="8.1"/>
    <x v="1"/>
    <n v="4000"/>
    <x v="1"/>
    <x v="4"/>
    <n v="3"/>
    <n v="27"/>
    <x v="1"/>
    <m/>
    <x v="2"/>
    <x v="2"/>
    <x v="2"/>
    <n v="1"/>
    <n v="1"/>
    <n v="0"/>
  </r>
  <r>
    <s v="E11349"/>
    <x v="4"/>
    <x v="2"/>
    <s v="Female"/>
    <n v="43"/>
    <s v="36-45"/>
    <x v="2"/>
    <d v="2019-03-23T00:00:00"/>
    <n v="6.8"/>
    <x v="1"/>
    <n v="7800"/>
    <x v="0"/>
    <x v="1"/>
    <n v="3"/>
    <n v="25"/>
    <x v="1"/>
    <m/>
    <x v="2"/>
    <x v="2"/>
    <x v="2"/>
    <n v="1"/>
    <n v="1"/>
    <n v="0"/>
  </r>
  <r>
    <s v="E11350"/>
    <x v="0"/>
    <x v="2"/>
    <s v="Male"/>
    <n v="40"/>
    <s v="36-45"/>
    <x v="0"/>
    <d v="2022-03-09T00:00:00"/>
    <n v="3.8"/>
    <x v="2"/>
    <n v="4100"/>
    <x v="0"/>
    <x v="1"/>
    <n v="3"/>
    <n v="23"/>
    <x v="1"/>
    <m/>
    <x v="2"/>
    <x v="2"/>
    <x v="2"/>
    <n v="1"/>
    <n v="1"/>
    <n v="0"/>
  </r>
  <r>
    <s v="E11351"/>
    <x v="5"/>
    <x v="0"/>
    <s v="Male"/>
    <n v="21"/>
    <s v="20-25"/>
    <x v="2"/>
    <d v="2025-11-01T00:00:00"/>
    <n v="0.2"/>
    <x v="3"/>
    <n v="3500"/>
    <x v="1"/>
    <x v="1"/>
    <n v="4"/>
    <n v="20"/>
    <x v="1"/>
    <m/>
    <x v="2"/>
    <x v="2"/>
    <x v="2"/>
    <n v="1"/>
    <n v="1"/>
    <n v="0"/>
  </r>
  <r>
    <s v="E11352"/>
    <x v="5"/>
    <x v="1"/>
    <s v="Male"/>
    <n v="36"/>
    <s v="36-45"/>
    <x v="2"/>
    <d v="2020-09-11T00:00:00"/>
    <n v="5.3"/>
    <x v="1"/>
    <n v="5000"/>
    <x v="0"/>
    <x v="1"/>
    <n v="3"/>
    <n v="32"/>
    <x v="1"/>
    <m/>
    <x v="2"/>
    <x v="2"/>
    <x v="2"/>
    <n v="1"/>
    <n v="1"/>
    <n v="0"/>
  </r>
  <r>
    <s v="E11353"/>
    <x v="4"/>
    <x v="0"/>
    <s v="Male"/>
    <n v="24"/>
    <s v="20-25"/>
    <x v="0"/>
    <d v="2024-09-07T00:00:00"/>
    <n v="1.3"/>
    <x v="0"/>
    <n v="4900"/>
    <x v="0"/>
    <x v="0"/>
    <n v="3"/>
    <n v="13"/>
    <x v="1"/>
    <m/>
    <x v="2"/>
    <x v="2"/>
    <x v="2"/>
    <n v="1"/>
    <n v="1"/>
    <n v="0"/>
  </r>
  <r>
    <s v="E11354"/>
    <x v="5"/>
    <x v="0"/>
    <s v="Female"/>
    <n v="28"/>
    <s v="26-35"/>
    <x v="1"/>
    <d v="2023-07-22T00:00:00"/>
    <n v="2.4"/>
    <x v="0"/>
    <n v="4750"/>
    <x v="1"/>
    <x v="4"/>
    <n v="2"/>
    <n v="12"/>
    <x v="1"/>
    <m/>
    <x v="2"/>
    <x v="2"/>
    <x v="2"/>
    <n v="1"/>
    <n v="1"/>
    <n v="0"/>
  </r>
  <r>
    <s v="E11355"/>
    <x v="1"/>
    <x v="0"/>
    <s v="Female"/>
    <n v="26"/>
    <s v="26-35"/>
    <x v="1"/>
    <d v="2023-09-02T00:00:00"/>
    <n v="2.2999999999999998"/>
    <x v="0"/>
    <n v="3000"/>
    <x v="0"/>
    <x v="1"/>
    <n v="4"/>
    <n v="20"/>
    <x v="1"/>
    <m/>
    <x v="2"/>
    <x v="2"/>
    <x v="2"/>
    <n v="1"/>
    <n v="1"/>
    <n v="0"/>
  </r>
  <r>
    <s v="E11356"/>
    <x v="3"/>
    <x v="0"/>
    <s v="Female"/>
    <n v="23"/>
    <s v="20-25"/>
    <x v="1"/>
    <d v="2025-07-10T00:00:00"/>
    <n v="0.5"/>
    <x v="3"/>
    <n v="7050"/>
    <x v="0"/>
    <x v="2"/>
    <n v="4"/>
    <n v="28"/>
    <x v="1"/>
    <m/>
    <x v="2"/>
    <x v="2"/>
    <x v="2"/>
    <n v="1"/>
    <n v="1"/>
    <n v="0"/>
  </r>
  <r>
    <s v="E11357"/>
    <x v="0"/>
    <x v="0"/>
    <s v="Female"/>
    <n v="29"/>
    <s v="26-35"/>
    <x v="0"/>
    <d v="2019-10-08T00:00:00"/>
    <n v="6.2"/>
    <x v="1"/>
    <n v="3200"/>
    <x v="0"/>
    <x v="2"/>
    <n v="3"/>
    <n v="23"/>
    <x v="1"/>
    <m/>
    <x v="2"/>
    <x v="2"/>
    <x v="2"/>
    <n v="1"/>
    <n v="1"/>
    <n v="0"/>
  </r>
  <r>
    <s v="E11358"/>
    <x v="1"/>
    <x v="1"/>
    <s v="Female"/>
    <n v="32"/>
    <s v="26-35"/>
    <x v="1"/>
    <d v="2024-05-28T00:00:00"/>
    <n v="1.6"/>
    <x v="0"/>
    <n v="4100"/>
    <x v="0"/>
    <x v="0"/>
    <n v="3"/>
    <n v="45"/>
    <x v="1"/>
    <m/>
    <x v="2"/>
    <x v="2"/>
    <x v="2"/>
    <n v="1"/>
    <n v="1"/>
    <n v="0"/>
  </r>
  <r>
    <s v="E11359"/>
    <x v="5"/>
    <x v="1"/>
    <s v="Female"/>
    <n v="41"/>
    <s v="36-45"/>
    <x v="1"/>
    <d v="2021-06-30T00:00:00"/>
    <n v="4.5"/>
    <x v="2"/>
    <n v="5400"/>
    <x v="0"/>
    <x v="1"/>
    <n v="3"/>
    <n v="21"/>
    <x v="1"/>
    <m/>
    <x v="2"/>
    <x v="2"/>
    <x v="2"/>
    <n v="1"/>
    <n v="1"/>
    <n v="0"/>
  </r>
  <r>
    <s v="E11360"/>
    <x v="5"/>
    <x v="2"/>
    <s v="Female"/>
    <n v="50"/>
    <s v="46+"/>
    <x v="1"/>
    <d v="2021-10-29T00:00:00"/>
    <n v="4.2"/>
    <x v="2"/>
    <n v="7450"/>
    <x v="0"/>
    <x v="2"/>
    <n v="4"/>
    <n v="20"/>
    <x v="1"/>
    <m/>
    <x v="2"/>
    <x v="2"/>
    <x v="2"/>
    <n v="1"/>
    <n v="1"/>
    <n v="0"/>
  </r>
  <r>
    <s v="E11361"/>
    <x v="1"/>
    <x v="0"/>
    <s v="Male"/>
    <n v="25"/>
    <s v="20-25"/>
    <x v="0"/>
    <d v="2025-07-05T00:00:00"/>
    <n v="0.5"/>
    <x v="3"/>
    <n v="3700"/>
    <x v="0"/>
    <x v="2"/>
    <n v="4"/>
    <n v="27"/>
    <x v="1"/>
    <m/>
    <x v="2"/>
    <x v="2"/>
    <x v="2"/>
    <n v="1"/>
    <n v="1"/>
    <n v="0"/>
  </r>
  <r>
    <s v="E11362"/>
    <x v="4"/>
    <x v="0"/>
    <s v="Male"/>
    <n v="27"/>
    <s v="26-35"/>
    <x v="1"/>
    <d v="2021-05-20T00:00:00"/>
    <n v="4.5999999999999996"/>
    <x v="2"/>
    <n v="3900"/>
    <x v="0"/>
    <x v="1"/>
    <n v="3"/>
    <n v="26"/>
    <x v="1"/>
    <m/>
    <x v="2"/>
    <x v="2"/>
    <x v="2"/>
    <n v="1"/>
    <n v="1"/>
    <n v="0"/>
  </r>
  <r>
    <s v="E11363"/>
    <x v="4"/>
    <x v="3"/>
    <s v="Male"/>
    <n v="46"/>
    <s v="46+"/>
    <x v="1"/>
    <d v="2020-06-26T00:00:00"/>
    <n v="5.5"/>
    <x v="1"/>
    <n v="11800"/>
    <x v="1"/>
    <x v="1"/>
    <n v="3"/>
    <n v="2"/>
    <x v="1"/>
    <m/>
    <x v="2"/>
    <x v="2"/>
    <x v="2"/>
    <n v="1"/>
    <n v="1"/>
    <n v="0"/>
  </r>
  <r>
    <s v="E11364"/>
    <x v="2"/>
    <x v="1"/>
    <s v="Female"/>
    <n v="29"/>
    <s v="26-35"/>
    <x v="1"/>
    <d v="2020-08-19T00:00:00"/>
    <n v="5.4"/>
    <x v="1"/>
    <n v="6250"/>
    <x v="1"/>
    <x v="1"/>
    <n v="4"/>
    <n v="22"/>
    <x v="1"/>
    <m/>
    <x v="2"/>
    <x v="2"/>
    <x v="2"/>
    <n v="1"/>
    <n v="1"/>
    <n v="0"/>
  </r>
  <r>
    <s v="E11365"/>
    <x v="0"/>
    <x v="1"/>
    <s v="Male"/>
    <n v="33"/>
    <s v="26-35"/>
    <x v="1"/>
    <d v="2023-03-20T00:00:00"/>
    <n v="1.3"/>
    <x v="0"/>
    <n v="4300"/>
    <x v="0"/>
    <x v="2"/>
    <n v="4"/>
    <n v="38"/>
    <x v="0"/>
    <d v="2024-07-01T00:00:00"/>
    <x v="0"/>
    <x v="4"/>
    <x v="0"/>
    <n v="1"/>
    <n v="0"/>
    <n v="1"/>
  </r>
  <r>
    <s v="E11366"/>
    <x v="5"/>
    <x v="0"/>
    <s v="Male"/>
    <n v="25"/>
    <s v="20-25"/>
    <x v="0"/>
    <d v="2023-07-27T00:00:00"/>
    <n v="1.5"/>
    <x v="0"/>
    <n v="4950"/>
    <x v="0"/>
    <x v="0"/>
    <n v="3"/>
    <n v="14"/>
    <x v="0"/>
    <d v="2025-01-11T00:00:00"/>
    <x v="1"/>
    <x v="7"/>
    <x v="6"/>
    <n v="1"/>
    <n v="0"/>
    <n v="1"/>
  </r>
  <r>
    <s v="E11367"/>
    <x v="5"/>
    <x v="0"/>
    <s v="Female"/>
    <n v="30"/>
    <s v="26-35"/>
    <x v="1"/>
    <d v="2024-02-14T00:00:00"/>
    <n v="1.9"/>
    <x v="0"/>
    <n v="3950"/>
    <x v="0"/>
    <x v="0"/>
    <n v="3"/>
    <n v="30"/>
    <x v="1"/>
    <m/>
    <x v="2"/>
    <x v="2"/>
    <x v="2"/>
    <n v="1"/>
    <n v="1"/>
    <n v="0"/>
  </r>
  <r>
    <s v="E11368"/>
    <x v="2"/>
    <x v="1"/>
    <s v="Male"/>
    <n v="36"/>
    <s v="36-45"/>
    <x v="1"/>
    <d v="2016-07-31T00:00:00"/>
    <n v="9.4"/>
    <x v="1"/>
    <n v="6450"/>
    <x v="0"/>
    <x v="2"/>
    <n v="4"/>
    <n v="33"/>
    <x v="1"/>
    <m/>
    <x v="2"/>
    <x v="2"/>
    <x v="2"/>
    <n v="1"/>
    <n v="1"/>
    <n v="0"/>
  </r>
  <r>
    <s v="E11369"/>
    <x v="5"/>
    <x v="0"/>
    <s v="Male"/>
    <n v="29"/>
    <s v="26-35"/>
    <x v="1"/>
    <d v="2022-01-21T00:00:00"/>
    <n v="2.2000000000000002"/>
    <x v="0"/>
    <n v="3750"/>
    <x v="1"/>
    <x v="4"/>
    <n v="3"/>
    <n v="29"/>
    <x v="0"/>
    <d v="2024-03-21T00:00:00"/>
    <x v="0"/>
    <x v="3"/>
    <x v="0"/>
    <n v="1"/>
    <n v="0"/>
    <n v="1"/>
  </r>
  <r>
    <s v="E11370"/>
    <x v="2"/>
    <x v="0"/>
    <s v="Female"/>
    <n v="21"/>
    <s v="20-25"/>
    <x v="1"/>
    <d v="2025-11-08T00:00:00"/>
    <n v="0.1"/>
    <x v="3"/>
    <n v="4350"/>
    <x v="0"/>
    <x v="1"/>
    <n v="3"/>
    <n v="16"/>
    <x v="1"/>
    <m/>
    <x v="2"/>
    <x v="2"/>
    <x v="2"/>
    <n v="1"/>
    <n v="1"/>
    <n v="0"/>
  </r>
  <r>
    <s v="E11371"/>
    <x v="4"/>
    <x v="1"/>
    <s v="Female"/>
    <n v="33"/>
    <s v="26-35"/>
    <x v="1"/>
    <d v="2021-11-24T00:00:00"/>
    <n v="4.0999999999999996"/>
    <x v="2"/>
    <n v="5950"/>
    <x v="1"/>
    <x v="0"/>
    <n v="3"/>
    <n v="11"/>
    <x v="1"/>
    <m/>
    <x v="2"/>
    <x v="2"/>
    <x v="2"/>
    <n v="1"/>
    <n v="1"/>
    <n v="0"/>
  </r>
  <r>
    <s v="E11372"/>
    <x v="6"/>
    <x v="0"/>
    <s v="Female"/>
    <n v="28"/>
    <s v="26-35"/>
    <x v="2"/>
    <d v="2022-12-08T00:00:00"/>
    <n v="3.1"/>
    <x v="2"/>
    <n v="4050"/>
    <x v="1"/>
    <x v="1"/>
    <n v="4"/>
    <n v="19"/>
    <x v="1"/>
    <m/>
    <x v="2"/>
    <x v="2"/>
    <x v="2"/>
    <n v="1"/>
    <n v="1"/>
    <n v="0"/>
  </r>
  <r>
    <s v="E11373"/>
    <x v="4"/>
    <x v="0"/>
    <s v="Female"/>
    <n v="31"/>
    <s v="26-35"/>
    <x v="1"/>
    <d v="2021-11-07T00:00:00"/>
    <n v="3.6"/>
    <x v="2"/>
    <n v="4150"/>
    <x v="0"/>
    <x v="1"/>
    <n v="4"/>
    <n v="31"/>
    <x v="0"/>
    <d v="2025-06-10T00:00:00"/>
    <x v="1"/>
    <x v="0"/>
    <x v="6"/>
    <n v="1"/>
    <n v="0"/>
    <n v="1"/>
  </r>
  <r>
    <s v="E11374"/>
    <x v="1"/>
    <x v="2"/>
    <s v="Male"/>
    <n v="36"/>
    <s v="36-45"/>
    <x v="1"/>
    <d v="2017-10-16T00:00:00"/>
    <n v="8.1999999999999993"/>
    <x v="1"/>
    <n v="7050"/>
    <x v="1"/>
    <x v="1"/>
    <n v="2"/>
    <n v="26"/>
    <x v="1"/>
    <m/>
    <x v="2"/>
    <x v="2"/>
    <x v="2"/>
    <n v="1"/>
    <n v="1"/>
    <n v="0"/>
  </r>
  <r>
    <s v="E11375"/>
    <x v="3"/>
    <x v="0"/>
    <s v="Female"/>
    <n v="23"/>
    <s v="20-25"/>
    <x v="1"/>
    <d v="2025-06-02T00:00:00"/>
    <n v="0.6"/>
    <x v="3"/>
    <n v="5300"/>
    <x v="0"/>
    <x v="0"/>
    <n v="3"/>
    <n v="30"/>
    <x v="1"/>
    <m/>
    <x v="2"/>
    <x v="2"/>
    <x v="2"/>
    <n v="1"/>
    <n v="1"/>
    <n v="0"/>
  </r>
  <r>
    <s v="E11376"/>
    <x v="4"/>
    <x v="3"/>
    <s v="Female"/>
    <n v="45"/>
    <s v="36-45"/>
    <x v="1"/>
    <d v="2011-07-02T00:00:00"/>
    <n v="14.5"/>
    <x v="1"/>
    <n v="11200"/>
    <x v="1"/>
    <x v="4"/>
    <n v="4"/>
    <n v="28"/>
    <x v="1"/>
    <m/>
    <x v="2"/>
    <x v="2"/>
    <x v="2"/>
    <n v="1"/>
    <n v="1"/>
    <n v="0"/>
  </r>
  <r>
    <s v="E11377"/>
    <x v="6"/>
    <x v="1"/>
    <s v="Male"/>
    <n v="29"/>
    <s v="26-35"/>
    <x v="1"/>
    <d v="2024-03-18T00:00:00"/>
    <n v="1.8"/>
    <x v="0"/>
    <n v="4650"/>
    <x v="0"/>
    <x v="1"/>
    <n v="4"/>
    <n v="12"/>
    <x v="1"/>
    <m/>
    <x v="2"/>
    <x v="2"/>
    <x v="2"/>
    <n v="1"/>
    <n v="1"/>
    <n v="0"/>
  </r>
  <r>
    <s v="E11378"/>
    <x v="0"/>
    <x v="0"/>
    <s v="Female"/>
    <n v="21"/>
    <s v="20-25"/>
    <x v="1"/>
    <d v="2025-11-04T00:00:00"/>
    <n v="0.2"/>
    <x v="3"/>
    <n v="2500"/>
    <x v="0"/>
    <x v="0"/>
    <n v="4"/>
    <n v="28"/>
    <x v="1"/>
    <m/>
    <x v="2"/>
    <x v="2"/>
    <x v="2"/>
    <n v="1"/>
    <n v="1"/>
    <n v="0"/>
  </r>
  <r>
    <s v="E11379"/>
    <x v="0"/>
    <x v="0"/>
    <s v="Male"/>
    <n v="29"/>
    <s v="26-35"/>
    <x v="1"/>
    <d v="2021-02-09T00:00:00"/>
    <n v="4.5"/>
    <x v="2"/>
    <n v="3500"/>
    <x v="1"/>
    <x v="1"/>
    <n v="3"/>
    <n v="26"/>
    <x v="0"/>
    <d v="2025-07-31T00:00:00"/>
    <x v="1"/>
    <x v="4"/>
    <x v="5"/>
    <n v="1"/>
    <n v="0"/>
    <n v="1"/>
  </r>
  <r>
    <s v="E11380"/>
    <x v="0"/>
    <x v="0"/>
    <s v="Male"/>
    <n v="30"/>
    <s v="26-35"/>
    <x v="2"/>
    <d v="2024-04-12T00:00:00"/>
    <n v="1.5"/>
    <x v="0"/>
    <n v="2500"/>
    <x v="1"/>
    <x v="0"/>
    <n v="4"/>
    <n v="37"/>
    <x v="0"/>
    <d v="2025-09-29T00:00:00"/>
    <x v="1"/>
    <x v="12"/>
    <x v="0"/>
    <n v="1"/>
    <n v="0"/>
    <n v="1"/>
  </r>
  <r>
    <s v="E11381"/>
    <x v="0"/>
    <x v="1"/>
    <s v="Male"/>
    <n v="24"/>
    <s v="20-25"/>
    <x v="0"/>
    <d v="2024-07-29T00:00:00"/>
    <n v="1.4"/>
    <x v="0"/>
    <n v="3250"/>
    <x v="1"/>
    <x v="1"/>
    <n v="3"/>
    <n v="22"/>
    <x v="1"/>
    <m/>
    <x v="2"/>
    <x v="2"/>
    <x v="2"/>
    <n v="1"/>
    <n v="1"/>
    <n v="0"/>
  </r>
  <r>
    <s v="E11382"/>
    <x v="4"/>
    <x v="2"/>
    <s v="Male"/>
    <n v="39"/>
    <s v="36-45"/>
    <x v="1"/>
    <d v="2021-02-16T00:00:00"/>
    <n v="4.3"/>
    <x v="2"/>
    <n v="7200"/>
    <x v="0"/>
    <x v="1"/>
    <n v="3"/>
    <n v="33"/>
    <x v="0"/>
    <d v="2025-05-25T00:00:00"/>
    <x v="1"/>
    <x v="9"/>
    <x v="0"/>
    <n v="1"/>
    <n v="0"/>
    <n v="1"/>
  </r>
  <r>
    <s v="E11383"/>
    <x v="5"/>
    <x v="1"/>
    <s v="Female"/>
    <n v="29"/>
    <s v="26-35"/>
    <x v="1"/>
    <d v="2020-04-10T00:00:00"/>
    <n v="5.7"/>
    <x v="1"/>
    <n v="4700"/>
    <x v="0"/>
    <x v="1"/>
    <n v="3"/>
    <n v="38"/>
    <x v="1"/>
    <m/>
    <x v="2"/>
    <x v="2"/>
    <x v="2"/>
    <n v="1"/>
    <n v="1"/>
    <n v="0"/>
  </r>
  <r>
    <s v="E11384"/>
    <x v="4"/>
    <x v="2"/>
    <s v="Male"/>
    <n v="30"/>
    <s v="26-35"/>
    <x v="1"/>
    <d v="2023-07-09T00:00:00"/>
    <n v="2.5"/>
    <x v="0"/>
    <n v="8800"/>
    <x v="1"/>
    <x v="0"/>
    <n v="3"/>
    <n v="29"/>
    <x v="1"/>
    <m/>
    <x v="2"/>
    <x v="2"/>
    <x v="2"/>
    <n v="1"/>
    <n v="1"/>
    <n v="0"/>
  </r>
  <r>
    <s v="E11385"/>
    <x v="6"/>
    <x v="0"/>
    <s v="Female"/>
    <n v="29"/>
    <s v="26-35"/>
    <x v="2"/>
    <d v="2024-05-04T00:00:00"/>
    <n v="1.7"/>
    <x v="0"/>
    <n v="3900"/>
    <x v="0"/>
    <x v="1"/>
    <n v="4"/>
    <n v="34"/>
    <x v="1"/>
    <m/>
    <x v="2"/>
    <x v="2"/>
    <x v="2"/>
    <n v="1"/>
    <n v="1"/>
    <n v="0"/>
  </r>
  <r>
    <s v="E11386"/>
    <x v="1"/>
    <x v="2"/>
    <s v="Male"/>
    <n v="46"/>
    <s v="46+"/>
    <x v="1"/>
    <d v="2014-10-23T00:00:00"/>
    <n v="11.2"/>
    <x v="1"/>
    <n v="6150"/>
    <x v="0"/>
    <x v="4"/>
    <n v="5"/>
    <n v="25"/>
    <x v="1"/>
    <m/>
    <x v="2"/>
    <x v="2"/>
    <x v="2"/>
    <n v="1"/>
    <n v="1"/>
    <n v="0"/>
  </r>
  <r>
    <s v="E11387"/>
    <x v="2"/>
    <x v="2"/>
    <s v="Female"/>
    <n v="28"/>
    <s v="26-35"/>
    <x v="1"/>
    <d v="2021-10-31T00:00:00"/>
    <n v="4.2"/>
    <x v="2"/>
    <n v="9500"/>
    <x v="0"/>
    <x v="0"/>
    <n v="4"/>
    <n v="6"/>
    <x v="1"/>
    <m/>
    <x v="2"/>
    <x v="2"/>
    <x v="2"/>
    <n v="1"/>
    <n v="1"/>
    <n v="0"/>
  </r>
  <r>
    <s v="E11388"/>
    <x v="3"/>
    <x v="2"/>
    <s v="Female"/>
    <n v="38"/>
    <s v="36-45"/>
    <x v="1"/>
    <d v="2014-07-26T00:00:00"/>
    <n v="11.4"/>
    <x v="1"/>
    <n v="10950"/>
    <x v="0"/>
    <x v="3"/>
    <n v="4"/>
    <n v="16"/>
    <x v="1"/>
    <m/>
    <x v="2"/>
    <x v="2"/>
    <x v="2"/>
    <n v="1"/>
    <n v="1"/>
    <n v="0"/>
  </r>
  <r>
    <s v="E11389"/>
    <x v="4"/>
    <x v="0"/>
    <s v="Male"/>
    <n v="28"/>
    <s v="26-35"/>
    <x v="0"/>
    <d v="2023-12-06T00:00:00"/>
    <n v="2.1"/>
    <x v="0"/>
    <n v="4150"/>
    <x v="0"/>
    <x v="0"/>
    <n v="4"/>
    <n v="21"/>
    <x v="1"/>
    <m/>
    <x v="2"/>
    <x v="2"/>
    <x v="2"/>
    <n v="1"/>
    <n v="1"/>
    <n v="0"/>
  </r>
  <r>
    <s v="E11390"/>
    <x v="6"/>
    <x v="2"/>
    <s v="Male"/>
    <n v="41"/>
    <s v="36-45"/>
    <x v="0"/>
    <d v="2018-07-19T00:00:00"/>
    <n v="7.5"/>
    <x v="1"/>
    <n v="6750"/>
    <x v="0"/>
    <x v="0"/>
    <n v="2"/>
    <n v="27"/>
    <x v="1"/>
    <m/>
    <x v="2"/>
    <x v="2"/>
    <x v="2"/>
    <n v="1"/>
    <n v="1"/>
    <n v="0"/>
  </r>
  <r>
    <s v="E11391"/>
    <x v="5"/>
    <x v="1"/>
    <s v="Female"/>
    <n v="35"/>
    <s v="26-35"/>
    <x v="1"/>
    <d v="2020-12-25T00:00:00"/>
    <n v="5"/>
    <x v="2"/>
    <n v="5500"/>
    <x v="0"/>
    <x v="0"/>
    <n v="4"/>
    <n v="15"/>
    <x v="1"/>
    <m/>
    <x v="2"/>
    <x v="2"/>
    <x v="2"/>
    <n v="1"/>
    <n v="1"/>
    <n v="0"/>
  </r>
  <r>
    <s v="E11392"/>
    <x v="0"/>
    <x v="0"/>
    <s v="Female"/>
    <n v="35"/>
    <s v="26-35"/>
    <x v="1"/>
    <d v="2016-01-09T00:00:00"/>
    <n v="10"/>
    <x v="1"/>
    <n v="2850"/>
    <x v="0"/>
    <x v="0"/>
    <n v="4"/>
    <n v="43"/>
    <x v="1"/>
    <m/>
    <x v="2"/>
    <x v="2"/>
    <x v="2"/>
    <n v="1"/>
    <n v="1"/>
    <n v="0"/>
  </r>
  <r>
    <s v="E11393"/>
    <x v="0"/>
    <x v="0"/>
    <s v="Male"/>
    <n v="24"/>
    <s v="20-25"/>
    <x v="1"/>
    <d v="2023-08-13T00:00:00"/>
    <n v="0.4"/>
    <x v="3"/>
    <n v="3000"/>
    <x v="1"/>
    <x v="1"/>
    <n v="4"/>
    <n v="31"/>
    <x v="0"/>
    <d v="2024-01-18T00:00:00"/>
    <x v="0"/>
    <x v="7"/>
    <x v="3"/>
    <n v="1"/>
    <n v="0"/>
    <n v="1"/>
  </r>
  <r>
    <s v="E11394"/>
    <x v="0"/>
    <x v="0"/>
    <s v="Female"/>
    <n v="30"/>
    <s v="26-35"/>
    <x v="0"/>
    <d v="2021-05-08T00:00:00"/>
    <n v="4.5999999999999996"/>
    <x v="2"/>
    <n v="3350"/>
    <x v="1"/>
    <x v="1"/>
    <n v="3"/>
    <n v="45"/>
    <x v="1"/>
    <m/>
    <x v="2"/>
    <x v="2"/>
    <x v="2"/>
    <n v="1"/>
    <n v="1"/>
    <n v="0"/>
  </r>
  <r>
    <s v="E11395"/>
    <x v="5"/>
    <x v="1"/>
    <s v="Female"/>
    <n v="32"/>
    <s v="26-35"/>
    <x v="1"/>
    <d v="2018-08-01T00:00:00"/>
    <n v="7.4"/>
    <x v="1"/>
    <n v="4900"/>
    <x v="0"/>
    <x v="1"/>
    <n v="3"/>
    <n v="17"/>
    <x v="1"/>
    <m/>
    <x v="2"/>
    <x v="2"/>
    <x v="2"/>
    <n v="1"/>
    <n v="1"/>
    <n v="0"/>
  </r>
  <r>
    <s v="E11396"/>
    <x v="6"/>
    <x v="2"/>
    <s v="Female"/>
    <n v="34"/>
    <s v="26-35"/>
    <x v="2"/>
    <d v="2018-08-19T00:00:00"/>
    <n v="7.4"/>
    <x v="1"/>
    <n v="6950"/>
    <x v="0"/>
    <x v="1"/>
    <n v="3"/>
    <n v="34"/>
    <x v="1"/>
    <m/>
    <x v="2"/>
    <x v="2"/>
    <x v="2"/>
    <n v="1"/>
    <n v="1"/>
    <n v="0"/>
  </r>
  <r>
    <s v="E11397"/>
    <x v="3"/>
    <x v="1"/>
    <s v="Male"/>
    <n v="36"/>
    <s v="36-45"/>
    <x v="0"/>
    <d v="2021-01-09T00:00:00"/>
    <n v="5"/>
    <x v="2"/>
    <n v="6950"/>
    <x v="0"/>
    <x v="1"/>
    <n v="3"/>
    <n v="22"/>
    <x v="1"/>
    <m/>
    <x v="2"/>
    <x v="2"/>
    <x v="2"/>
    <n v="1"/>
    <n v="1"/>
    <n v="0"/>
  </r>
  <r>
    <s v="E11398"/>
    <x v="2"/>
    <x v="1"/>
    <s v="Female"/>
    <n v="36"/>
    <s v="36-45"/>
    <x v="1"/>
    <d v="2016-01-06T00:00:00"/>
    <n v="10"/>
    <x v="1"/>
    <n v="6150"/>
    <x v="1"/>
    <x v="4"/>
    <n v="2"/>
    <n v="19"/>
    <x v="1"/>
    <m/>
    <x v="2"/>
    <x v="2"/>
    <x v="2"/>
    <n v="1"/>
    <n v="1"/>
    <n v="0"/>
  </r>
  <r>
    <s v="E11399"/>
    <x v="3"/>
    <x v="2"/>
    <s v="Male"/>
    <n v="27"/>
    <s v="26-35"/>
    <x v="1"/>
    <d v="2025-01-21T00:00:00"/>
    <n v="0.9"/>
    <x v="3"/>
    <n v="10500"/>
    <x v="0"/>
    <x v="1"/>
    <n v="3"/>
    <n v="16"/>
    <x v="1"/>
    <m/>
    <x v="2"/>
    <x v="2"/>
    <x v="2"/>
    <n v="1"/>
    <n v="1"/>
    <n v="0"/>
  </r>
  <r>
    <s v="E11400"/>
    <x v="0"/>
    <x v="2"/>
    <s v="Female"/>
    <n v="40"/>
    <s v="36-45"/>
    <x v="0"/>
    <d v="2022-01-10T00:00:00"/>
    <n v="4"/>
    <x v="2"/>
    <n v="4700"/>
    <x v="1"/>
    <x v="1"/>
    <n v="3"/>
    <n v="15"/>
    <x v="1"/>
    <m/>
    <x v="2"/>
    <x v="2"/>
    <x v="2"/>
    <n v="1"/>
    <n v="1"/>
    <n v="0"/>
  </r>
  <r>
    <s v="E11401"/>
    <x v="0"/>
    <x v="0"/>
    <s v="Female"/>
    <n v="28"/>
    <s v="26-35"/>
    <x v="1"/>
    <d v="2022-08-07T00:00:00"/>
    <n v="1.6"/>
    <x v="0"/>
    <n v="3450"/>
    <x v="1"/>
    <x v="4"/>
    <n v="4"/>
    <n v="6"/>
    <x v="0"/>
    <d v="2024-02-26T00:00:00"/>
    <x v="0"/>
    <x v="6"/>
    <x v="5"/>
    <n v="1"/>
    <n v="0"/>
    <n v="1"/>
  </r>
  <r>
    <s v="E11402"/>
    <x v="0"/>
    <x v="0"/>
    <s v="Male"/>
    <n v="25"/>
    <s v="20-25"/>
    <x v="1"/>
    <d v="2023-03-14T00:00:00"/>
    <n v="2.8"/>
    <x v="0"/>
    <n v="3450"/>
    <x v="0"/>
    <x v="0"/>
    <n v="4"/>
    <n v="37"/>
    <x v="1"/>
    <m/>
    <x v="2"/>
    <x v="2"/>
    <x v="2"/>
    <n v="1"/>
    <n v="1"/>
    <n v="0"/>
  </r>
  <r>
    <s v="E11403"/>
    <x v="3"/>
    <x v="2"/>
    <s v="Male"/>
    <n v="46"/>
    <s v="46+"/>
    <x v="1"/>
    <d v="2011-09-09T00:00:00"/>
    <n v="14.3"/>
    <x v="1"/>
    <n v="11800"/>
    <x v="0"/>
    <x v="2"/>
    <n v="2"/>
    <n v="36"/>
    <x v="1"/>
    <m/>
    <x v="2"/>
    <x v="2"/>
    <x v="2"/>
    <n v="1"/>
    <n v="1"/>
    <n v="0"/>
  </r>
  <r>
    <s v="E11404"/>
    <x v="1"/>
    <x v="1"/>
    <s v="Male"/>
    <n v="35"/>
    <s v="26-35"/>
    <x v="0"/>
    <d v="2016-08-05T00:00:00"/>
    <n v="9.4"/>
    <x v="1"/>
    <n v="4450"/>
    <x v="1"/>
    <x v="2"/>
    <n v="3"/>
    <n v="11"/>
    <x v="1"/>
    <m/>
    <x v="2"/>
    <x v="2"/>
    <x v="2"/>
    <n v="1"/>
    <n v="1"/>
    <n v="0"/>
  </r>
  <r>
    <s v="E11405"/>
    <x v="4"/>
    <x v="2"/>
    <s v="Female"/>
    <n v="38"/>
    <s v="36-45"/>
    <x v="0"/>
    <d v="2015-01-20T00:00:00"/>
    <n v="10.9"/>
    <x v="1"/>
    <n v="7400"/>
    <x v="0"/>
    <x v="1"/>
    <n v="5"/>
    <n v="36"/>
    <x v="1"/>
    <m/>
    <x v="2"/>
    <x v="2"/>
    <x v="2"/>
    <n v="1"/>
    <n v="1"/>
    <n v="0"/>
  </r>
  <r>
    <s v="E11406"/>
    <x v="3"/>
    <x v="0"/>
    <s v="Male"/>
    <n v="21"/>
    <s v="20-25"/>
    <x v="2"/>
    <d v="2025-11-04T00:00:00"/>
    <n v="0.2"/>
    <x v="3"/>
    <n v="6600"/>
    <x v="0"/>
    <x v="1"/>
    <n v="4"/>
    <n v="14"/>
    <x v="1"/>
    <m/>
    <x v="2"/>
    <x v="2"/>
    <x v="2"/>
    <n v="1"/>
    <n v="1"/>
    <n v="0"/>
  </r>
  <r>
    <s v="E11407"/>
    <x v="3"/>
    <x v="0"/>
    <s v="Male"/>
    <n v="22"/>
    <s v="20-25"/>
    <x v="1"/>
    <d v="2025-10-26T00:00:00"/>
    <n v="0.2"/>
    <x v="3"/>
    <n v="7150"/>
    <x v="1"/>
    <x v="2"/>
    <n v="2"/>
    <n v="28"/>
    <x v="1"/>
    <m/>
    <x v="2"/>
    <x v="2"/>
    <x v="2"/>
    <n v="1"/>
    <n v="1"/>
    <n v="0"/>
  </r>
  <r>
    <s v="E11408"/>
    <x v="4"/>
    <x v="0"/>
    <s v="Female"/>
    <n v="23"/>
    <s v="20-25"/>
    <x v="1"/>
    <d v="2025-04-30T00:00:00"/>
    <n v="0.7"/>
    <x v="3"/>
    <n v="5700"/>
    <x v="1"/>
    <x v="1"/>
    <n v="4"/>
    <n v="10"/>
    <x v="1"/>
    <m/>
    <x v="2"/>
    <x v="2"/>
    <x v="2"/>
    <n v="1"/>
    <n v="1"/>
    <n v="0"/>
  </r>
  <r>
    <s v="E11409"/>
    <x v="6"/>
    <x v="2"/>
    <s v="Female"/>
    <n v="35"/>
    <s v="26-35"/>
    <x v="0"/>
    <d v="2020-05-16T00:00:00"/>
    <n v="5.6"/>
    <x v="1"/>
    <n v="7700"/>
    <x v="0"/>
    <x v="2"/>
    <n v="3"/>
    <n v="40"/>
    <x v="1"/>
    <m/>
    <x v="2"/>
    <x v="2"/>
    <x v="2"/>
    <n v="1"/>
    <n v="1"/>
    <n v="0"/>
  </r>
  <r>
    <s v="E11410"/>
    <x v="0"/>
    <x v="1"/>
    <s v="Female"/>
    <n v="29"/>
    <s v="26-35"/>
    <x v="0"/>
    <d v="2019-12-01T00:00:00"/>
    <n v="6.1"/>
    <x v="1"/>
    <n v="3250"/>
    <x v="1"/>
    <x v="1"/>
    <n v="4"/>
    <n v="19"/>
    <x v="1"/>
    <m/>
    <x v="2"/>
    <x v="2"/>
    <x v="2"/>
    <n v="1"/>
    <n v="1"/>
    <n v="0"/>
  </r>
  <r>
    <s v="E11411"/>
    <x v="0"/>
    <x v="2"/>
    <s v="Male"/>
    <n v="36"/>
    <s v="36-45"/>
    <x v="0"/>
    <d v="2015-04-21T00:00:00"/>
    <n v="10.7"/>
    <x v="1"/>
    <n v="4750"/>
    <x v="1"/>
    <x v="0"/>
    <n v="2"/>
    <n v="36"/>
    <x v="1"/>
    <m/>
    <x v="2"/>
    <x v="2"/>
    <x v="2"/>
    <n v="1"/>
    <n v="1"/>
    <n v="0"/>
  </r>
  <r>
    <s v="E11412"/>
    <x v="4"/>
    <x v="2"/>
    <s v="Male"/>
    <n v="34"/>
    <s v="26-35"/>
    <x v="1"/>
    <d v="2024-04-10T00:00:00"/>
    <n v="1.7"/>
    <x v="0"/>
    <n v="7050"/>
    <x v="0"/>
    <x v="1"/>
    <n v="5"/>
    <n v="24"/>
    <x v="1"/>
    <m/>
    <x v="2"/>
    <x v="2"/>
    <x v="2"/>
    <n v="1"/>
    <n v="1"/>
    <n v="0"/>
  </r>
  <r>
    <s v="E11413"/>
    <x v="3"/>
    <x v="1"/>
    <s v="Male"/>
    <n v="25"/>
    <s v="20-25"/>
    <x v="2"/>
    <d v="2022-11-26T00:00:00"/>
    <n v="3.1"/>
    <x v="2"/>
    <n v="7500"/>
    <x v="1"/>
    <x v="4"/>
    <n v="3"/>
    <n v="21"/>
    <x v="1"/>
    <m/>
    <x v="2"/>
    <x v="2"/>
    <x v="2"/>
    <n v="1"/>
    <n v="1"/>
    <n v="0"/>
  </r>
  <r>
    <s v="E11414"/>
    <x v="3"/>
    <x v="0"/>
    <s v="Male"/>
    <n v="24"/>
    <s v="20-25"/>
    <x v="0"/>
    <d v="2024-03-25T00:00:00"/>
    <n v="1.5"/>
    <x v="0"/>
    <n v="4250"/>
    <x v="0"/>
    <x v="1"/>
    <n v="3"/>
    <n v="14"/>
    <x v="0"/>
    <d v="2025-09-16T00:00:00"/>
    <x v="1"/>
    <x v="12"/>
    <x v="0"/>
    <n v="1"/>
    <n v="0"/>
    <n v="1"/>
  </r>
  <r>
    <s v="E11415"/>
    <x v="2"/>
    <x v="3"/>
    <s v="Male"/>
    <n v="47"/>
    <s v="46+"/>
    <x v="0"/>
    <d v="2015-09-03T00:00:00"/>
    <n v="10.3"/>
    <x v="1"/>
    <n v="13850"/>
    <x v="0"/>
    <x v="0"/>
    <n v="4"/>
    <n v="23"/>
    <x v="1"/>
    <m/>
    <x v="2"/>
    <x v="2"/>
    <x v="2"/>
    <n v="1"/>
    <n v="1"/>
    <n v="0"/>
  </r>
  <r>
    <s v="E11416"/>
    <x v="0"/>
    <x v="0"/>
    <s v="Male"/>
    <n v="27"/>
    <s v="26-35"/>
    <x v="0"/>
    <d v="2022-03-08T00:00:00"/>
    <n v="3.8"/>
    <x v="2"/>
    <n v="2550"/>
    <x v="0"/>
    <x v="0"/>
    <n v="5"/>
    <n v="29"/>
    <x v="1"/>
    <m/>
    <x v="2"/>
    <x v="2"/>
    <x v="2"/>
    <n v="1"/>
    <n v="1"/>
    <n v="0"/>
  </r>
  <r>
    <s v="E11417"/>
    <x v="5"/>
    <x v="1"/>
    <s v="Female"/>
    <n v="21"/>
    <s v="20-25"/>
    <x v="1"/>
    <d v="2025-11-01T00:00:00"/>
    <n v="0.2"/>
    <x v="3"/>
    <n v="5900"/>
    <x v="1"/>
    <x v="0"/>
    <n v="3"/>
    <n v="52"/>
    <x v="1"/>
    <m/>
    <x v="2"/>
    <x v="2"/>
    <x v="2"/>
    <n v="1"/>
    <n v="1"/>
    <n v="0"/>
  </r>
  <r>
    <s v="E11418"/>
    <x v="0"/>
    <x v="2"/>
    <s v="Male"/>
    <n v="49"/>
    <s v="46+"/>
    <x v="1"/>
    <d v="2015-01-02T00:00:00"/>
    <n v="11"/>
    <x v="1"/>
    <n v="4400"/>
    <x v="1"/>
    <x v="0"/>
    <n v="3"/>
    <n v="18"/>
    <x v="1"/>
    <m/>
    <x v="2"/>
    <x v="2"/>
    <x v="2"/>
    <n v="1"/>
    <n v="1"/>
    <n v="0"/>
  </r>
  <r>
    <s v="E11419"/>
    <x v="2"/>
    <x v="0"/>
    <s v="Female"/>
    <n v="29"/>
    <s v="26-35"/>
    <x v="1"/>
    <d v="2022-01-30T00:00:00"/>
    <n v="3.9"/>
    <x v="2"/>
    <n v="5600"/>
    <x v="1"/>
    <x v="1"/>
    <n v="3"/>
    <n v="51"/>
    <x v="1"/>
    <m/>
    <x v="2"/>
    <x v="2"/>
    <x v="2"/>
    <n v="1"/>
    <n v="1"/>
    <n v="0"/>
  </r>
  <r>
    <s v="E11420"/>
    <x v="0"/>
    <x v="2"/>
    <s v="Male"/>
    <n v="31"/>
    <s v="26-35"/>
    <x v="2"/>
    <d v="2023-09-30T00:00:00"/>
    <n v="2.2999999999999998"/>
    <x v="0"/>
    <n v="5100"/>
    <x v="0"/>
    <x v="0"/>
    <n v="3"/>
    <n v="34"/>
    <x v="1"/>
    <m/>
    <x v="2"/>
    <x v="2"/>
    <x v="2"/>
    <n v="1"/>
    <n v="1"/>
    <n v="0"/>
  </r>
  <r>
    <s v="E11421"/>
    <x v="3"/>
    <x v="2"/>
    <s v="Male"/>
    <n v="39"/>
    <s v="36-45"/>
    <x v="1"/>
    <d v="2014-11-19T00:00:00"/>
    <n v="11.1"/>
    <x v="1"/>
    <n v="11150"/>
    <x v="0"/>
    <x v="2"/>
    <n v="3"/>
    <n v="21"/>
    <x v="1"/>
    <m/>
    <x v="2"/>
    <x v="2"/>
    <x v="2"/>
    <n v="1"/>
    <n v="1"/>
    <n v="0"/>
  </r>
  <r>
    <s v="E11422"/>
    <x v="6"/>
    <x v="1"/>
    <s v="Male"/>
    <n v="30"/>
    <s v="26-35"/>
    <x v="1"/>
    <d v="2022-04-04T00:00:00"/>
    <n v="3.7"/>
    <x v="2"/>
    <n v="4800"/>
    <x v="1"/>
    <x v="0"/>
    <n v="4"/>
    <n v="17"/>
    <x v="1"/>
    <m/>
    <x v="2"/>
    <x v="2"/>
    <x v="2"/>
    <n v="1"/>
    <n v="1"/>
    <n v="0"/>
  </r>
  <r>
    <s v="E11423"/>
    <x v="5"/>
    <x v="1"/>
    <s v="Female"/>
    <n v="39"/>
    <s v="36-45"/>
    <x v="0"/>
    <d v="2019-08-25T00:00:00"/>
    <n v="6.4"/>
    <x v="1"/>
    <n v="6150"/>
    <x v="0"/>
    <x v="0"/>
    <n v="3"/>
    <n v="32"/>
    <x v="1"/>
    <m/>
    <x v="2"/>
    <x v="2"/>
    <x v="2"/>
    <n v="1"/>
    <n v="1"/>
    <n v="0"/>
  </r>
  <r>
    <s v="E11424"/>
    <x v="1"/>
    <x v="0"/>
    <s v="Male"/>
    <n v="31"/>
    <s v="26-35"/>
    <x v="1"/>
    <d v="2021-03-09T00:00:00"/>
    <n v="4.8"/>
    <x v="2"/>
    <n v="4000"/>
    <x v="1"/>
    <x v="1"/>
    <n v="3"/>
    <n v="17"/>
    <x v="1"/>
    <m/>
    <x v="2"/>
    <x v="2"/>
    <x v="2"/>
    <n v="1"/>
    <n v="1"/>
    <n v="0"/>
  </r>
  <r>
    <s v="E11425"/>
    <x v="0"/>
    <x v="0"/>
    <s v="Female"/>
    <n v="29"/>
    <s v="26-35"/>
    <x v="1"/>
    <d v="2020-04-24T00:00:00"/>
    <n v="5"/>
    <x v="2"/>
    <n v="2450"/>
    <x v="1"/>
    <x v="0"/>
    <n v="4"/>
    <n v="18"/>
    <x v="0"/>
    <d v="2025-04-08T00:00:00"/>
    <x v="1"/>
    <x v="8"/>
    <x v="0"/>
    <n v="1"/>
    <n v="0"/>
    <n v="1"/>
  </r>
  <r>
    <s v="E11426"/>
    <x v="1"/>
    <x v="0"/>
    <s v="Female"/>
    <n v="34"/>
    <s v="26-35"/>
    <x v="1"/>
    <d v="2024-04-18T00:00:00"/>
    <n v="1.7"/>
    <x v="0"/>
    <n v="3750"/>
    <x v="1"/>
    <x v="0"/>
    <n v="5"/>
    <n v="14"/>
    <x v="1"/>
    <m/>
    <x v="2"/>
    <x v="2"/>
    <x v="2"/>
    <n v="1"/>
    <n v="1"/>
    <n v="0"/>
  </r>
  <r>
    <s v="E11427"/>
    <x v="5"/>
    <x v="1"/>
    <s v="Male"/>
    <n v="30"/>
    <s v="26-35"/>
    <x v="0"/>
    <d v="2022-07-03T00:00:00"/>
    <n v="3.5"/>
    <x v="2"/>
    <n v="4450"/>
    <x v="1"/>
    <x v="1"/>
    <n v="2"/>
    <n v="35"/>
    <x v="1"/>
    <m/>
    <x v="2"/>
    <x v="2"/>
    <x v="2"/>
    <n v="1"/>
    <n v="1"/>
    <n v="0"/>
  </r>
  <r>
    <s v="E11428"/>
    <x v="1"/>
    <x v="0"/>
    <s v="Female"/>
    <n v="26"/>
    <s v="26-35"/>
    <x v="0"/>
    <d v="2025-03-22T00:00:00"/>
    <n v="0.8"/>
    <x v="3"/>
    <n v="3000"/>
    <x v="0"/>
    <x v="1"/>
    <n v="3"/>
    <n v="22"/>
    <x v="1"/>
    <m/>
    <x v="2"/>
    <x v="2"/>
    <x v="2"/>
    <n v="1"/>
    <n v="1"/>
    <n v="0"/>
  </r>
  <r>
    <s v="E11429"/>
    <x v="5"/>
    <x v="2"/>
    <s v="Male"/>
    <n v="46"/>
    <s v="46+"/>
    <x v="0"/>
    <d v="2019-02-25T00:00:00"/>
    <n v="6.8"/>
    <x v="1"/>
    <n v="7850"/>
    <x v="0"/>
    <x v="1"/>
    <n v="3"/>
    <n v="13"/>
    <x v="1"/>
    <m/>
    <x v="2"/>
    <x v="2"/>
    <x v="2"/>
    <n v="1"/>
    <n v="1"/>
    <n v="0"/>
  </r>
  <r>
    <s v="E11430"/>
    <x v="5"/>
    <x v="0"/>
    <s v="Male"/>
    <n v="31"/>
    <s v="26-35"/>
    <x v="0"/>
    <d v="2023-11-12T00:00:00"/>
    <n v="2.1"/>
    <x v="0"/>
    <n v="3800"/>
    <x v="0"/>
    <x v="0"/>
    <n v="3"/>
    <n v="22"/>
    <x v="1"/>
    <m/>
    <x v="2"/>
    <x v="2"/>
    <x v="2"/>
    <n v="1"/>
    <n v="1"/>
    <n v="0"/>
  </r>
  <r>
    <s v="E11431"/>
    <x v="5"/>
    <x v="2"/>
    <s v="Female"/>
    <n v="33"/>
    <s v="26-35"/>
    <x v="0"/>
    <d v="2017-12-18T00:00:00"/>
    <n v="8"/>
    <x v="1"/>
    <n v="8500"/>
    <x v="0"/>
    <x v="4"/>
    <n v="3"/>
    <n v="37"/>
    <x v="1"/>
    <m/>
    <x v="2"/>
    <x v="2"/>
    <x v="2"/>
    <n v="1"/>
    <n v="1"/>
    <n v="0"/>
  </r>
  <r>
    <s v="E11432"/>
    <x v="6"/>
    <x v="1"/>
    <s v="Female"/>
    <n v="30"/>
    <s v="26-35"/>
    <x v="0"/>
    <d v="2024-04-01T00:00:00"/>
    <n v="1.7"/>
    <x v="0"/>
    <n v="4700"/>
    <x v="0"/>
    <x v="0"/>
    <n v="5"/>
    <n v="27"/>
    <x v="1"/>
    <m/>
    <x v="2"/>
    <x v="2"/>
    <x v="2"/>
    <n v="1"/>
    <n v="1"/>
    <n v="0"/>
  </r>
  <r>
    <s v="E11433"/>
    <x v="3"/>
    <x v="3"/>
    <s v="Male"/>
    <n v="49"/>
    <s v="46+"/>
    <x v="1"/>
    <d v="2015-07-28T00:00:00"/>
    <n v="10.4"/>
    <x v="1"/>
    <n v="13950"/>
    <x v="0"/>
    <x v="2"/>
    <n v="4"/>
    <n v="22"/>
    <x v="1"/>
    <m/>
    <x v="2"/>
    <x v="2"/>
    <x v="2"/>
    <n v="1"/>
    <n v="1"/>
    <n v="0"/>
  </r>
  <r>
    <s v="E11434"/>
    <x v="4"/>
    <x v="1"/>
    <s v="Male"/>
    <n v="37"/>
    <s v="36-45"/>
    <x v="1"/>
    <d v="2020-09-18T00:00:00"/>
    <n v="5.3"/>
    <x v="1"/>
    <n v="6050"/>
    <x v="0"/>
    <x v="1"/>
    <n v="4"/>
    <n v="18"/>
    <x v="1"/>
    <m/>
    <x v="2"/>
    <x v="2"/>
    <x v="2"/>
    <n v="1"/>
    <n v="1"/>
    <n v="0"/>
  </r>
  <r>
    <s v="E11435"/>
    <x v="3"/>
    <x v="1"/>
    <s v="Female"/>
    <n v="27"/>
    <s v="26-35"/>
    <x v="2"/>
    <d v="2021-09-24T00:00:00"/>
    <n v="4.3"/>
    <x v="2"/>
    <n v="7500"/>
    <x v="0"/>
    <x v="4"/>
    <n v="5"/>
    <n v="23"/>
    <x v="1"/>
    <m/>
    <x v="2"/>
    <x v="2"/>
    <x v="2"/>
    <n v="1"/>
    <n v="1"/>
    <n v="0"/>
  </r>
  <r>
    <s v="E11436"/>
    <x v="5"/>
    <x v="0"/>
    <s v="Male"/>
    <n v="21"/>
    <s v="20-25"/>
    <x v="1"/>
    <d v="2025-11-02T00:00:00"/>
    <n v="0"/>
    <x v="3"/>
    <n v="4300"/>
    <x v="1"/>
    <x v="1"/>
    <n v="5"/>
    <n v="26"/>
    <x v="0"/>
    <d v="2025-11-19T00:00:00"/>
    <x v="1"/>
    <x v="10"/>
    <x v="4"/>
    <n v="1"/>
    <n v="0"/>
    <n v="1"/>
  </r>
  <r>
    <s v="E11437"/>
    <x v="0"/>
    <x v="1"/>
    <s v="Female"/>
    <n v="36"/>
    <s v="36-45"/>
    <x v="1"/>
    <d v="2022-04-24T00:00:00"/>
    <n v="3.7"/>
    <x v="2"/>
    <n v="3600"/>
    <x v="0"/>
    <x v="2"/>
    <n v="3"/>
    <n v="35"/>
    <x v="1"/>
    <m/>
    <x v="2"/>
    <x v="2"/>
    <x v="2"/>
    <n v="1"/>
    <n v="1"/>
    <n v="0"/>
  </r>
  <r>
    <s v="E11438"/>
    <x v="4"/>
    <x v="0"/>
    <s v="Male"/>
    <n v="27"/>
    <s v="26-35"/>
    <x v="1"/>
    <d v="2021-04-14T00:00:00"/>
    <n v="4.7"/>
    <x v="2"/>
    <n v="4950"/>
    <x v="0"/>
    <x v="1"/>
    <n v="4"/>
    <n v="21"/>
    <x v="1"/>
    <m/>
    <x v="2"/>
    <x v="2"/>
    <x v="2"/>
    <n v="1"/>
    <n v="1"/>
    <n v="0"/>
  </r>
  <r>
    <s v="E11439"/>
    <x v="3"/>
    <x v="0"/>
    <s v="Female"/>
    <n v="21"/>
    <s v="20-25"/>
    <x v="0"/>
    <d v="2025-11-19T00:00:00"/>
    <n v="0.1"/>
    <x v="3"/>
    <n v="7000"/>
    <x v="0"/>
    <x v="0"/>
    <n v="5"/>
    <n v="17"/>
    <x v="1"/>
    <m/>
    <x v="2"/>
    <x v="2"/>
    <x v="2"/>
    <n v="1"/>
    <n v="1"/>
    <n v="0"/>
  </r>
  <r>
    <s v="E11440"/>
    <x v="1"/>
    <x v="2"/>
    <s v="Male"/>
    <n v="34"/>
    <s v="26-35"/>
    <x v="0"/>
    <d v="2021-09-24T00:00:00"/>
    <n v="4.3"/>
    <x v="2"/>
    <n v="5150"/>
    <x v="1"/>
    <x v="0"/>
    <n v="4"/>
    <n v="30"/>
    <x v="1"/>
    <m/>
    <x v="2"/>
    <x v="2"/>
    <x v="2"/>
    <n v="1"/>
    <n v="1"/>
    <n v="0"/>
  </r>
  <r>
    <s v="E11441"/>
    <x v="4"/>
    <x v="1"/>
    <s v="Female"/>
    <n v="38"/>
    <s v="36-45"/>
    <x v="0"/>
    <d v="2013-09-21T00:00:00"/>
    <n v="10.8"/>
    <x v="1"/>
    <n v="6300"/>
    <x v="0"/>
    <x v="1"/>
    <n v="4"/>
    <n v="33"/>
    <x v="0"/>
    <d v="2024-06-26T00:00:00"/>
    <x v="0"/>
    <x v="0"/>
    <x v="0"/>
    <n v="1"/>
    <n v="0"/>
    <n v="1"/>
  </r>
  <r>
    <s v="E11442"/>
    <x v="2"/>
    <x v="3"/>
    <s v="Male"/>
    <n v="49"/>
    <s v="46+"/>
    <x v="1"/>
    <d v="2017-09-15T00:00:00"/>
    <n v="8.3000000000000007"/>
    <x v="1"/>
    <n v="13250"/>
    <x v="0"/>
    <x v="1"/>
    <n v="4"/>
    <n v="35"/>
    <x v="1"/>
    <m/>
    <x v="2"/>
    <x v="2"/>
    <x v="2"/>
    <n v="1"/>
    <n v="1"/>
    <n v="0"/>
  </r>
  <r>
    <s v="E11443"/>
    <x v="0"/>
    <x v="2"/>
    <s v="Male"/>
    <n v="35"/>
    <s v="26-35"/>
    <x v="1"/>
    <d v="2017-07-11T00:00:00"/>
    <n v="7"/>
    <x v="1"/>
    <n v="5650"/>
    <x v="1"/>
    <x v="0"/>
    <n v="3"/>
    <n v="32"/>
    <x v="0"/>
    <d v="2024-07-20T00:00:00"/>
    <x v="0"/>
    <x v="4"/>
    <x v="1"/>
    <n v="1"/>
    <n v="0"/>
    <n v="1"/>
  </r>
  <r>
    <s v="E11444"/>
    <x v="3"/>
    <x v="0"/>
    <s v="Female"/>
    <n v="24"/>
    <s v="20-25"/>
    <x v="0"/>
    <d v="2023-12-19T00:00:00"/>
    <n v="2"/>
    <x v="0"/>
    <n v="6400"/>
    <x v="0"/>
    <x v="0"/>
    <n v="5"/>
    <n v="18"/>
    <x v="1"/>
    <m/>
    <x v="2"/>
    <x v="2"/>
    <x v="2"/>
    <n v="1"/>
    <n v="1"/>
    <n v="0"/>
  </r>
  <r>
    <s v="E11445"/>
    <x v="5"/>
    <x v="1"/>
    <s v="Female"/>
    <n v="34"/>
    <s v="26-35"/>
    <x v="0"/>
    <d v="2016-01-28T00:00:00"/>
    <n v="9.9"/>
    <x v="1"/>
    <n v="5700"/>
    <x v="0"/>
    <x v="1"/>
    <n v="3"/>
    <n v="36"/>
    <x v="1"/>
    <m/>
    <x v="2"/>
    <x v="2"/>
    <x v="2"/>
    <n v="1"/>
    <n v="1"/>
    <n v="0"/>
  </r>
  <r>
    <s v="E11446"/>
    <x v="5"/>
    <x v="0"/>
    <s v="Male"/>
    <n v="21"/>
    <s v="20-25"/>
    <x v="1"/>
    <d v="2025-12-06T00:00:00"/>
    <n v="0"/>
    <x v="3"/>
    <n v="4300"/>
    <x v="1"/>
    <x v="1"/>
    <n v="4"/>
    <n v="37"/>
    <x v="0"/>
    <d v="2025-12-18T00:00:00"/>
    <x v="1"/>
    <x v="5"/>
    <x v="0"/>
    <n v="1"/>
    <n v="0"/>
    <n v="1"/>
  </r>
  <r>
    <s v="E11447"/>
    <x v="5"/>
    <x v="0"/>
    <s v="Male"/>
    <n v="31"/>
    <s v="26-35"/>
    <x v="1"/>
    <d v="2024-04-03T00:00:00"/>
    <n v="1.4"/>
    <x v="0"/>
    <n v="3250"/>
    <x v="1"/>
    <x v="2"/>
    <n v="3"/>
    <n v="16"/>
    <x v="0"/>
    <d v="2025-08-15T00:00:00"/>
    <x v="1"/>
    <x v="1"/>
    <x v="0"/>
    <n v="1"/>
    <n v="0"/>
    <n v="1"/>
  </r>
  <r>
    <s v="E11448"/>
    <x v="6"/>
    <x v="2"/>
    <s v="Male"/>
    <n v="41"/>
    <s v="36-45"/>
    <x v="2"/>
    <d v="2011-04-10T00:00:00"/>
    <n v="14.7"/>
    <x v="1"/>
    <n v="7300"/>
    <x v="0"/>
    <x v="0"/>
    <n v="4"/>
    <n v="35"/>
    <x v="1"/>
    <m/>
    <x v="2"/>
    <x v="2"/>
    <x v="2"/>
    <n v="1"/>
    <n v="1"/>
    <n v="0"/>
  </r>
  <r>
    <s v="E11449"/>
    <x v="5"/>
    <x v="0"/>
    <s v="Female"/>
    <n v="23"/>
    <s v="20-25"/>
    <x v="1"/>
    <d v="2024-12-04T00:00:00"/>
    <n v="1"/>
    <x v="3"/>
    <n v="3700"/>
    <x v="1"/>
    <x v="1"/>
    <n v="4"/>
    <n v="26"/>
    <x v="0"/>
    <d v="2025-12-01T00:00:00"/>
    <x v="1"/>
    <x v="5"/>
    <x v="0"/>
    <n v="1"/>
    <n v="0"/>
    <n v="1"/>
  </r>
  <r>
    <s v="E11450"/>
    <x v="0"/>
    <x v="0"/>
    <s v="Male"/>
    <n v="25"/>
    <s v="20-25"/>
    <x v="1"/>
    <d v="2025-06-20T00:00:00"/>
    <n v="0.1"/>
    <x v="3"/>
    <n v="2900"/>
    <x v="1"/>
    <x v="1"/>
    <n v="3"/>
    <n v="33"/>
    <x v="0"/>
    <d v="2025-08-11T00:00:00"/>
    <x v="1"/>
    <x v="1"/>
    <x v="0"/>
    <n v="1"/>
    <n v="0"/>
    <n v="1"/>
  </r>
  <r>
    <s v="E11451"/>
    <x v="5"/>
    <x v="0"/>
    <s v="Female"/>
    <n v="23"/>
    <s v="20-25"/>
    <x v="2"/>
    <d v="2024-09-02T00:00:00"/>
    <n v="1.3"/>
    <x v="0"/>
    <n v="3950"/>
    <x v="1"/>
    <x v="0"/>
    <n v="3"/>
    <n v="20"/>
    <x v="1"/>
    <m/>
    <x v="2"/>
    <x v="2"/>
    <x v="2"/>
    <n v="1"/>
    <n v="1"/>
    <n v="0"/>
  </r>
  <r>
    <s v="E11452"/>
    <x v="5"/>
    <x v="1"/>
    <s v="Male"/>
    <n v="31"/>
    <s v="26-35"/>
    <x v="1"/>
    <d v="2021-03-07T00:00:00"/>
    <n v="4.8"/>
    <x v="2"/>
    <n v="6100"/>
    <x v="0"/>
    <x v="0"/>
    <n v="3"/>
    <n v="18"/>
    <x v="1"/>
    <m/>
    <x v="2"/>
    <x v="2"/>
    <x v="2"/>
    <n v="1"/>
    <n v="1"/>
    <n v="0"/>
  </r>
  <r>
    <s v="E11453"/>
    <x v="6"/>
    <x v="2"/>
    <s v="Female"/>
    <n v="36"/>
    <s v="36-45"/>
    <x v="1"/>
    <d v="2020-06-04T00:00:00"/>
    <n v="5.6"/>
    <x v="1"/>
    <n v="5750"/>
    <x v="0"/>
    <x v="1"/>
    <n v="3"/>
    <n v="25"/>
    <x v="1"/>
    <m/>
    <x v="2"/>
    <x v="2"/>
    <x v="2"/>
    <n v="1"/>
    <n v="1"/>
    <n v="0"/>
  </r>
  <r>
    <s v="E11454"/>
    <x v="1"/>
    <x v="1"/>
    <s v="Male"/>
    <n v="32"/>
    <s v="26-35"/>
    <x v="1"/>
    <d v="2018-07-21T00:00:00"/>
    <n v="7.4"/>
    <x v="1"/>
    <n v="4700"/>
    <x v="1"/>
    <x v="1"/>
    <n v="3"/>
    <n v="29"/>
    <x v="1"/>
    <m/>
    <x v="2"/>
    <x v="2"/>
    <x v="2"/>
    <n v="1"/>
    <n v="1"/>
    <n v="0"/>
  </r>
  <r>
    <s v="E11455"/>
    <x v="5"/>
    <x v="0"/>
    <s v="Male"/>
    <n v="21"/>
    <s v="20-25"/>
    <x v="1"/>
    <d v="2025-11-20T00:00:00"/>
    <n v="0.1"/>
    <x v="3"/>
    <n v="4400"/>
    <x v="0"/>
    <x v="1"/>
    <n v="5"/>
    <n v="24"/>
    <x v="1"/>
    <m/>
    <x v="2"/>
    <x v="2"/>
    <x v="2"/>
    <n v="1"/>
    <n v="1"/>
    <n v="0"/>
  </r>
  <r>
    <s v="E11456"/>
    <x v="1"/>
    <x v="1"/>
    <s v="Male"/>
    <n v="30"/>
    <s v="26-35"/>
    <x v="2"/>
    <d v="2022-09-16T00:00:00"/>
    <n v="3.3"/>
    <x v="2"/>
    <n v="3550"/>
    <x v="0"/>
    <x v="2"/>
    <n v="3"/>
    <n v="17"/>
    <x v="1"/>
    <m/>
    <x v="2"/>
    <x v="2"/>
    <x v="2"/>
    <n v="1"/>
    <n v="1"/>
    <n v="0"/>
  </r>
  <r>
    <s v="E11457"/>
    <x v="0"/>
    <x v="1"/>
    <s v="Male"/>
    <n v="34"/>
    <s v="26-35"/>
    <x v="1"/>
    <d v="2020-02-16T00:00:00"/>
    <n v="5.9"/>
    <x v="1"/>
    <n v="3850"/>
    <x v="0"/>
    <x v="2"/>
    <n v="4"/>
    <n v="32"/>
    <x v="1"/>
    <m/>
    <x v="2"/>
    <x v="2"/>
    <x v="2"/>
    <n v="1"/>
    <n v="1"/>
    <n v="0"/>
  </r>
  <r>
    <s v="E11458"/>
    <x v="6"/>
    <x v="1"/>
    <s v="Female"/>
    <n v="33"/>
    <s v="26-35"/>
    <x v="1"/>
    <d v="2022-05-24T00:00:00"/>
    <n v="3.6"/>
    <x v="2"/>
    <n v="4850"/>
    <x v="0"/>
    <x v="1"/>
    <n v="4"/>
    <n v="44"/>
    <x v="1"/>
    <m/>
    <x v="2"/>
    <x v="2"/>
    <x v="2"/>
    <n v="1"/>
    <n v="1"/>
    <n v="0"/>
  </r>
  <r>
    <s v="E11459"/>
    <x v="1"/>
    <x v="0"/>
    <s v="Male"/>
    <n v="29"/>
    <s v="26-35"/>
    <x v="2"/>
    <d v="2023-01-16T00:00:00"/>
    <n v="2.7"/>
    <x v="0"/>
    <n v="3500"/>
    <x v="1"/>
    <x v="1"/>
    <n v="3"/>
    <n v="20"/>
    <x v="0"/>
    <d v="2025-10-16T00:00:00"/>
    <x v="1"/>
    <x v="11"/>
    <x v="6"/>
    <n v="1"/>
    <n v="0"/>
    <n v="1"/>
  </r>
  <r>
    <s v="E11460"/>
    <x v="3"/>
    <x v="1"/>
    <s v="Female"/>
    <n v="31"/>
    <s v="26-35"/>
    <x v="1"/>
    <d v="2020-03-19T00:00:00"/>
    <n v="5.8"/>
    <x v="1"/>
    <n v="8150"/>
    <x v="0"/>
    <x v="2"/>
    <n v="4"/>
    <n v="24"/>
    <x v="1"/>
    <m/>
    <x v="2"/>
    <x v="2"/>
    <x v="2"/>
    <n v="1"/>
    <n v="1"/>
    <n v="0"/>
  </r>
  <r>
    <s v="E11461"/>
    <x v="4"/>
    <x v="0"/>
    <s v="Male"/>
    <n v="25"/>
    <s v="20-25"/>
    <x v="1"/>
    <d v="2025-03-21T00:00:00"/>
    <n v="0.8"/>
    <x v="3"/>
    <n v="4450"/>
    <x v="1"/>
    <x v="1"/>
    <n v="4"/>
    <n v="35"/>
    <x v="1"/>
    <m/>
    <x v="2"/>
    <x v="2"/>
    <x v="2"/>
    <n v="1"/>
    <n v="1"/>
    <n v="0"/>
  </r>
  <r>
    <s v="E11462"/>
    <x v="5"/>
    <x v="0"/>
    <s v="Male"/>
    <n v="27"/>
    <s v="26-35"/>
    <x v="1"/>
    <d v="2023-10-05T00:00:00"/>
    <n v="2.2000000000000002"/>
    <x v="0"/>
    <n v="3900"/>
    <x v="1"/>
    <x v="1"/>
    <n v="4"/>
    <n v="27"/>
    <x v="1"/>
    <m/>
    <x v="2"/>
    <x v="2"/>
    <x v="2"/>
    <n v="1"/>
    <n v="1"/>
    <n v="0"/>
  </r>
  <r>
    <s v="E11463"/>
    <x v="3"/>
    <x v="1"/>
    <s v="Male"/>
    <n v="36"/>
    <s v="36-45"/>
    <x v="1"/>
    <d v="2020-12-15T00:00:00"/>
    <n v="5"/>
    <x v="2"/>
    <n v="8250"/>
    <x v="0"/>
    <x v="1"/>
    <n v="5"/>
    <n v="29"/>
    <x v="1"/>
    <m/>
    <x v="2"/>
    <x v="2"/>
    <x v="2"/>
    <n v="1"/>
    <n v="1"/>
    <n v="0"/>
  </r>
  <r>
    <s v="E11464"/>
    <x v="0"/>
    <x v="1"/>
    <s v="Male"/>
    <n v="38"/>
    <s v="36-45"/>
    <x v="1"/>
    <d v="2013-06-24T00:00:00"/>
    <n v="12.5"/>
    <x v="1"/>
    <n v="3650"/>
    <x v="0"/>
    <x v="1"/>
    <n v="5"/>
    <n v="24"/>
    <x v="1"/>
    <m/>
    <x v="2"/>
    <x v="2"/>
    <x v="2"/>
    <n v="1"/>
    <n v="1"/>
    <n v="0"/>
  </r>
  <r>
    <s v="E11465"/>
    <x v="3"/>
    <x v="1"/>
    <s v="Female"/>
    <n v="35"/>
    <s v="26-35"/>
    <x v="0"/>
    <d v="2016-11-16T00:00:00"/>
    <n v="9.1"/>
    <x v="1"/>
    <n v="8800"/>
    <x v="0"/>
    <x v="0"/>
    <n v="4"/>
    <n v="14"/>
    <x v="1"/>
    <m/>
    <x v="2"/>
    <x v="2"/>
    <x v="2"/>
    <n v="1"/>
    <n v="1"/>
    <n v="0"/>
  </r>
  <r>
    <s v="E11466"/>
    <x v="1"/>
    <x v="1"/>
    <s v="Female"/>
    <n v="34"/>
    <s v="26-35"/>
    <x v="2"/>
    <d v="2016-05-28T00:00:00"/>
    <n v="9.6"/>
    <x v="1"/>
    <n v="4000"/>
    <x v="0"/>
    <x v="4"/>
    <n v="3"/>
    <n v="15"/>
    <x v="1"/>
    <m/>
    <x v="2"/>
    <x v="2"/>
    <x v="2"/>
    <n v="1"/>
    <n v="1"/>
    <n v="0"/>
  </r>
  <r>
    <s v="E11467"/>
    <x v="2"/>
    <x v="0"/>
    <s v="Male"/>
    <n v="29"/>
    <s v="26-35"/>
    <x v="0"/>
    <d v="2022-12-12T00:00:00"/>
    <n v="3.1"/>
    <x v="2"/>
    <n v="5000"/>
    <x v="0"/>
    <x v="0"/>
    <n v="4"/>
    <n v="11"/>
    <x v="1"/>
    <m/>
    <x v="2"/>
    <x v="2"/>
    <x v="2"/>
    <n v="1"/>
    <n v="1"/>
    <n v="0"/>
  </r>
  <r>
    <s v="E11468"/>
    <x v="1"/>
    <x v="1"/>
    <s v="Male"/>
    <n v="37"/>
    <s v="36-45"/>
    <x v="1"/>
    <d v="2020-04-23T00:00:00"/>
    <n v="5.2"/>
    <x v="1"/>
    <n v="4450"/>
    <x v="1"/>
    <x v="1"/>
    <n v="4"/>
    <n v="29"/>
    <x v="0"/>
    <d v="2025-07-09T00:00:00"/>
    <x v="1"/>
    <x v="4"/>
    <x v="4"/>
    <n v="1"/>
    <n v="0"/>
    <n v="1"/>
  </r>
  <r>
    <s v="E11469"/>
    <x v="0"/>
    <x v="1"/>
    <s v="Male"/>
    <n v="39"/>
    <s v="36-45"/>
    <x v="1"/>
    <d v="2012-09-30T00:00:00"/>
    <n v="13.3"/>
    <x v="1"/>
    <n v="4050"/>
    <x v="1"/>
    <x v="1"/>
    <n v="3"/>
    <n v="25"/>
    <x v="1"/>
    <m/>
    <x v="2"/>
    <x v="2"/>
    <x v="2"/>
    <n v="1"/>
    <n v="1"/>
    <n v="0"/>
  </r>
  <r>
    <s v="E11470"/>
    <x v="1"/>
    <x v="0"/>
    <s v="Male"/>
    <n v="32"/>
    <s v="26-35"/>
    <x v="0"/>
    <d v="2018-08-25T00:00:00"/>
    <n v="7.4"/>
    <x v="1"/>
    <n v="3000"/>
    <x v="1"/>
    <x v="4"/>
    <n v="4"/>
    <n v="27"/>
    <x v="1"/>
    <m/>
    <x v="2"/>
    <x v="2"/>
    <x v="2"/>
    <n v="1"/>
    <n v="1"/>
    <n v="0"/>
  </r>
  <r>
    <s v="E11471"/>
    <x v="1"/>
    <x v="2"/>
    <s v="Female"/>
    <n v="45"/>
    <s v="36-45"/>
    <x v="1"/>
    <d v="2022-06-10T00:00:00"/>
    <n v="3.6"/>
    <x v="2"/>
    <n v="5100"/>
    <x v="0"/>
    <x v="0"/>
    <n v="2"/>
    <n v="10"/>
    <x v="1"/>
    <m/>
    <x v="2"/>
    <x v="2"/>
    <x v="2"/>
    <n v="1"/>
    <n v="1"/>
    <n v="0"/>
  </r>
  <r>
    <s v="E11472"/>
    <x v="3"/>
    <x v="0"/>
    <s v="Male"/>
    <n v="26"/>
    <s v="26-35"/>
    <x v="2"/>
    <d v="2022-08-20T00:00:00"/>
    <n v="2.2999999999999998"/>
    <x v="0"/>
    <n v="6000"/>
    <x v="0"/>
    <x v="4"/>
    <n v="3"/>
    <n v="33"/>
    <x v="0"/>
    <d v="2024-12-21T00:00:00"/>
    <x v="0"/>
    <x v="5"/>
    <x v="0"/>
    <n v="1"/>
    <n v="0"/>
    <n v="1"/>
  </r>
  <r>
    <s v="E11473"/>
    <x v="4"/>
    <x v="2"/>
    <s v="Female"/>
    <n v="36"/>
    <s v="36-45"/>
    <x v="1"/>
    <d v="2017-07-09T00:00:00"/>
    <n v="8.5"/>
    <x v="1"/>
    <n v="7550"/>
    <x v="1"/>
    <x v="4"/>
    <n v="3"/>
    <n v="35"/>
    <x v="1"/>
    <m/>
    <x v="2"/>
    <x v="2"/>
    <x v="2"/>
    <n v="1"/>
    <n v="1"/>
    <n v="0"/>
  </r>
  <r>
    <s v="E11474"/>
    <x v="0"/>
    <x v="2"/>
    <s v="Male"/>
    <n v="37"/>
    <s v="36-45"/>
    <x v="0"/>
    <d v="2016-10-13T00:00:00"/>
    <n v="9.1999999999999993"/>
    <x v="1"/>
    <n v="4250"/>
    <x v="0"/>
    <x v="1"/>
    <n v="3"/>
    <n v="19"/>
    <x v="1"/>
    <m/>
    <x v="2"/>
    <x v="2"/>
    <x v="2"/>
    <n v="1"/>
    <n v="1"/>
    <n v="0"/>
  </r>
  <r>
    <s v="E11475"/>
    <x v="0"/>
    <x v="2"/>
    <s v="Male"/>
    <n v="45"/>
    <s v="36-45"/>
    <x v="1"/>
    <d v="2021-09-19T00:00:00"/>
    <n v="4.3"/>
    <x v="2"/>
    <n v="5200"/>
    <x v="0"/>
    <x v="1"/>
    <n v="4"/>
    <n v="26"/>
    <x v="1"/>
    <m/>
    <x v="2"/>
    <x v="2"/>
    <x v="2"/>
    <n v="1"/>
    <n v="1"/>
    <n v="0"/>
  </r>
  <r>
    <s v="E11476"/>
    <x v="0"/>
    <x v="2"/>
    <s v="Male"/>
    <n v="37"/>
    <s v="36-45"/>
    <x v="1"/>
    <d v="2015-07-20T00:00:00"/>
    <n v="10.5"/>
    <x v="1"/>
    <n v="4250"/>
    <x v="1"/>
    <x v="0"/>
    <n v="4"/>
    <n v="23"/>
    <x v="1"/>
    <m/>
    <x v="2"/>
    <x v="2"/>
    <x v="2"/>
    <n v="1"/>
    <n v="1"/>
    <n v="0"/>
  </r>
  <r>
    <s v="E11477"/>
    <x v="2"/>
    <x v="0"/>
    <s v="Male"/>
    <n v="21"/>
    <s v="20-25"/>
    <x v="1"/>
    <d v="2025-11-15T00:00:00"/>
    <n v="0.1"/>
    <x v="3"/>
    <n v="6400"/>
    <x v="0"/>
    <x v="0"/>
    <n v="3"/>
    <n v="17"/>
    <x v="1"/>
    <m/>
    <x v="2"/>
    <x v="2"/>
    <x v="2"/>
    <n v="1"/>
    <n v="1"/>
    <n v="0"/>
  </r>
  <r>
    <s v="E11478"/>
    <x v="5"/>
    <x v="1"/>
    <s v="Female"/>
    <n v="22"/>
    <s v="20-25"/>
    <x v="0"/>
    <d v="2025-10-14T00:00:00"/>
    <n v="0.2"/>
    <x v="3"/>
    <n v="5850"/>
    <x v="0"/>
    <x v="0"/>
    <n v="3"/>
    <n v="31"/>
    <x v="1"/>
    <m/>
    <x v="2"/>
    <x v="2"/>
    <x v="2"/>
    <n v="1"/>
    <n v="1"/>
    <n v="0"/>
  </r>
  <r>
    <s v="E11479"/>
    <x v="5"/>
    <x v="0"/>
    <s v="Male"/>
    <n v="22"/>
    <s v="20-25"/>
    <x v="2"/>
    <d v="2025-10-18T00:00:00"/>
    <n v="0"/>
    <x v="3"/>
    <n v="3500"/>
    <x v="1"/>
    <x v="4"/>
    <n v="3"/>
    <n v="29"/>
    <x v="0"/>
    <d v="2025-11-01T00:00:00"/>
    <x v="1"/>
    <x v="10"/>
    <x v="0"/>
    <n v="1"/>
    <n v="0"/>
    <n v="1"/>
  </r>
  <r>
    <s v="E11480"/>
    <x v="6"/>
    <x v="0"/>
    <s v="Male"/>
    <n v="23"/>
    <s v="20-25"/>
    <x v="1"/>
    <d v="2025-02-23T00:00:00"/>
    <n v="0.9"/>
    <x v="3"/>
    <n v="3950"/>
    <x v="1"/>
    <x v="1"/>
    <n v="4"/>
    <n v="31"/>
    <x v="1"/>
    <m/>
    <x v="2"/>
    <x v="2"/>
    <x v="2"/>
    <n v="1"/>
    <n v="1"/>
    <n v="0"/>
  </r>
  <r>
    <s v="E11481"/>
    <x v="1"/>
    <x v="0"/>
    <s v="Male"/>
    <n v="25"/>
    <s v="20-25"/>
    <x v="0"/>
    <d v="2024-03-19T00:00:00"/>
    <n v="1.8"/>
    <x v="0"/>
    <n v="3200"/>
    <x v="1"/>
    <x v="0"/>
    <n v="4"/>
    <n v="35"/>
    <x v="1"/>
    <m/>
    <x v="2"/>
    <x v="2"/>
    <x v="2"/>
    <n v="1"/>
    <n v="1"/>
    <n v="0"/>
  </r>
  <r>
    <s v="E11482"/>
    <x v="3"/>
    <x v="1"/>
    <s v="Male"/>
    <n v="32"/>
    <s v="26-35"/>
    <x v="1"/>
    <d v="2024-08-25T00:00:00"/>
    <n v="1.3"/>
    <x v="0"/>
    <n v="7500"/>
    <x v="0"/>
    <x v="2"/>
    <n v="3"/>
    <n v="21"/>
    <x v="1"/>
    <m/>
    <x v="2"/>
    <x v="2"/>
    <x v="2"/>
    <n v="1"/>
    <n v="1"/>
    <n v="0"/>
  </r>
  <r>
    <s v="E11483"/>
    <x v="0"/>
    <x v="1"/>
    <s v="Female"/>
    <n v="36"/>
    <s v="36-45"/>
    <x v="1"/>
    <d v="2021-06-22T00:00:00"/>
    <n v="4.5"/>
    <x v="2"/>
    <n v="3350"/>
    <x v="0"/>
    <x v="0"/>
    <n v="3"/>
    <n v="0"/>
    <x v="1"/>
    <m/>
    <x v="2"/>
    <x v="2"/>
    <x v="2"/>
    <n v="1"/>
    <n v="1"/>
    <n v="0"/>
  </r>
  <r>
    <s v="E11484"/>
    <x v="3"/>
    <x v="2"/>
    <s v="Female"/>
    <n v="38"/>
    <s v="36-45"/>
    <x v="1"/>
    <d v="2018-05-31T00:00:00"/>
    <n v="7.6"/>
    <x v="1"/>
    <n v="12100"/>
    <x v="0"/>
    <x v="0"/>
    <n v="3"/>
    <n v="26"/>
    <x v="1"/>
    <m/>
    <x v="2"/>
    <x v="2"/>
    <x v="2"/>
    <n v="1"/>
    <n v="1"/>
    <n v="0"/>
  </r>
  <r>
    <s v="E11485"/>
    <x v="6"/>
    <x v="0"/>
    <s v="Male"/>
    <n v="21"/>
    <s v="20-25"/>
    <x v="1"/>
    <d v="2025-10-09T00:00:00"/>
    <n v="0.1"/>
    <x v="3"/>
    <n v="3100"/>
    <x v="1"/>
    <x v="1"/>
    <n v="3"/>
    <n v="37"/>
    <x v="0"/>
    <d v="2025-11-05T00:00:00"/>
    <x v="1"/>
    <x v="10"/>
    <x v="0"/>
    <n v="1"/>
    <n v="0"/>
    <n v="1"/>
  </r>
  <r>
    <s v="E11486"/>
    <x v="4"/>
    <x v="2"/>
    <s v="Male"/>
    <n v="43"/>
    <s v="36-45"/>
    <x v="1"/>
    <d v="2015-05-01T00:00:00"/>
    <n v="10.7"/>
    <x v="1"/>
    <n v="7050"/>
    <x v="0"/>
    <x v="0"/>
    <n v="5"/>
    <n v="49"/>
    <x v="1"/>
    <m/>
    <x v="2"/>
    <x v="2"/>
    <x v="2"/>
    <n v="1"/>
    <n v="1"/>
    <n v="0"/>
  </r>
  <r>
    <s v="E11487"/>
    <x v="2"/>
    <x v="2"/>
    <s v="Male"/>
    <n v="42"/>
    <s v="36-45"/>
    <x v="1"/>
    <d v="2020-10-03T00:00:00"/>
    <n v="5.2"/>
    <x v="1"/>
    <n v="9650"/>
    <x v="0"/>
    <x v="2"/>
    <n v="3"/>
    <n v="7"/>
    <x v="1"/>
    <m/>
    <x v="2"/>
    <x v="2"/>
    <x v="2"/>
    <n v="1"/>
    <n v="1"/>
    <n v="0"/>
  </r>
  <r>
    <s v="E11488"/>
    <x v="5"/>
    <x v="0"/>
    <s v="Female"/>
    <n v="21"/>
    <s v="20-25"/>
    <x v="1"/>
    <d v="2025-09-14T00:00:00"/>
    <n v="0.3"/>
    <x v="3"/>
    <n v="4650"/>
    <x v="0"/>
    <x v="0"/>
    <n v="4"/>
    <n v="17"/>
    <x v="1"/>
    <m/>
    <x v="2"/>
    <x v="2"/>
    <x v="2"/>
    <n v="1"/>
    <n v="1"/>
    <n v="0"/>
  </r>
  <r>
    <s v="E11489"/>
    <x v="1"/>
    <x v="0"/>
    <s v="Female"/>
    <n v="21"/>
    <s v="20-25"/>
    <x v="1"/>
    <d v="2025-11-07T00:00:00"/>
    <n v="0.1"/>
    <x v="3"/>
    <n v="3350"/>
    <x v="1"/>
    <x v="2"/>
    <n v="3"/>
    <n v="25"/>
    <x v="1"/>
    <m/>
    <x v="2"/>
    <x v="2"/>
    <x v="2"/>
    <n v="1"/>
    <n v="1"/>
    <n v="0"/>
  </r>
  <r>
    <s v="E11490"/>
    <x v="1"/>
    <x v="1"/>
    <s v="Male"/>
    <n v="21"/>
    <s v="20-25"/>
    <x v="1"/>
    <d v="2025-11-18T00:00:00"/>
    <n v="0"/>
    <x v="3"/>
    <n v="4800"/>
    <x v="1"/>
    <x v="0"/>
    <n v="4"/>
    <n v="7"/>
    <x v="0"/>
    <d v="2025-11-24T00:00:00"/>
    <x v="1"/>
    <x v="10"/>
    <x v="5"/>
    <n v="1"/>
    <n v="0"/>
    <n v="1"/>
  </r>
  <r>
    <s v="E11491"/>
    <x v="1"/>
    <x v="1"/>
    <s v="Female"/>
    <n v="35"/>
    <s v="26-35"/>
    <x v="0"/>
    <d v="2018-05-17T00:00:00"/>
    <n v="7.6"/>
    <x v="1"/>
    <n v="4600"/>
    <x v="1"/>
    <x v="0"/>
    <n v="3"/>
    <n v="28"/>
    <x v="1"/>
    <m/>
    <x v="2"/>
    <x v="2"/>
    <x v="2"/>
    <n v="1"/>
    <n v="1"/>
    <n v="0"/>
  </r>
  <r>
    <s v="E11492"/>
    <x v="4"/>
    <x v="1"/>
    <s v="Female"/>
    <n v="44"/>
    <s v="36-45"/>
    <x v="2"/>
    <d v="2017-06-29T00:00:00"/>
    <n v="8.5"/>
    <x v="1"/>
    <n v="5450"/>
    <x v="0"/>
    <x v="4"/>
    <n v="3"/>
    <n v="26"/>
    <x v="1"/>
    <m/>
    <x v="2"/>
    <x v="2"/>
    <x v="2"/>
    <n v="1"/>
    <n v="1"/>
    <n v="0"/>
  </r>
  <r>
    <s v="E11493"/>
    <x v="3"/>
    <x v="2"/>
    <s v="Male"/>
    <n v="29"/>
    <s v="26-35"/>
    <x v="1"/>
    <d v="2020-05-27T00:00:00"/>
    <n v="5"/>
    <x v="2"/>
    <n v="9850"/>
    <x v="1"/>
    <x v="1"/>
    <n v="3"/>
    <n v="21"/>
    <x v="0"/>
    <d v="2025-05-18T00:00:00"/>
    <x v="1"/>
    <x v="9"/>
    <x v="0"/>
    <n v="1"/>
    <n v="0"/>
    <n v="1"/>
  </r>
  <r>
    <s v="E11494"/>
    <x v="3"/>
    <x v="1"/>
    <s v="Male"/>
    <n v="32"/>
    <s v="26-35"/>
    <x v="0"/>
    <d v="2021-08-17T00:00:00"/>
    <n v="4.4000000000000004"/>
    <x v="2"/>
    <n v="7400"/>
    <x v="1"/>
    <x v="1"/>
    <n v="4"/>
    <n v="19"/>
    <x v="1"/>
    <m/>
    <x v="2"/>
    <x v="2"/>
    <x v="2"/>
    <n v="1"/>
    <n v="1"/>
    <n v="0"/>
  </r>
  <r>
    <s v="E11495"/>
    <x v="6"/>
    <x v="2"/>
    <s v="Female"/>
    <n v="34"/>
    <s v="26-35"/>
    <x v="0"/>
    <d v="2023-08-16T00:00:00"/>
    <n v="2.4"/>
    <x v="0"/>
    <n v="8300"/>
    <x v="0"/>
    <x v="1"/>
    <n v="2"/>
    <n v="16"/>
    <x v="1"/>
    <m/>
    <x v="2"/>
    <x v="2"/>
    <x v="2"/>
    <n v="1"/>
    <n v="1"/>
    <n v="0"/>
  </r>
  <r>
    <s v="E11496"/>
    <x v="1"/>
    <x v="0"/>
    <s v="Female"/>
    <n v="28"/>
    <s v="26-35"/>
    <x v="1"/>
    <d v="2020-06-02T00:00:00"/>
    <n v="5.5"/>
    <x v="1"/>
    <n v="2950"/>
    <x v="1"/>
    <x v="4"/>
    <n v="5"/>
    <n v="34"/>
    <x v="0"/>
    <d v="2025-11-18T00:00:00"/>
    <x v="1"/>
    <x v="10"/>
    <x v="0"/>
    <n v="1"/>
    <n v="0"/>
    <n v="1"/>
  </r>
  <r>
    <s v="E11497"/>
    <x v="3"/>
    <x v="1"/>
    <s v="Female"/>
    <n v="37"/>
    <s v="36-45"/>
    <x v="0"/>
    <d v="2014-06-14T00:00:00"/>
    <n v="11.5"/>
    <x v="1"/>
    <n v="6900"/>
    <x v="0"/>
    <x v="2"/>
    <n v="4"/>
    <n v="31"/>
    <x v="1"/>
    <m/>
    <x v="2"/>
    <x v="2"/>
    <x v="2"/>
    <n v="1"/>
    <n v="1"/>
    <n v="0"/>
  </r>
  <r>
    <s v="E11498"/>
    <x v="0"/>
    <x v="1"/>
    <s v="Male"/>
    <n v="27"/>
    <s v="26-35"/>
    <x v="2"/>
    <d v="2021-12-25T00:00:00"/>
    <n v="3.8"/>
    <x v="2"/>
    <n v="3250"/>
    <x v="1"/>
    <x v="4"/>
    <n v="3"/>
    <n v="29"/>
    <x v="0"/>
    <d v="2025-10-08T00:00:00"/>
    <x v="1"/>
    <x v="11"/>
    <x v="0"/>
    <n v="1"/>
    <n v="0"/>
    <n v="1"/>
  </r>
  <r>
    <s v="E11499"/>
    <x v="5"/>
    <x v="0"/>
    <s v="Male"/>
    <n v="27"/>
    <s v="26-35"/>
    <x v="0"/>
    <d v="2024-02-17T00:00:00"/>
    <n v="1.9"/>
    <x v="0"/>
    <n v="3250"/>
    <x v="0"/>
    <x v="4"/>
    <n v="4"/>
    <n v="33"/>
    <x v="1"/>
    <m/>
    <x v="2"/>
    <x v="2"/>
    <x v="2"/>
    <n v="1"/>
    <n v="1"/>
    <n v="0"/>
  </r>
  <r>
    <s v="E11500"/>
    <x v="5"/>
    <x v="1"/>
    <s v="Male"/>
    <n v="37"/>
    <s v="36-45"/>
    <x v="1"/>
    <d v="2017-01-27T00:00:00"/>
    <n v="8.1"/>
    <x v="1"/>
    <n v="4850"/>
    <x v="1"/>
    <x v="4"/>
    <n v="3"/>
    <n v="3"/>
    <x v="0"/>
    <d v="2025-03-03T00:00:00"/>
    <x v="1"/>
    <x v="3"/>
    <x v="1"/>
    <n v="1"/>
    <n v="0"/>
    <n v="1"/>
  </r>
  <r>
    <s v="E11501"/>
    <x v="0"/>
    <x v="0"/>
    <s v="Female"/>
    <n v="23"/>
    <s v="20-25"/>
    <x v="1"/>
    <d v="2025-08-08T00:00:00"/>
    <n v="0.3"/>
    <x v="3"/>
    <n v="2300"/>
    <x v="0"/>
    <x v="4"/>
    <n v="3"/>
    <n v="6"/>
    <x v="0"/>
    <d v="2025-12-05T00:00:00"/>
    <x v="1"/>
    <x v="5"/>
    <x v="0"/>
    <n v="1"/>
    <n v="0"/>
    <n v="1"/>
  </r>
  <r>
    <s v="E11502"/>
    <x v="0"/>
    <x v="1"/>
    <s v="Male"/>
    <n v="39"/>
    <s v="36-45"/>
    <x v="0"/>
    <d v="2023-02-26T00:00:00"/>
    <n v="2.8"/>
    <x v="0"/>
    <n v="4250"/>
    <x v="1"/>
    <x v="1"/>
    <n v="3"/>
    <n v="7"/>
    <x v="1"/>
    <m/>
    <x v="2"/>
    <x v="2"/>
    <x v="2"/>
    <n v="1"/>
    <n v="1"/>
    <n v="0"/>
  </r>
  <r>
    <s v="E11503"/>
    <x v="2"/>
    <x v="1"/>
    <s v="Female"/>
    <n v="35"/>
    <s v="26-35"/>
    <x v="0"/>
    <d v="2017-10-21T00:00:00"/>
    <n v="8.1999999999999993"/>
    <x v="1"/>
    <n v="5700"/>
    <x v="1"/>
    <x v="4"/>
    <n v="5"/>
    <n v="34"/>
    <x v="1"/>
    <m/>
    <x v="2"/>
    <x v="2"/>
    <x v="2"/>
    <n v="1"/>
    <n v="1"/>
    <n v="0"/>
  </r>
  <r>
    <s v="E11504"/>
    <x v="2"/>
    <x v="0"/>
    <s v="Male"/>
    <n v="31"/>
    <s v="26-35"/>
    <x v="1"/>
    <d v="2020-11-21T00:00:00"/>
    <n v="5.0999999999999996"/>
    <x v="1"/>
    <n v="4550"/>
    <x v="0"/>
    <x v="1"/>
    <n v="3"/>
    <n v="15"/>
    <x v="1"/>
    <m/>
    <x v="2"/>
    <x v="2"/>
    <x v="2"/>
    <n v="1"/>
    <n v="1"/>
    <n v="0"/>
  </r>
  <r>
    <s v="E11505"/>
    <x v="3"/>
    <x v="0"/>
    <s v="Male"/>
    <n v="24"/>
    <s v="20-25"/>
    <x v="1"/>
    <d v="2025-08-16T00:00:00"/>
    <n v="0.2"/>
    <x v="3"/>
    <n v="5900"/>
    <x v="0"/>
    <x v="4"/>
    <n v="3"/>
    <n v="9"/>
    <x v="0"/>
    <d v="2025-10-20T00:00:00"/>
    <x v="1"/>
    <x v="11"/>
    <x v="0"/>
    <n v="1"/>
    <n v="0"/>
    <n v="1"/>
  </r>
  <r>
    <s v="E11506"/>
    <x v="6"/>
    <x v="1"/>
    <s v="Female"/>
    <n v="30"/>
    <s v="26-35"/>
    <x v="1"/>
    <d v="2022-08-14T00:00:00"/>
    <n v="3.4"/>
    <x v="2"/>
    <n v="5400"/>
    <x v="0"/>
    <x v="4"/>
    <n v="3"/>
    <n v="27"/>
    <x v="1"/>
    <m/>
    <x v="2"/>
    <x v="2"/>
    <x v="2"/>
    <n v="1"/>
    <n v="1"/>
    <n v="0"/>
  </r>
  <r>
    <s v="E11507"/>
    <x v="5"/>
    <x v="2"/>
    <s v="Male"/>
    <n v="32"/>
    <s v="26-35"/>
    <x v="0"/>
    <d v="2021-03-04T00:00:00"/>
    <n v="4.8"/>
    <x v="2"/>
    <n v="8050"/>
    <x v="1"/>
    <x v="1"/>
    <n v="5"/>
    <n v="25"/>
    <x v="1"/>
    <m/>
    <x v="2"/>
    <x v="2"/>
    <x v="2"/>
    <n v="1"/>
    <n v="1"/>
    <n v="0"/>
  </r>
  <r>
    <s v="E11508"/>
    <x v="5"/>
    <x v="0"/>
    <s v="Female"/>
    <n v="28"/>
    <s v="26-35"/>
    <x v="0"/>
    <d v="2021-02-03T00:00:00"/>
    <n v="4.7"/>
    <x v="2"/>
    <n v="3650"/>
    <x v="0"/>
    <x v="4"/>
    <n v="3"/>
    <n v="19"/>
    <x v="0"/>
    <d v="2025-09-30T00:00:00"/>
    <x v="1"/>
    <x v="12"/>
    <x v="0"/>
    <n v="1"/>
    <n v="0"/>
    <n v="1"/>
  </r>
  <r>
    <s v="E11509"/>
    <x v="3"/>
    <x v="2"/>
    <s v="Female"/>
    <n v="40"/>
    <s v="36-45"/>
    <x v="0"/>
    <d v="2015-06-04T00:00:00"/>
    <n v="10.6"/>
    <x v="1"/>
    <n v="9750"/>
    <x v="0"/>
    <x v="4"/>
    <n v="4"/>
    <n v="30"/>
    <x v="1"/>
    <m/>
    <x v="2"/>
    <x v="2"/>
    <x v="2"/>
    <n v="1"/>
    <n v="1"/>
    <n v="0"/>
  </r>
  <r>
    <s v="E11510"/>
    <x v="3"/>
    <x v="3"/>
    <s v="Female"/>
    <n v="40"/>
    <s v="36-45"/>
    <x v="0"/>
    <d v="2016-07-23T00:00:00"/>
    <n v="9.4"/>
    <x v="1"/>
    <n v="15450"/>
    <x v="0"/>
    <x v="0"/>
    <n v="4"/>
    <n v="29"/>
    <x v="1"/>
    <m/>
    <x v="2"/>
    <x v="2"/>
    <x v="2"/>
    <n v="1"/>
    <n v="1"/>
    <n v="0"/>
  </r>
  <r>
    <s v="E11511"/>
    <x v="3"/>
    <x v="0"/>
    <s v="Female"/>
    <n v="34"/>
    <s v="26-35"/>
    <x v="1"/>
    <d v="2016-05-22T00:00:00"/>
    <n v="9.6"/>
    <x v="1"/>
    <n v="6500"/>
    <x v="0"/>
    <x v="4"/>
    <n v="2"/>
    <n v="17"/>
    <x v="1"/>
    <m/>
    <x v="2"/>
    <x v="2"/>
    <x v="2"/>
    <n v="1"/>
    <n v="1"/>
    <n v="0"/>
  </r>
  <r>
    <s v="E11512"/>
    <x v="5"/>
    <x v="1"/>
    <s v="Male"/>
    <n v="34"/>
    <s v="26-35"/>
    <x v="1"/>
    <d v="2021-11-24T00:00:00"/>
    <n v="3.8"/>
    <x v="2"/>
    <n v="4700"/>
    <x v="0"/>
    <x v="1"/>
    <n v="2"/>
    <n v="7"/>
    <x v="0"/>
    <d v="2025-09-22T00:00:00"/>
    <x v="1"/>
    <x v="12"/>
    <x v="5"/>
    <n v="1"/>
    <n v="0"/>
    <n v="1"/>
  </r>
  <r>
    <s v="E11513"/>
    <x v="5"/>
    <x v="1"/>
    <s v="Male"/>
    <n v="28"/>
    <s v="26-35"/>
    <x v="1"/>
    <d v="2022-02-21T00:00:00"/>
    <n v="3.9"/>
    <x v="2"/>
    <n v="5350"/>
    <x v="1"/>
    <x v="1"/>
    <n v="4"/>
    <n v="13"/>
    <x v="1"/>
    <m/>
    <x v="2"/>
    <x v="2"/>
    <x v="2"/>
    <n v="1"/>
    <n v="1"/>
    <n v="0"/>
  </r>
  <r>
    <s v="E11514"/>
    <x v="6"/>
    <x v="0"/>
    <s v="Male"/>
    <n v="30"/>
    <s v="26-35"/>
    <x v="1"/>
    <d v="2024-04-21T00:00:00"/>
    <n v="1.7"/>
    <x v="0"/>
    <n v="3600"/>
    <x v="1"/>
    <x v="4"/>
    <n v="3"/>
    <n v="47"/>
    <x v="0"/>
    <d v="2025-12-16T00:00:00"/>
    <x v="1"/>
    <x v="5"/>
    <x v="0"/>
    <n v="1"/>
    <n v="0"/>
    <n v="1"/>
  </r>
  <r>
    <s v="E11515"/>
    <x v="0"/>
    <x v="1"/>
    <s v="Male"/>
    <n v="28"/>
    <s v="26-35"/>
    <x v="1"/>
    <d v="2022-03-12T00:00:00"/>
    <n v="3.8"/>
    <x v="2"/>
    <n v="3800"/>
    <x v="0"/>
    <x v="0"/>
    <n v="2"/>
    <n v="17"/>
    <x v="1"/>
    <m/>
    <x v="2"/>
    <x v="2"/>
    <x v="2"/>
    <n v="1"/>
    <n v="1"/>
    <n v="0"/>
  </r>
  <r>
    <s v="E11516"/>
    <x v="1"/>
    <x v="1"/>
    <s v="Male"/>
    <n v="31"/>
    <s v="26-35"/>
    <x v="1"/>
    <d v="2018-09-04T00:00:00"/>
    <n v="7.3"/>
    <x v="1"/>
    <n v="5700"/>
    <x v="0"/>
    <x v="0"/>
    <n v="3"/>
    <n v="30"/>
    <x v="1"/>
    <m/>
    <x v="2"/>
    <x v="2"/>
    <x v="2"/>
    <n v="1"/>
    <n v="1"/>
    <n v="0"/>
  </r>
  <r>
    <s v="E11517"/>
    <x v="2"/>
    <x v="2"/>
    <s v="Male"/>
    <n v="38"/>
    <s v="36-45"/>
    <x v="1"/>
    <d v="2020-07-05T00:00:00"/>
    <n v="5.5"/>
    <x v="1"/>
    <n v="10200"/>
    <x v="0"/>
    <x v="1"/>
    <n v="3"/>
    <n v="29"/>
    <x v="1"/>
    <m/>
    <x v="2"/>
    <x v="2"/>
    <x v="2"/>
    <n v="1"/>
    <n v="1"/>
    <n v="0"/>
  </r>
  <r>
    <s v="E11518"/>
    <x v="2"/>
    <x v="1"/>
    <s v="Male"/>
    <n v="29"/>
    <s v="26-35"/>
    <x v="0"/>
    <d v="2022-03-04T00:00:00"/>
    <n v="3.8"/>
    <x v="2"/>
    <n v="7050"/>
    <x v="0"/>
    <x v="1"/>
    <n v="4"/>
    <n v="16"/>
    <x v="1"/>
    <m/>
    <x v="2"/>
    <x v="2"/>
    <x v="2"/>
    <n v="1"/>
    <n v="1"/>
    <n v="0"/>
  </r>
  <r>
    <s v="E11519"/>
    <x v="0"/>
    <x v="0"/>
    <s v="Male"/>
    <n v="30"/>
    <s v="26-35"/>
    <x v="1"/>
    <d v="2021-07-19T00:00:00"/>
    <n v="4.5"/>
    <x v="2"/>
    <n v="2950"/>
    <x v="0"/>
    <x v="4"/>
    <n v="3"/>
    <n v="29"/>
    <x v="1"/>
    <m/>
    <x v="2"/>
    <x v="2"/>
    <x v="2"/>
    <n v="1"/>
    <n v="1"/>
    <n v="0"/>
  </r>
  <r>
    <s v="E11520"/>
    <x v="3"/>
    <x v="0"/>
    <s v="Male"/>
    <n v="29"/>
    <s v="26-35"/>
    <x v="1"/>
    <d v="2021-08-22T00:00:00"/>
    <n v="4.4000000000000004"/>
    <x v="2"/>
    <n v="5500"/>
    <x v="0"/>
    <x v="1"/>
    <n v="3"/>
    <n v="16"/>
    <x v="1"/>
    <m/>
    <x v="2"/>
    <x v="2"/>
    <x v="2"/>
    <n v="1"/>
    <n v="1"/>
    <n v="0"/>
  </r>
  <r>
    <s v="E11521"/>
    <x v="1"/>
    <x v="1"/>
    <s v="Female"/>
    <n v="26"/>
    <s v="26-35"/>
    <x v="0"/>
    <d v="2024-05-31T00:00:00"/>
    <n v="1.6"/>
    <x v="0"/>
    <n v="3600"/>
    <x v="0"/>
    <x v="1"/>
    <n v="3"/>
    <n v="44"/>
    <x v="1"/>
    <m/>
    <x v="2"/>
    <x v="2"/>
    <x v="2"/>
    <n v="1"/>
    <n v="1"/>
    <n v="0"/>
  </r>
  <r>
    <s v="E11522"/>
    <x v="0"/>
    <x v="2"/>
    <s v="Female"/>
    <n v="38"/>
    <s v="36-45"/>
    <x v="1"/>
    <d v="2020-07-07T00:00:00"/>
    <n v="5.5"/>
    <x v="1"/>
    <n v="5650"/>
    <x v="0"/>
    <x v="0"/>
    <n v="3"/>
    <n v="16"/>
    <x v="1"/>
    <m/>
    <x v="2"/>
    <x v="2"/>
    <x v="2"/>
    <n v="1"/>
    <n v="1"/>
    <n v="0"/>
  </r>
  <r>
    <s v="E11523"/>
    <x v="1"/>
    <x v="0"/>
    <s v="Male"/>
    <n v="21"/>
    <s v="20-25"/>
    <x v="1"/>
    <d v="2025-09-19T00:00:00"/>
    <n v="0.3"/>
    <x v="3"/>
    <n v="3400"/>
    <x v="0"/>
    <x v="1"/>
    <n v="3"/>
    <n v="36"/>
    <x v="1"/>
    <m/>
    <x v="2"/>
    <x v="2"/>
    <x v="2"/>
    <n v="1"/>
    <n v="1"/>
    <n v="0"/>
  </r>
  <r>
    <s v="E11524"/>
    <x v="3"/>
    <x v="0"/>
    <s v="Male"/>
    <n v="25"/>
    <s v="20-25"/>
    <x v="1"/>
    <d v="2024-02-15T00:00:00"/>
    <n v="1.9"/>
    <x v="0"/>
    <n v="6800"/>
    <x v="0"/>
    <x v="0"/>
    <n v="3"/>
    <n v="0"/>
    <x v="1"/>
    <m/>
    <x v="2"/>
    <x v="2"/>
    <x v="2"/>
    <n v="1"/>
    <n v="1"/>
    <n v="0"/>
  </r>
  <r>
    <s v="E11525"/>
    <x v="0"/>
    <x v="2"/>
    <s v="Male"/>
    <n v="42"/>
    <s v="36-45"/>
    <x v="1"/>
    <d v="2021-03-24T00:00:00"/>
    <n v="4.8"/>
    <x v="2"/>
    <n v="5550"/>
    <x v="0"/>
    <x v="2"/>
    <n v="3"/>
    <n v="38"/>
    <x v="1"/>
    <m/>
    <x v="2"/>
    <x v="2"/>
    <x v="2"/>
    <n v="1"/>
    <n v="1"/>
    <n v="0"/>
  </r>
  <r>
    <s v="E11526"/>
    <x v="3"/>
    <x v="1"/>
    <s v="Male"/>
    <n v="38"/>
    <s v="36-45"/>
    <x v="1"/>
    <d v="2016-08-24T00:00:00"/>
    <n v="9.4"/>
    <x v="1"/>
    <n v="9200"/>
    <x v="0"/>
    <x v="3"/>
    <n v="3"/>
    <n v="39"/>
    <x v="1"/>
    <m/>
    <x v="2"/>
    <x v="2"/>
    <x v="2"/>
    <n v="1"/>
    <n v="1"/>
    <n v="0"/>
  </r>
  <r>
    <s v="E11527"/>
    <x v="5"/>
    <x v="1"/>
    <s v="Male"/>
    <n v="34"/>
    <s v="26-35"/>
    <x v="0"/>
    <d v="2019-01-20T00:00:00"/>
    <n v="6.9"/>
    <x v="1"/>
    <n v="5600"/>
    <x v="0"/>
    <x v="2"/>
    <n v="3"/>
    <n v="30"/>
    <x v="1"/>
    <m/>
    <x v="2"/>
    <x v="2"/>
    <x v="2"/>
    <n v="1"/>
    <n v="1"/>
    <n v="0"/>
  </r>
  <r>
    <s v="E11528"/>
    <x v="0"/>
    <x v="0"/>
    <s v="Male"/>
    <n v="22"/>
    <s v="20-25"/>
    <x v="1"/>
    <d v="2025-07-05T00:00:00"/>
    <n v="0"/>
    <x v="3"/>
    <n v="2700"/>
    <x v="0"/>
    <x v="1"/>
    <n v="4"/>
    <n v="28"/>
    <x v="0"/>
    <d v="2025-07-20T00:00:00"/>
    <x v="1"/>
    <x v="4"/>
    <x v="1"/>
    <n v="1"/>
    <n v="0"/>
    <n v="1"/>
  </r>
  <r>
    <s v="E11529"/>
    <x v="0"/>
    <x v="3"/>
    <s v="Male"/>
    <n v="38"/>
    <s v="36-45"/>
    <x v="0"/>
    <d v="2012-10-03T00:00:00"/>
    <n v="13.2"/>
    <x v="1"/>
    <n v="7150"/>
    <x v="0"/>
    <x v="0"/>
    <n v="4"/>
    <n v="21"/>
    <x v="1"/>
    <m/>
    <x v="2"/>
    <x v="2"/>
    <x v="2"/>
    <n v="1"/>
    <n v="1"/>
    <n v="0"/>
  </r>
  <r>
    <s v="E11530"/>
    <x v="5"/>
    <x v="0"/>
    <s v="Male"/>
    <n v="25"/>
    <s v="20-25"/>
    <x v="0"/>
    <d v="2023-08-24T00:00:00"/>
    <n v="2.4"/>
    <x v="0"/>
    <n v="4500"/>
    <x v="1"/>
    <x v="0"/>
    <n v="4"/>
    <n v="20"/>
    <x v="1"/>
    <m/>
    <x v="2"/>
    <x v="2"/>
    <x v="2"/>
    <n v="1"/>
    <n v="1"/>
    <n v="0"/>
  </r>
  <r>
    <s v="E11531"/>
    <x v="5"/>
    <x v="1"/>
    <s v="Male"/>
    <n v="33"/>
    <s v="26-35"/>
    <x v="0"/>
    <d v="2018-07-03T00:00:00"/>
    <n v="7.5"/>
    <x v="1"/>
    <n v="5500"/>
    <x v="1"/>
    <x v="1"/>
    <n v="4"/>
    <n v="19"/>
    <x v="1"/>
    <m/>
    <x v="2"/>
    <x v="2"/>
    <x v="2"/>
    <n v="1"/>
    <n v="1"/>
    <n v="0"/>
  </r>
  <r>
    <s v="E11532"/>
    <x v="5"/>
    <x v="2"/>
    <s v="Male"/>
    <n v="41"/>
    <s v="36-45"/>
    <x v="1"/>
    <d v="2013-04-04T00:00:00"/>
    <n v="12.7"/>
    <x v="1"/>
    <n v="7500"/>
    <x v="0"/>
    <x v="0"/>
    <n v="4"/>
    <n v="32"/>
    <x v="1"/>
    <m/>
    <x v="2"/>
    <x v="2"/>
    <x v="2"/>
    <n v="1"/>
    <n v="1"/>
    <n v="0"/>
  </r>
  <r>
    <s v="E11533"/>
    <x v="6"/>
    <x v="1"/>
    <s v="Male"/>
    <n v="26"/>
    <s v="26-35"/>
    <x v="0"/>
    <d v="2025-03-02T00:00:00"/>
    <n v="0.8"/>
    <x v="3"/>
    <n v="5100"/>
    <x v="0"/>
    <x v="0"/>
    <n v="4"/>
    <n v="31"/>
    <x v="1"/>
    <m/>
    <x v="2"/>
    <x v="2"/>
    <x v="2"/>
    <n v="1"/>
    <n v="1"/>
    <n v="0"/>
  </r>
  <r>
    <s v="E11534"/>
    <x v="0"/>
    <x v="1"/>
    <s v="Female"/>
    <n v="34"/>
    <s v="26-35"/>
    <x v="1"/>
    <d v="2021-06-11T00:00:00"/>
    <n v="4.5999999999999996"/>
    <x v="2"/>
    <n v="3150"/>
    <x v="1"/>
    <x v="4"/>
    <n v="3"/>
    <n v="40"/>
    <x v="1"/>
    <m/>
    <x v="2"/>
    <x v="2"/>
    <x v="2"/>
    <n v="1"/>
    <n v="1"/>
    <n v="0"/>
  </r>
  <r>
    <s v="E11535"/>
    <x v="1"/>
    <x v="1"/>
    <s v="Male"/>
    <n v="32"/>
    <s v="26-35"/>
    <x v="1"/>
    <d v="2024-01-29T00:00:00"/>
    <n v="1.9"/>
    <x v="0"/>
    <n v="3950"/>
    <x v="1"/>
    <x v="1"/>
    <n v="2"/>
    <n v="5"/>
    <x v="1"/>
    <m/>
    <x v="2"/>
    <x v="2"/>
    <x v="2"/>
    <n v="1"/>
    <n v="1"/>
    <n v="0"/>
  </r>
  <r>
    <s v="E11536"/>
    <x v="5"/>
    <x v="0"/>
    <s v="Female"/>
    <n v="21"/>
    <s v="20-25"/>
    <x v="0"/>
    <d v="2025-11-04T00:00:00"/>
    <n v="0.2"/>
    <x v="3"/>
    <n v="4150"/>
    <x v="0"/>
    <x v="1"/>
    <n v="4"/>
    <n v="48"/>
    <x v="1"/>
    <m/>
    <x v="2"/>
    <x v="2"/>
    <x v="2"/>
    <n v="1"/>
    <n v="1"/>
    <n v="0"/>
  </r>
  <r>
    <s v="E11537"/>
    <x v="0"/>
    <x v="0"/>
    <s v="Male"/>
    <n v="38"/>
    <s v="36-45"/>
    <x v="1"/>
    <d v="2013-09-05T00:00:00"/>
    <n v="10.7"/>
    <x v="1"/>
    <n v="2800"/>
    <x v="0"/>
    <x v="0"/>
    <n v="4"/>
    <n v="25"/>
    <x v="0"/>
    <d v="2024-05-19T00:00:00"/>
    <x v="0"/>
    <x v="9"/>
    <x v="5"/>
    <n v="1"/>
    <n v="0"/>
    <n v="1"/>
  </r>
  <r>
    <s v="E11538"/>
    <x v="2"/>
    <x v="1"/>
    <s v="Male"/>
    <n v="28"/>
    <s v="26-35"/>
    <x v="2"/>
    <d v="2021-11-25T00:00:00"/>
    <n v="4.0999999999999996"/>
    <x v="2"/>
    <n v="6350"/>
    <x v="0"/>
    <x v="4"/>
    <n v="4"/>
    <n v="23"/>
    <x v="1"/>
    <m/>
    <x v="2"/>
    <x v="2"/>
    <x v="2"/>
    <n v="1"/>
    <n v="1"/>
    <n v="0"/>
  </r>
  <r>
    <s v="E11539"/>
    <x v="1"/>
    <x v="1"/>
    <s v="Female"/>
    <n v="36"/>
    <s v="36-45"/>
    <x v="1"/>
    <d v="2015-01-01T00:00:00"/>
    <n v="11"/>
    <x v="1"/>
    <n v="5200"/>
    <x v="0"/>
    <x v="0"/>
    <n v="2"/>
    <n v="32"/>
    <x v="1"/>
    <m/>
    <x v="2"/>
    <x v="2"/>
    <x v="2"/>
    <n v="1"/>
    <n v="1"/>
    <n v="0"/>
  </r>
  <r>
    <s v="E11540"/>
    <x v="5"/>
    <x v="2"/>
    <s v="Male"/>
    <n v="41"/>
    <s v="36-45"/>
    <x v="0"/>
    <d v="2020-12-31T00:00:00"/>
    <n v="5"/>
    <x v="2"/>
    <n v="6000"/>
    <x v="0"/>
    <x v="4"/>
    <n v="4"/>
    <n v="20"/>
    <x v="1"/>
    <m/>
    <x v="2"/>
    <x v="2"/>
    <x v="2"/>
    <n v="1"/>
    <n v="1"/>
    <n v="0"/>
  </r>
  <r>
    <s v="E11541"/>
    <x v="0"/>
    <x v="0"/>
    <s v="Male"/>
    <n v="30"/>
    <s v="26-35"/>
    <x v="0"/>
    <d v="2022-12-07T00:00:00"/>
    <n v="2.4"/>
    <x v="0"/>
    <n v="3100"/>
    <x v="1"/>
    <x v="4"/>
    <n v="3"/>
    <n v="17"/>
    <x v="0"/>
    <d v="2025-04-26T00:00:00"/>
    <x v="1"/>
    <x v="8"/>
    <x v="1"/>
    <n v="1"/>
    <n v="0"/>
    <n v="1"/>
  </r>
  <r>
    <s v="E11542"/>
    <x v="3"/>
    <x v="0"/>
    <s v="Male"/>
    <n v="21"/>
    <s v="20-25"/>
    <x v="0"/>
    <d v="2025-09-20T00:00:00"/>
    <n v="0.3"/>
    <x v="3"/>
    <n v="7800"/>
    <x v="0"/>
    <x v="2"/>
    <n v="3"/>
    <n v="38"/>
    <x v="1"/>
    <m/>
    <x v="2"/>
    <x v="2"/>
    <x v="2"/>
    <n v="1"/>
    <n v="1"/>
    <n v="0"/>
  </r>
  <r>
    <s v="E11543"/>
    <x v="3"/>
    <x v="0"/>
    <s v="Female"/>
    <n v="30"/>
    <s v="26-35"/>
    <x v="1"/>
    <d v="2019-04-17T00:00:00"/>
    <n v="6.7"/>
    <x v="1"/>
    <n v="5750"/>
    <x v="1"/>
    <x v="1"/>
    <n v="3"/>
    <n v="42"/>
    <x v="1"/>
    <m/>
    <x v="2"/>
    <x v="2"/>
    <x v="2"/>
    <n v="1"/>
    <n v="1"/>
    <n v="0"/>
  </r>
  <r>
    <s v="E11544"/>
    <x v="6"/>
    <x v="0"/>
    <s v="Female"/>
    <n v="21"/>
    <s v="20-25"/>
    <x v="1"/>
    <d v="2025-12-03T00:00:00"/>
    <n v="0.1"/>
    <x v="3"/>
    <n v="3850"/>
    <x v="0"/>
    <x v="1"/>
    <n v="4"/>
    <n v="9"/>
    <x v="1"/>
    <m/>
    <x v="2"/>
    <x v="2"/>
    <x v="2"/>
    <n v="1"/>
    <n v="1"/>
    <n v="0"/>
  </r>
  <r>
    <s v="E11545"/>
    <x v="3"/>
    <x v="1"/>
    <s v="Female"/>
    <n v="32"/>
    <s v="26-35"/>
    <x v="0"/>
    <d v="2021-03-22T00:00:00"/>
    <n v="4.8"/>
    <x v="2"/>
    <n v="8000"/>
    <x v="0"/>
    <x v="0"/>
    <n v="3"/>
    <n v="27"/>
    <x v="1"/>
    <m/>
    <x v="2"/>
    <x v="2"/>
    <x v="2"/>
    <n v="1"/>
    <n v="1"/>
    <n v="0"/>
  </r>
  <r>
    <s v="E11546"/>
    <x v="1"/>
    <x v="0"/>
    <s v="Male"/>
    <n v="24"/>
    <s v="20-25"/>
    <x v="1"/>
    <d v="2024-02-03T00:00:00"/>
    <n v="1.9"/>
    <x v="0"/>
    <n v="4300"/>
    <x v="0"/>
    <x v="1"/>
    <n v="4"/>
    <n v="23"/>
    <x v="1"/>
    <m/>
    <x v="2"/>
    <x v="2"/>
    <x v="2"/>
    <n v="1"/>
    <n v="1"/>
    <n v="0"/>
  </r>
  <r>
    <s v="E11547"/>
    <x v="0"/>
    <x v="0"/>
    <s v="Male"/>
    <n v="25"/>
    <s v="20-25"/>
    <x v="1"/>
    <d v="2024-07-25T00:00:00"/>
    <n v="1.4"/>
    <x v="0"/>
    <n v="2500"/>
    <x v="0"/>
    <x v="0"/>
    <n v="4"/>
    <n v="37"/>
    <x v="0"/>
    <d v="2025-12-14T00:00:00"/>
    <x v="1"/>
    <x v="5"/>
    <x v="0"/>
    <n v="1"/>
    <n v="0"/>
    <n v="1"/>
  </r>
  <r>
    <s v="E11548"/>
    <x v="3"/>
    <x v="1"/>
    <s v="Female"/>
    <n v="22"/>
    <s v="20-25"/>
    <x v="1"/>
    <d v="2025-03-21T00:00:00"/>
    <n v="0.8"/>
    <x v="3"/>
    <n v="8050"/>
    <x v="0"/>
    <x v="2"/>
    <n v="4"/>
    <n v="13"/>
    <x v="1"/>
    <m/>
    <x v="2"/>
    <x v="2"/>
    <x v="2"/>
    <n v="1"/>
    <n v="1"/>
    <n v="0"/>
  </r>
  <r>
    <s v="E11549"/>
    <x v="6"/>
    <x v="0"/>
    <s v="Male"/>
    <n v="24"/>
    <s v="20-25"/>
    <x v="1"/>
    <d v="2025-04-13T00:00:00"/>
    <n v="0.7"/>
    <x v="3"/>
    <n v="3000"/>
    <x v="0"/>
    <x v="0"/>
    <n v="3"/>
    <n v="34"/>
    <x v="1"/>
    <m/>
    <x v="2"/>
    <x v="2"/>
    <x v="2"/>
    <n v="1"/>
    <n v="1"/>
    <n v="0"/>
  </r>
  <r>
    <s v="E11550"/>
    <x v="5"/>
    <x v="1"/>
    <s v="Male"/>
    <n v="30"/>
    <s v="26-35"/>
    <x v="1"/>
    <d v="2023-02-28T00:00:00"/>
    <n v="2.8"/>
    <x v="0"/>
    <n v="5850"/>
    <x v="1"/>
    <x v="3"/>
    <n v="4"/>
    <n v="35"/>
    <x v="1"/>
    <m/>
    <x v="2"/>
    <x v="2"/>
    <x v="2"/>
    <n v="1"/>
    <n v="1"/>
    <n v="0"/>
  </r>
  <r>
    <s v="E11551"/>
    <x v="5"/>
    <x v="0"/>
    <s v="Male"/>
    <n v="31"/>
    <s v="26-35"/>
    <x v="2"/>
    <d v="2020-12-07T00:00:00"/>
    <n v="5.0999999999999996"/>
    <x v="1"/>
    <n v="4300"/>
    <x v="1"/>
    <x v="1"/>
    <n v="4"/>
    <n v="30"/>
    <x v="1"/>
    <m/>
    <x v="2"/>
    <x v="2"/>
    <x v="2"/>
    <n v="1"/>
    <n v="1"/>
    <n v="0"/>
  </r>
  <r>
    <s v="E11552"/>
    <x v="0"/>
    <x v="0"/>
    <s v="Female"/>
    <n v="26"/>
    <s v="26-35"/>
    <x v="1"/>
    <d v="2024-06-02T00:00:00"/>
    <n v="1.4"/>
    <x v="0"/>
    <n v="3100"/>
    <x v="0"/>
    <x v="1"/>
    <n v="5"/>
    <n v="14"/>
    <x v="0"/>
    <d v="2025-11-07T00:00:00"/>
    <x v="1"/>
    <x v="10"/>
    <x v="1"/>
    <n v="1"/>
    <n v="0"/>
    <n v="1"/>
  </r>
  <r>
    <s v="E11553"/>
    <x v="0"/>
    <x v="2"/>
    <s v="Female"/>
    <n v="32"/>
    <s v="26-35"/>
    <x v="0"/>
    <d v="2018-07-23T00:00:00"/>
    <n v="7.4"/>
    <x v="1"/>
    <n v="4800"/>
    <x v="0"/>
    <x v="2"/>
    <n v="3"/>
    <n v="21"/>
    <x v="1"/>
    <m/>
    <x v="2"/>
    <x v="2"/>
    <x v="2"/>
    <n v="1"/>
    <n v="1"/>
    <n v="0"/>
  </r>
  <r>
    <s v="E11554"/>
    <x v="1"/>
    <x v="0"/>
    <s v="Female"/>
    <n v="27"/>
    <s v="26-35"/>
    <x v="1"/>
    <d v="2022-10-31T00:00:00"/>
    <n v="3.2"/>
    <x v="2"/>
    <n v="3700"/>
    <x v="1"/>
    <x v="1"/>
    <n v="2"/>
    <n v="31"/>
    <x v="1"/>
    <m/>
    <x v="2"/>
    <x v="2"/>
    <x v="2"/>
    <n v="1"/>
    <n v="1"/>
    <n v="0"/>
  </r>
  <r>
    <s v="E11555"/>
    <x v="5"/>
    <x v="1"/>
    <s v="Female"/>
    <n v="28"/>
    <s v="26-35"/>
    <x v="2"/>
    <d v="2022-11-17T00:00:00"/>
    <n v="3.1"/>
    <x v="2"/>
    <n v="5500"/>
    <x v="0"/>
    <x v="1"/>
    <n v="4"/>
    <n v="19"/>
    <x v="1"/>
    <m/>
    <x v="2"/>
    <x v="2"/>
    <x v="2"/>
    <n v="1"/>
    <n v="1"/>
    <n v="0"/>
  </r>
  <r>
    <s v="E11556"/>
    <x v="3"/>
    <x v="0"/>
    <s v="Male"/>
    <n v="21"/>
    <s v="20-25"/>
    <x v="1"/>
    <d v="2025-11-27T00:00:00"/>
    <n v="0.1"/>
    <x v="3"/>
    <n v="6500"/>
    <x v="1"/>
    <x v="0"/>
    <n v="3"/>
    <n v="15"/>
    <x v="1"/>
    <m/>
    <x v="2"/>
    <x v="2"/>
    <x v="2"/>
    <n v="1"/>
    <n v="1"/>
    <n v="0"/>
  </r>
  <r>
    <s v="E11557"/>
    <x v="6"/>
    <x v="0"/>
    <s v="Male"/>
    <n v="41"/>
    <s v="36-45"/>
    <x v="1"/>
    <d v="2016-06-30T00:00:00"/>
    <n v="9.5"/>
    <x v="1"/>
    <n v="4850"/>
    <x v="0"/>
    <x v="1"/>
    <n v="5"/>
    <n v="23"/>
    <x v="1"/>
    <m/>
    <x v="2"/>
    <x v="2"/>
    <x v="2"/>
    <n v="1"/>
    <n v="1"/>
    <n v="0"/>
  </r>
  <r>
    <s v="E11558"/>
    <x v="1"/>
    <x v="1"/>
    <s v="Male"/>
    <n v="32"/>
    <s v="26-35"/>
    <x v="1"/>
    <d v="2018-01-09T00:00:00"/>
    <n v="7.3"/>
    <x v="1"/>
    <n v="4900"/>
    <x v="0"/>
    <x v="0"/>
    <n v="3"/>
    <n v="27"/>
    <x v="0"/>
    <d v="2025-05-15T00:00:00"/>
    <x v="1"/>
    <x v="9"/>
    <x v="4"/>
    <n v="1"/>
    <n v="0"/>
    <n v="1"/>
  </r>
  <r>
    <s v="E11559"/>
    <x v="2"/>
    <x v="1"/>
    <s v="Female"/>
    <n v="36"/>
    <s v="36-45"/>
    <x v="1"/>
    <d v="2023-08-29T00:00:00"/>
    <n v="2.2999999999999998"/>
    <x v="0"/>
    <n v="7250"/>
    <x v="0"/>
    <x v="4"/>
    <n v="5"/>
    <n v="12"/>
    <x v="1"/>
    <m/>
    <x v="2"/>
    <x v="2"/>
    <x v="2"/>
    <n v="1"/>
    <n v="1"/>
    <n v="0"/>
  </r>
  <r>
    <s v="E11560"/>
    <x v="5"/>
    <x v="1"/>
    <s v="Male"/>
    <n v="29"/>
    <s v="26-35"/>
    <x v="0"/>
    <d v="2021-12-29T00:00:00"/>
    <n v="2.6"/>
    <x v="0"/>
    <n v="4500"/>
    <x v="1"/>
    <x v="1"/>
    <n v="3"/>
    <n v="19"/>
    <x v="0"/>
    <d v="2024-07-22T00:00:00"/>
    <x v="0"/>
    <x v="4"/>
    <x v="0"/>
    <n v="1"/>
    <n v="0"/>
    <n v="1"/>
  </r>
  <r>
    <s v="E11561"/>
    <x v="1"/>
    <x v="0"/>
    <s v="Male"/>
    <n v="22"/>
    <s v="20-25"/>
    <x v="1"/>
    <d v="2025-11-09T00:00:00"/>
    <n v="0.1"/>
    <x v="3"/>
    <n v="3450"/>
    <x v="0"/>
    <x v="1"/>
    <n v="3"/>
    <n v="20"/>
    <x v="1"/>
    <m/>
    <x v="2"/>
    <x v="2"/>
    <x v="2"/>
    <n v="1"/>
    <n v="1"/>
    <n v="0"/>
  </r>
  <r>
    <s v="E11562"/>
    <x v="4"/>
    <x v="2"/>
    <s v="Female"/>
    <n v="36"/>
    <s v="36-45"/>
    <x v="1"/>
    <d v="2019-04-14T00:00:00"/>
    <n v="6.7"/>
    <x v="1"/>
    <n v="8400"/>
    <x v="1"/>
    <x v="1"/>
    <n v="4"/>
    <n v="20"/>
    <x v="1"/>
    <m/>
    <x v="2"/>
    <x v="2"/>
    <x v="2"/>
    <n v="1"/>
    <n v="1"/>
    <n v="0"/>
  </r>
  <r>
    <s v="E11563"/>
    <x v="4"/>
    <x v="2"/>
    <s v="Male"/>
    <n v="40"/>
    <s v="36-45"/>
    <x v="0"/>
    <d v="2013-05-11T00:00:00"/>
    <n v="12.6"/>
    <x v="1"/>
    <n v="6800"/>
    <x v="0"/>
    <x v="1"/>
    <n v="3"/>
    <n v="48"/>
    <x v="1"/>
    <m/>
    <x v="2"/>
    <x v="2"/>
    <x v="2"/>
    <n v="1"/>
    <n v="1"/>
    <n v="0"/>
  </r>
  <r>
    <s v="E11564"/>
    <x v="5"/>
    <x v="1"/>
    <s v="Male"/>
    <n v="29"/>
    <s v="26-35"/>
    <x v="1"/>
    <d v="2023-12-31T00:00:00"/>
    <n v="0.8"/>
    <x v="3"/>
    <n v="4400"/>
    <x v="0"/>
    <x v="1"/>
    <n v="3"/>
    <n v="32"/>
    <x v="0"/>
    <d v="2024-10-10T00:00:00"/>
    <x v="0"/>
    <x v="11"/>
    <x v="0"/>
    <n v="1"/>
    <n v="0"/>
    <n v="1"/>
  </r>
  <r>
    <s v="E11565"/>
    <x v="1"/>
    <x v="2"/>
    <s v="Male"/>
    <n v="41"/>
    <s v="36-45"/>
    <x v="0"/>
    <d v="2012-09-12T00:00:00"/>
    <n v="13.3"/>
    <x v="1"/>
    <n v="6200"/>
    <x v="0"/>
    <x v="0"/>
    <n v="4"/>
    <n v="21"/>
    <x v="1"/>
    <m/>
    <x v="2"/>
    <x v="2"/>
    <x v="2"/>
    <n v="1"/>
    <n v="1"/>
    <n v="0"/>
  </r>
  <r>
    <s v="E11566"/>
    <x v="6"/>
    <x v="1"/>
    <s v="Male"/>
    <n v="34"/>
    <s v="26-35"/>
    <x v="1"/>
    <d v="2017-10-03T00:00:00"/>
    <n v="8.1999999999999993"/>
    <x v="1"/>
    <n v="5500"/>
    <x v="0"/>
    <x v="0"/>
    <n v="3"/>
    <n v="24"/>
    <x v="1"/>
    <m/>
    <x v="2"/>
    <x v="2"/>
    <x v="2"/>
    <n v="1"/>
    <n v="1"/>
    <n v="0"/>
  </r>
  <r>
    <s v="E11567"/>
    <x v="0"/>
    <x v="0"/>
    <s v="Male"/>
    <n v="21"/>
    <s v="20-25"/>
    <x v="1"/>
    <d v="2025-12-01T00:00:00"/>
    <n v="0"/>
    <x v="3"/>
    <n v="3300"/>
    <x v="1"/>
    <x v="1"/>
    <n v="4"/>
    <n v="22"/>
    <x v="0"/>
    <d v="2025-12-08T00:00:00"/>
    <x v="1"/>
    <x v="5"/>
    <x v="3"/>
    <n v="1"/>
    <n v="0"/>
    <n v="1"/>
  </r>
  <r>
    <s v="E11568"/>
    <x v="6"/>
    <x v="0"/>
    <s v="Male"/>
    <n v="21"/>
    <s v="20-25"/>
    <x v="0"/>
    <d v="2025-12-07T00:00:00"/>
    <n v="0.1"/>
    <x v="3"/>
    <n v="3850"/>
    <x v="0"/>
    <x v="2"/>
    <n v="4"/>
    <n v="30"/>
    <x v="1"/>
    <m/>
    <x v="2"/>
    <x v="2"/>
    <x v="2"/>
    <n v="1"/>
    <n v="1"/>
    <n v="0"/>
  </r>
  <r>
    <s v="E11569"/>
    <x v="3"/>
    <x v="1"/>
    <s v="Female"/>
    <n v="26"/>
    <s v="26-35"/>
    <x v="1"/>
    <d v="2024-03-30T00:00:00"/>
    <n v="1.8"/>
    <x v="0"/>
    <n v="7800"/>
    <x v="0"/>
    <x v="4"/>
    <n v="3"/>
    <n v="10"/>
    <x v="1"/>
    <m/>
    <x v="2"/>
    <x v="2"/>
    <x v="2"/>
    <n v="1"/>
    <n v="1"/>
    <n v="0"/>
  </r>
  <r>
    <s v="E11570"/>
    <x v="2"/>
    <x v="0"/>
    <s v="Male"/>
    <n v="21"/>
    <s v="20-25"/>
    <x v="2"/>
    <d v="2025-09-21T00:00:00"/>
    <n v="0.3"/>
    <x v="3"/>
    <n v="4200"/>
    <x v="0"/>
    <x v="4"/>
    <n v="3"/>
    <n v="36"/>
    <x v="1"/>
    <m/>
    <x v="2"/>
    <x v="2"/>
    <x v="2"/>
    <n v="1"/>
    <n v="1"/>
    <n v="0"/>
  </r>
  <r>
    <s v="E11571"/>
    <x v="5"/>
    <x v="3"/>
    <s v="Female"/>
    <n v="54"/>
    <s v="46+"/>
    <x v="1"/>
    <d v="2014-09-09T00:00:00"/>
    <n v="9.8000000000000007"/>
    <x v="1"/>
    <n v="12300"/>
    <x v="1"/>
    <x v="4"/>
    <n v="4"/>
    <n v="24"/>
    <x v="0"/>
    <d v="2024-06-26T00:00:00"/>
    <x v="0"/>
    <x v="0"/>
    <x v="3"/>
    <n v="1"/>
    <n v="0"/>
    <n v="1"/>
  </r>
  <r>
    <s v="E11572"/>
    <x v="5"/>
    <x v="0"/>
    <s v="Female"/>
    <n v="32"/>
    <s v="26-35"/>
    <x v="1"/>
    <d v="2018-11-14T00:00:00"/>
    <n v="7.1"/>
    <x v="1"/>
    <n v="4000"/>
    <x v="1"/>
    <x v="2"/>
    <n v="4"/>
    <n v="0"/>
    <x v="1"/>
    <m/>
    <x v="2"/>
    <x v="2"/>
    <x v="2"/>
    <n v="1"/>
    <n v="1"/>
    <n v="0"/>
  </r>
  <r>
    <s v="E11573"/>
    <x v="0"/>
    <x v="1"/>
    <s v="Male"/>
    <n v="33"/>
    <s v="26-35"/>
    <x v="1"/>
    <d v="2020-03-05T00:00:00"/>
    <n v="4.5"/>
    <x v="2"/>
    <n v="3900"/>
    <x v="1"/>
    <x v="1"/>
    <n v="4"/>
    <n v="27"/>
    <x v="0"/>
    <d v="2024-09-18T00:00:00"/>
    <x v="0"/>
    <x v="12"/>
    <x v="5"/>
    <n v="1"/>
    <n v="0"/>
    <n v="1"/>
  </r>
  <r>
    <s v="E11574"/>
    <x v="6"/>
    <x v="0"/>
    <s v="Female"/>
    <n v="30"/>
    <s v="26-35"/>
    <x v="1"/>
    <d v="2020-12-02T00:00:00"/>
    <n v="5.0999999999999996"/>
    <x v="1"/>
    <n v="4300"/>
    <x v="0"/>
    <x v="1"/>
    <n v="3"/>
    <n v="51"/>
    <x v="1"/>
    <m/>
    <x v="2"/>
    <x v="2"/>
    <x v="2"/>
    <n v="1"/>
    <n v="1"/>
    <n v="0"/>
  </r>
  <r>
    <s v="E11575"/>
    <x v="4"/>
    <x v="0"/>
    <s v="Male"/>
    <n v="26"/>
    <s v="26-35"/>
    <x v="0"/>
    <d v="2023-03-25T00:00:00"/>
    <n v="2.8"/>
    <x v="0"/>
    <n v="5050"/>
    <x v="0"/>
    <x v="0"/>
    <n v="3"/>
    <n v="43"/>
    <x v="1"/>
    <m/>
    <x v="2"/>
    <x v="2"/>
    <x v="2"/>
    <n v="1"/>
    <n v="1"/>
    <n v="0"/>
  </r>
  <r>
    <s v="E11576"/>
    <x v="0"/>
    <x v="0"/>
    <s v="Male"/>
    <n v="21"/>
    <s v="20-25"/>
    <x v="0"/>
    <d v="2025-10-01T00:00:00"/>
    <n v="0.1"/>
    <x v="3"/>
    <n v="3250"/>
    <x v="1"/>
    <x v="1"/>
    <n v="4"/>
    <n v="25"/>
    <x v="0"/>
    <d v="2025-10-28T00:00:00"/>
    <x v="1"/>
    <x v="11"/>
    <x v="4"/>
    <n v="1"/>
    <n v="0"/>
    <n v="1"/>
  </r>
  <r>
    <s v="E11577"/>
    <x v="5"/>
    <x v="0"/>
    <s v="Male"/>
    <n v="37"/>
    <s v="36-45"/>
    <x v="1"/>
    <d v="2020-05-21T00:00:00"/>
    <n v="5.6"/>
    <x v="1"/>
    <n v="4100"/>
    <x v="0"/>
    <x v="2"/>
    <n v="3"/>
    <n v="0"/>
    <x v="1"/>
    <m/>
    <x v="2"/>
    <x v="2"/>
    <x v="2"/>
    <n v="1"/>
    <n v="1"/>
    <n v="0"/>
  </r>
  <r>
    <s v="E11578"/>
    <x v="6"/>
    <x v="0"/>
    <s v="Male"/>
    <n v="24"/>
    <s v="20-25"/>
    <x v="1"/>
    <d v="2025-07-21T00:00:00"/>
    <n v="0.4"/>
    <x v="3"/>
    <n v="3500"/>
    <x v="0"/>
    <x v="1"/>
    <n v="5"/>
    <n v="30"/>
    <x v="1"/>
    <m/>
    <x v="2"/>
    <x v="2"/>
    <x v="2"/>
    <n v="1"/>
    <n v="1"/>
    <n v="0"/>
  </r>
  <r>
    <s v="E11579"/>
    <x v="5"/>
    <x v="1"/>
    <s v="Male"/>
    <n v="33"/>
    <s v="26-35"/>
    <x v="1"/>
    <d v="2024-05-04T00:00:00"/>
    <n v="0.4"/>
    <x v="3"/>
    <n v="5650"/>
    <x v="1"/>
    <x v="0"/>
    <n v="3"/>
    <n v="17"/>
    <x v="0"/>
    <d v="2024-09-20T00:00:00"/>
    <x v="0"/>
    <x v="12"/>
    <x v="4"/>
    <n v="1"/>
    <n v="0"/>
    <n v="1"/>
  </r>
  <r>
    <s v="E11580"/>
    <x v="1"/>
    <x v="2"/>
    <s v="Female"/>
    <n v="42"/>
    <s v="36-45"/>
    <x v="2"/>
    <d v="2013-05-05T00:00:00"/>
    <n v="12.7"/>
    <x v="1"/>
    <n v="6000"/>
    <x v="0"/>
    <x v="1"/>
    <n v="4"/>
    <n v="35"/>
    <x v="1"/>
    <m/>
    <x v="2"/>
    <x v="2"/>
    <x v="2"/>
    <n v="1"/>
    <n v="1"/>
    <n v="0"/>
  </r>
  <r>
    <s v="E11581"/>
    <x v="4"/>
    <x v="0"/>
    <s v="Female"/>
    <n v="32"/>
    <s v="26-35"/>
    <x v="1"/>
    <d v="2023-02-10T00:00:00"/>
    <n v="2.9"/>
    <x v="0"/>
    <n v="5250"/>
    <x v="0"/>
    <x v="1"/>
    <n v="3"/>
    <n v="42"/>
    <x v="1"/>
    <m/>
    <x v="2"/>
    <x v="2"/>
    <x v="2"/>
    <n v="1"/>
    <n v="1"/>
    <n v="0"/>
  </r>
  <r>
    <s v="E11582"/>
    <x v="5"/>
    <x v="1"/>
    <s v="Female"/>
    <n v="38"/>
    <s v="36-45"/>
    <x v="0"/>
    <d v="2022-06-22T00:00:00"/>
    <n v="3.5"/>
    <x v="2"/>
    <n v="5400"/>
    <x v="0"/>
    <x v="2"/>
    <n v="4"/>
    <n v="42"/>
    <x v="1"/>
    <m/>
    <x v="2"/>
    <x v="2"/>
    <x v="2"/>
    <n v="1"/>
    <n v="1"/>
    <n v="0"/>
  </r>
  <r>
    <s v="E11583"/>
    <x v="5"/>
    <x v="2"/>
    <s v="Male"/>
    <n v="37"/>
    <s v="36-45"/>
    <x v="1"/>
    <d v="2020-08-05T00:00:00"/>
    <n v="5.4"/>
    <x v="1"/>
    <n v="8350"/>
    <x v="1"/>
    <x v="4"/>
    <n v="3"/>
    <n v="30"/>
    <x v="1"/>
    <m/>
    <x v="2"/>
    <x v="2"/>
    <x v="2"/>
    <n v="1"/>
    <n v="1"/>
    <n v="0"/>
  </r>
  <r>
    <s v="E11584"/>
    <x v="0"/>
    <x v="0"/>
    <s v="Female"/>
    <n v="25"/>
    <s v="20-25"/>
    <x v="0"/>
    <d v="2024-06-26T00:00:00"/>
    <n v="1"/>
    <x v="3"/>
    <n v="3500"/>
    <x v="1"/>
    <x v="3"/>
    <n v="3"/>
    <n v="13"/>
    <x v="0"/>
    <d v="2025-07-09T00:00:00"/>
    <x v="1"/>
    <x v="4"/>
    <x v="3"/>
    <n v="1"/>
    <n v="0"/>
    <n v="1"/>
  </r>
  <r>
    <s v="E11585"/>
    <x v="2"/>
    <x v="0"/>
    <s v="Male"/>
    <n v="27"/>
    <s v="26-35"/>
    <x v="1"/>
    <d v="2023-04-09T00:00:00"/>
    <n v="2.7"/>
    <x v="0"/>
    <n v="4800"/>
    <x v="1"/>
    <x v="0"/>
    <n v="3"/>
    <n v="33"/>
    <x v="1"/>
    <m/>
    <x v="2"/>
    <x v="2"/>
    <x v="2"/>
    <n v="1"/>
    <n v="1"/>
    <n v="0"/>
  </r>
  <r>
    <s v="E11586"/>
    <x v="3"/>
    <x v="1"/>
    <s v="Male"/>
    <n v="43"/>
    <s v="36-45"/>
    <x v="2"/>
    <d v="2021-08-13T00:00:00"/>
    <n v="4.4000000000000004"/>
    <x v="2"/>
    <n v="8350"/>
    <x v="0"/>
    <x v="2"/>
    <n v="2"/>
    <n v="14"/>
    <x v="1"/>
    <m/>
    <x v="2"/>
    <x v="2"/>
    <x v="2"/>
    <n v="1"/>
    <n v="1"/>
    <n v="0"/>
  </r>
  <r>
    <s v="E11587"/>
    <x v="4"/>
    <x v="1"/>
    <s v="Male"/>
    <n v="28"/>
    <s v="26-35"/>
    <x v="1"/>
    <d v="2021-11-15T00:00:00"/>
    <n v="2.2000000000000002"/>
    <x v="0"/>
    <n v="5550"/>
    <x v="0"/>
    <x v="0"/>
    <n v="3"/>
    <n v="48"/>
    <x v="0"/>
    <d v="2024-02-03T00:00:00"/>
    <x v="0"/>
    <x v="6"/>
    <x v="0"/>
    <n v="1"/>
    <n v="0"/>
    <n v="1"/>
  </r>
  <r>
    <s v="E11588"/>
    <x v="1"/>
    <x v="1"/>
    <s v="Male"/>
    <n v="34"/>
    <s v="26-35"/>
    <x v="1"/>
    <d v="2016-05-10T00:00:00"/>
    <n v="9.6"/>
    <x v="1"/>
    <n v="3300"/>
    <x v="0"/>
    <x v="1"/>
    <n v="4"/>
    <n v="36"/>
    <x v="1"/>
    <m/>
    <x v="2"/>
    <x v="2"/>
    <x v="2"/>
    <n v="1"/>
    <n v="1"/>
    <n v="0"/>
  </r>
  <r>
    <s v="E11589"/>
    <x v="1"/>
    <x v="3"/>
    <s v="Male"/>
    <n v="46"/>
    <s v="46+"/>
    <x v="1"/>
    <d v="2013-12-01T00:00:00"/>
    <n v="12.1"/>
    <x v="1"/>
    <n v="8350"/>
    <x v="1"/>
    <x v="0"/>
    <n v="3"/>
    <n v="17"/>
    <x v="1"/>
    <m/>
    <x v="2"/>
    <x v="2"/>
    <x v="2"/>
    <n v="1"/>
    <n v="1"/>
    <n v="0"/>
  </r>
  <r>
    <s v="E11590"/>
    <x v="4"/>
    <x v="1"/>
    <s v="Male"/>
    <n v="29"/>
    <s v="26-35"/>
    <x v="2"/>
    <d v="2021-08-23T00:00:00"/>
    <n v="4.4000000000000004"/>
    <x v="2"/>
    <n v="4900"/>
    <x v="0"/>
    <x v="2"/>
    <n v="4"/>
    <n v="10"/>
    <x v="1"/>
    <m/>
    <x v="2"/>
    <x v="2"/>
    <x v="2"/>
    <n v="1"/>
    <n v="1"/>
    <n v="0"/>
  </r>
  <r>
    <s v="E11591"/>
    <x v="0"/>
    <x v="2"/>
    <s v="Male"/>
    <n v="47"/>
    <s v="46+"/>
    <x v="1"/>
    <d v="2023-06-22T00:00:00"/>
    <n v="0.8"/>
    <x v="3"/>
    <n v="4400"/>
    <x v="1"/>
    <x v="3"/>
    <n v="3"/>
    <n v="18"/>
    <x v="0"/>
    <d v="2024-04-18T00:00:00"/>
    <x v="0"/>
    <x v="8"/>
    <x v="0"/>
    <n v="1"/>
    <n v="0"/>
    <n v="1"/>
  </r>
  <r>
    <s v="E11592"/>
    <x v="0"/>
    <x v="1"/>
    <s v="Male"/>
    <n v="29"/>
    <s v="26-35"/>
    <x v="1"/>
    <d v="2020-03-24T00:00:00"/>
    <n v="5.8"/>
    <x v="1"/>
    <n v="3050"/>
    <x v="0"/>
    <x v="1"/>
    <n v="4"/>
    <n v="18"/>
    <x v="1"/>
    <m/>
    <x v="2"/>
    <x v="2"/>
    <x v="2"/>
    <n v="1"/>
    <n v="1"/>
    <n v="0"/>
  </r>
  <r>
    <s v="E11593"/>
    <x v="3"/>
    <x v="0"/>
    <s v="Male"/>
    <n v="26"/>
    <s v="26-35"/>
    <x v="0"/>
    <d v="2023-11-14T00:00:00"/>
    <n v="2.1"/>
    <x v="0"/>
    <n v="5000"/>
    <x v="0"/>
    <x v="2"/>
    <n v="4"/>
    <n v="32"/>
    <x v="1"/>
    <m/>
    <x v="2"/>
    <x v="2"/>
    <x v="2"/>
    <n v="1"/>
    <n v="1"/>
    <n v="0"/>
  </r>
  <r>
    <s v="E11594"/>
    <x v="1"/>
    <x v="3"/>
    <s v="Female"/>
    <n v="41"/>
    <s v="36-45"/>
    <x v="0"/>
    <d v="2019-06-11T00:00:00"/>
    <n v="5.9"/>
    <x v="1"/>
    <n v="8200"/>
    <x v="1"/>
    <x v="1"/>
    <n v="3"/>
    <n v="35"/>
    <x v="0"/>
    <d v="2025-05-23T00:00:00"/>
    <x v="1"/>
    <x v="9"/>
    <x v="1"/>
    <n v="1"/>
    <n v="0"/>
    <n v="1"/>
  </r>
  <r>
    <s v="E11595"/>
    <x v="1"/>
    <x v="1"/>
    <s v="Male"/>
    <n v="29"/>
    <s v="26-35"/>
    <x v="1"/>
    <d v="2020-01-08T00:00:00"/>
    <n v="6"/>
    <x v="1"/>
    <n v="5250"/>
    <x v="0"/>
    <x v="0"/>
    <n v="3"/>
    <n v="23"/>
    <x v="1"/>
    <m/>
    <x v="2"/>
    <x v="2"/>
    <x v="2"/>
    <n v="1"/>
    <n v="1"/>
    <n v="0"/>
  </r>
  <r>
    <s v="E11596"/>
    <x v="3"/>
    <x v="0"/>
    <s v="Female"/>
    <n v="24"/>
    <s v="20-25"/>
    <x v="1"/>
    <d v="2025-06-10T00:00:00"/>
    <n v="0.2"/>
    <x v="3"/>
    <n v="5700"/>
    <x v="0"/>
    <x v="1"/>
    <n v="3"/>
    <n v="21"/>
    <x v="0"/>
    <d v="2025-08-22T00:00:00"/>
    <x v="1"/>
    <x v="1"/>
    <x v="0"/>
    <n v="1"/>
    <n v="0"/>
    <n v="1"/>
  </r>
  <r>
    <s v="E11597"/>
    <x v="3"/>
    <x v="1"/>
    <s v="Male"/>
    <n v="28"/>
    <s v="26-35"/>
    <x v="0"/>
    <d v="2022-02-27T00:00:00"/>
    <n v="3.8"/>
    <x v="2"/>
    <n v="7350"/>
    <x v="0"/>
    <x v="0"/>
    <n v="3"/>
    <n v="41"/>
    <x v="1"/>
    <m/>
    <x v="2"/>
    <x v="2"/>
    <x v="2"/>
    <n v="1"/>
    <n v="1"/>
    <n v="0"/>
  </r>
  <r>
    <s v="E11598"/>
    <x v="5"/>
    <x v="0"/>
    <s v="Female"/>
    <n v="29"/>
    <s v="26-35"/>
    <x v="1"/>
    <d v="2020-10-04T00:00:00"/>
    <n v="5.2"/>
    <x v="1"/>
    <n v="4300"/>
    <x v="0"/>
    <x v="2"/>
    <n v="3"/>
    <n v="35"/>
    <x v="1"/>
    <m/>
    <x v="2"/>
    <x v="2"/>
    <x v="2"/>
    <n v="1"/>
    <n v="1"/>
    <n v="0"/>
  </r>
  <r>
    <s v="E11599"/>
    <x v="1"/>
    <x v="1"/>
    <s v="Female"/>
    <n v="29"/>
    <s v="26-35"/>
    <x v="1"/>
    <d v="2020-03-19T00:00:00"/>
    <n v="5.8"/>
    <x v="1"/>
    <n v="4750"/>
    <x v="0"/>
    <x v="1"/>
    <n v="4"/>
    <n v="17"/>
    <x v="1"/>
    <m/>
    <x v="2"/>
    <x v="2"/>
    <x v="2"/>
    <n v="1"/>
    <n v="1"/>
    <n v="0"/>
  </r>
  <r>
    <s v="E11600"/>
    <x v="0"/>
    <x v="0"/>
    <s v="Female"/>
    <n v="26"/>
    <s v="26-35"/>
    <x v="1"/>
    <d v="2024-04-13T00:00:00"/>
    <n v="1.7"/>
    <x v="0"/>
    <n v="2650"/>
    <x v="0"/>
    <x v="2"/>
    <n v="3"/>
    <n v="25"/>
    <x v="1"/>
    <m/>
    <x v="2"/>
    <x v="2"/>
    <x v="2"/>
    <n v="1"/>
    <n v="1"/>
    <n v="0"/>
  </r>
  <r>
    <s v="E11601"/>
    <x v="5"/>
    <x v="1"/>
    <s v="Female"/>
    <n v="37"/>
    <s v="36-45"/>
    <x v="0"/>
    <d v="2014-10-25T00:00:00"/>
    <n v="11.2"/>
    <x v="1"/>
    <n v="5200"/>
    <x v="1"/>
    <x v="0"/>
    <n v="2"/>
    <n v="30"/>
    <x v="1"/>
    <m/>
    <x v="2"/>
    <x v="2"/>
    <x v="2"/>
    <n v="1"/>
    <n v="1"/>
    <n v="0"/>
  </r>
  <r>
    <s v="E11602"/>
    <x v="1"/>
    <x v="1"/>
    <s v="Male"/>
    <n v="36"/>
    <s v="36-45"/>
    <x v="0"/>
    <d v="2022-06-02T00:00:00"/>
    <n v="3.6"/>
    <x v="2"/>
    <n v="4350"/>
    <x v="0"/>
    <x v="4"/>
    <n v="3"/>
    <n v="50"/>
    <x v="1"/>
    <m/>
    <x v="2"/>
    <x v="2"/>
    <x v="2"/>
    <n v="1"/>
    <n v="1"/>
    <n v="0"/>
  </r>
  <r>
    <s v="E11603"/>
    <x v="4"/>
    <x v="0"/>
    <s v="Male"/>
    <n v="21"/>
    <s v="20-25"/>
    <x v="0"/>
    <d v="2025-11-11T00:00:00"/>
    <n v="0.1"/>
    <x v="3"/>
    <n v="4200"/>
    <x v="1"/>
    <x v="1"/>
    <n v="3"/>
    <n v="35"/>
    <x v="1"/>
    <m/>
    <x v="2"/>
    <x v="2"/>
    <x v="2"/>
    <n v="1"/>
    <n v="1"/>
    <n v="0"/>
  </r>
  <r>
    <s v="E11604"/>
    <x v="1"/>
    <x v="0"/>
    <s v="Female"/>
    <n v="28"/>
    <s v="26-35"/>
    <x v="1"/>
    <d v="2023-08-24T00:00:00"/>
    <n v="2.4"/>
    <x v="0"/>
    <n v="4350"/>
    <x v="0"/>
    <x v="1"/>
    <n v="3"/>
    <n v="29"/>
    <x v="1"/>
    <m/>
    <x v="2"/>
    <x v="2"/>
    <x v="2"/>
    <n v="1"/>
    <n v="1"/>
    <n v="0"/>
  </r>
  <r>
    <s v="E11605"/>
    <x v="5"/>
    <x v="1"/>
    <s v="Male"/>
    <n v="36"/>
    <s v="36-45"/>
    <x v="1"/>
    <d v="2017-09-07T00:00:00"/>
    <n v="8.3000000000000007"/>
    <x v="1"/>
    <n v="5800"/>
    <x v="0"/>
    <x v="2"/>
    <n v="4"/>
    <n v="30"/>
    <x v="1"/>
    <m/>
    <x v="2"/>
    <x v="2"/>
    <x v="2"/>
    <n v="1"/>
    <n v="1"/>
    <n v="0"/>
  </r>
  <r>
    <s v="E11606"/>
    <x v="5"/>
    <x v="0"/>
    <s v="Male"/>
    <n v="26"/>
    <s v="26-35"/>
    <x v="1"/>
    <d v="2022-08-06T00:00:00"/>
    <n v="3.4"/>
    <x v="2"/>
    <n v="3700"/>
    <x v="0"/>
    <x v="0"/>
    <n v="3"/>
    <n v="3"/>
    <x v="1"/>
    <m/>
    <x v="2"/>
    <x v="2"/>
    <x v="2"/>
    <n v="1"/>
    <n v="1"/>
    <n v="0"/>
  </r>
  <r>
    <s v="E11607"/>
    <x v="3"/>
    <x v="0"/>
    <s v="Male"/>
    <n v="21"/>
    <s v="20-25"/>
    <x v="0"/>
    <d v="2025-12-09T00:00:00"/>
    <n v="0.1"/>
    <x v="3"/>
    <n v="7000"/>
    <x v="1"/>
    <x v="4"/>
    <n v="2"/>
    <n v="31"/>
    <x v="1"/>
    <m/>
    <x v="2"/>
    <x v="2"/>
    <x v="2"/>
    <n v="1"/>
    <n v="1"/>
    <n v="0"/>
  </r>
  <r>
    <s v="E11608"/>
    <x v="6"/>
    <x v="3"/>
    <s v="Female"/>
    <n v="45"/>
    <s v="36-45"/>
    <x v="2"/>
    <d v="2014-01-05T00:00:00"/>
    <n v="12"/>
    <x v="1"/>
    <n v="8950"/>
    <x v="0"/>
    <x v="1"/>
    <n v="5"/>
    <n v="27"/>
    <x v="1"/>
    <m/>
    <x v="2"/>
    <x v="2"/>
    <x v="2"/>
    <n v="1"/>
    <n v="1"/>
    <n v="0"/>
  </r>
  <r>
    <s v="E11609"/>
    <x v="3"/>
    <x v="1"/>
    <s v="Male"/>
    <n v="39"/>
    <s v="36-45"/>
    <x v="0"/>
    <d v="2020-10-18T00:00:00"/>
    <n v="5.2"/>
    <x v="1"/>
    <n v="6450"/>
    <x v="0"/>
    <x v="1"/>
    <n v="3"/>
    <n v="29"/>
    <x v="1"/>
    <m/>
    <x v="2"/>
    <x v="2"/>
    <x v="2"/>
    <n v="1"/>
    <n v="1"/>
    <n v="0"/>
  </r>
  <r>
    <s v="E11610"/>
    <x v="2"/>
    <x v="1"/>
    <s v="Female"/>
    <n v="29"/>
    <s v="26-35"/>
    <x v="1"/>
    <d v="2021-07-20T00:00:00"/>
    <n v="4.4000000000000004"/>
    <x v="2"/>
    <n v="7300"/>
    <x v="0"/>
    <x v="2"/>
    <n v="4"/>
    <n v="25"/>
    <x v="1"/>
    <m/>
    <x v="2"/>
    <x v="2"/>
    <x v="2"/>
    <n v="1"/>
    <n v="1"/>
    <n v="0"/>
  </r>
  <r>
    <s v="E11611"/>
    <x v="0"/>
    <x v="0"/>
    <s v="Male"/>
    <n v="22"/>
    <s v="20-25"/>
    <x v="1"/>
    <d v="2025-05-15T00:00:00"/>
    <n v="0.3"/>
    <x v="3"/>
    <n v="2850"/>
    <x v="0"/>
    <x v="1"/>
    <n v="5"/>
    <n v="25"/>
    <x v="0"/>
    <d v="2025-08-25T00:00:00"/>
    <x v="1"/>
    <x v="1"/>
    <x v="4"/>
    <n v="1"/>
    <n v="0"/>
    <n v="1"/>
  </r>
  <r>
    <s v="E11612"/>
    <x v="6"/>
    <x v="1"/>
    <s v="Male"/>
    <n v="23"/>
    <s v="20-25"/>
    <x v="0"/>
    <d v="2024-07-18T00:00:00"/>
    <n v="1.5"/>
    <x v="0"/>
    <n v="4650"/>
    <x v="0"/>
    <x v="1"/>
    <n v="5"/>
    <n v="43"/>
    <x v="1"/>
    <m/>
    <x v="2"/>
    <x v="2"/>
    <x v="2"/>
    <n v="1"/>
    <n v="1"/>
    <n v="0"/>
  </r>
  <r>
    <s v="E11613"/>
    <x v="3"/>
    <x v="2"/>
    <s v="Male"/>
    <n v="40"/>
    <s v="36-45"/>
    <x v="1"/>
    <d v="2011-12-17T00:00:00"/>
    <n v="13.8"/>
    <x v="1"/>
    <n v="9850"/>
    <x v="0"/>
    <x v="1"/>
    <n v="3"/>
    <n v="30"/>
    <x v="0"/>
    <d v="2025-09-26T00:00:00"/>
    <x v="1"/>
    <x v="12"/>
    <x v="0"/>
    <n v="1"/>
    <n v="0"/>
    <n v="1"/>
  </r>
  <r>
    <s v="E11614"/>
    <x v="4"/>
    <x v="0"/>
    <s v="Male"/>
    <n v="23"/>
    <s v="20-25"/>
    <x v="1"/>
    <d v="2024-10-22T00:00:00"/>
    <n v="1.2"/>
    <x v="0"/>
    <n v="4550"/>
    <x v="0"/>
    <x v="2"/>
    <n v="3"/>
    <n v="40"/>
    <x v="1"/>
    <m/>
    <x v="2"/>
    <x v="2"/>
    <x v="2"/>
    <n v="1"/>
    <n v="1"/>
    <n v="0"/>
  </r>
  <r>
    <s v="E11615"/>
    <x v="0"/>
    <x v="3"/>
    <s v="Male"/>
    <n v="41"/>
    <s v="36-45"/>
    <x v="1"/>
    <d v="2018-06-28T00:00:00"/>
    <n v="7.5"/>
    <x v="1"/>
    <n v="7050"/>
    <x v="0"/>
    <x v="1"/>
    <n v="3"/>
    <n v="16"/>
    <x v="1"/>
    <m/>
    <x v="2"/>
    <x v="2"/>
    <x v="2"/>
    <n v="1"/>
    <n v="1"/>
    <n v="0"/>
  </r>
  <r>
    <s v="E11616"/>
    <x v="0"/>
    <x v="1"/>
    <s v="Male"/>
    <n v="28"/>
    <s v="26-35"/>
    <x v="1"/>
    <d v="2023-04-23T00:00:00"/>
    <n v="2.7"/>
    <x v="0"/>
    <n v="3350"/>
    <x v="0"/>
    <x v="2"/>
    <n v="3"/>
    <n v="6"/>
    <x v="1"/>
    <m/>
    <x v="2"/>
    <x v="2"/>
    <x v="2"/>
    <n v="1"/>
    <n v="1"/>
    <n v="0"/>
  </r>
  <r>
    <s v="E11617"/>
    <x v="0"/>
    <x v="1"/>
    <s v="Male"/>
    <n v="29"/>
    <s v="26-35"/>
    <x v="1"/>
    <d v="2023-10-31T00:00:00"/>
    <n v="2.2000000000000002"/>
    <x v="0"/>
    <n v="4000"/>
    <x v="0"/>
    <x v="0"/>
    <n v="3"/>
    <n v="17"/>
    <x v="1"/>
    <m/>
    <x v="2"/>
    <x v="2"/>
    <x v="2"/>
    <n v="1"/>
    <n v="1"/>
    <n v="0"/>
  </r>
  <r>
    <s v="E11618"/>
    <x v="1"/>
    <x v="1"/>
    <s v="Male"/>
    <n v="29"/>
    <s v="26-35"/>
    <x v="0"/>
    <d v="2022-08-06T00:00:00"/>
    <n v="3.4"/>
    <x v="2"/>
    <n v="3750"/>
    <x v="0"/>
    <x v="2"/>
    <n v="5"/>
    <n v="22"/>
    <x v="1"/>
    <m/>
    <x v="2"/>
    <x v="2"/>
    <x v="2"/>
    <n v="1"/>
    <n v="1"/>
    <n v="0"/>
  </r>
  <r>
    <s v="E11619"/>
    <x v="5"/>
    <x v="1"/>
    <s v="Male"/>
    <n v="31"/>
    <s v="26-35"/>
    <x v="0"/>
    <d v="2023-01-19T00:00:00"/>
    <n v="2.9"/>
    <x v="0"/>
    <n v="5700"/>
    <x v="0"/>
    <x v="0"/>
    <n v="3"/>
    <n v="37"/>
    <x v="1"/>
    <m/>
    <x v="2"/>
    <x v="2"/>
    <x v="2"/>
    <n v="1"/>
    <n v="1"/>
    <n v="0"/>
  </r>
  <r>
    <s v="E11620"/>
    <x v="1"/>
    <x v="0"/>
    <s v="Male"/>
    <n v="28"/>
    <s v="26-35"/>
    <x v="1"/>
    <d v="2021-08-21T00:00:00"/>
    <n v="3.8"/>
    <x v="2"/>
    <n v="3700"/>
    <x v="0"/>
    <x v="0"/>
    <n v="3"/>
    <n v="20"/>
    <x v="0"/>
    <d v="2025-05-31T00:00:00"/>
    <x v="1"/>
    <x v="9"/>
    <x v="1"/>
    <n v="1"/>
    <n v="0"/>
    <n v="1"/>
  </r>
  <r>
    <s v="E11621"/>
    <x v="1"/>
    <x v="0"/>
    <s v="Female"/>
    <n v="36"/>
    <s v="36-45"/>
    <x v="2"/>
    <d v="2016-04-07T00:00:00"/>
    <n v="9.6999999999999993"/>
    <x v="1"/>
    <n v="4400"/>
    <x v="1"/>
    <x v="1"/>
    <n v="3"/>
    <n v="27"/>
    <x v="1"/>
    <m/>
    <x v="2"/>
    <x v="2"/>
    <x v="2"/>
    <n v="1"/>
    <n v="1"/>
    <n v="0"/>
  </r>
  <r>
    <s v="E11622"/>
    <x v="3"/>
    <x v="2"/>
    <s v="Female"/>
    <n v="38"/>
    <s v="36-45"/>
    <x v="1"/>
    <d v="2013-04-05T00:00:00"/>
    <n v="12.7"/>
    <x v="1"/>
    <n v="8750"/>
    <x v="1"/>
    <x v="1"/>
    <n v="3"/>
    <n v="24"/>
    <x v="1"/>
    <m/>
    <x v="2"/>
    <x v="2"/>
    <x v="2"/>
    <n v="1"/>
    <n v="1"/>
    <n v="0"/>
  </r>
  <r>
    <s v="E11623"/>
    <x v="5"/>
    <x v="0"/>
    <s v="Male"/>
    <n v="23"/>
    <s v="20-25"/>
    <x v="0"/>
    <d v="2024-09-07T00:00:00"/>
    <n v="1.3"/>
    <x v="0"/>
    <n v="3050"/>
    <x v="0"/>
    <x v="1"/>
    <n v="5"/>
    <n v="35"/>
    <x v="1"/>
    <m/>
    <x v="2"/>
    <x v="2"/>
    <x v="2"/>
    <n v="1"/>
    <n v="1"/>
    <n v="0"/>
  </r>
  <r>
    <s v="E11624"/>
    <x v="2"/>
    <x v="2"/>
    <s v="Male"/>
    <n v="43"/>
    <s v="36-45"/>
    <x v="1"/>
    <d v="2022-04-24T00:00:00"/>
    <n v="3.7"/>
    <x v="2"/>
    <n v="7750"/>
    <x v="1"/>
    <x v="1"/>
    <n v="3"/>
    <n v="14"/>
    <x v="1"/>
    <m/>
    <x v="2"/>
    <x v="2"/>
    <x v="2"/>
    <n v="1"/>
    <n v="1"/>
    <n v="0"/>
  </r>
  <r>
    <s v="E11625"/>
    <x v="1"/>
    <x v="1"/>
    <s v="Male"/>
    <n v="37"/>
    <s v="36-45"/>
    <x v="1"/>
    <d v="2020-08-04T00:00:00"/>
    <n v="5.4"/>
    <x v="1"/>
    <n v="3750"/>
    <x v="0"/>
    <x v="1"/>
    <n v="5"/>
    <n v="30"/>
    <x v="1"/>
    <m/>
    <x v="2"/>
    <x v="2"/>
    <x v="2"/>
    <n v="1"/>
    <n v="1"/>
    <n v="0"/>
  </r>
  <r>
    <s v="E11626"/>
    <x v="6"/>
    <x v="0"/>
    <s v="Male"/>
    <n v="28"/>
    <s v="26-35"/>
    <x v="2"/>
    <d v="2023-11-24T00:00:00"/>
    <n v="2.1"/>
    <x v="0"/>
    <n v="4000"/>
    <x v="0"/>
    <x v="1"/>
    <n v="3"/>
    <n v="32"/>
    <x v="1"/>
    <m/>
    <x v="2"/>
    <x v="2"/>
    <x v="2"/>
    <n v="1"/>
    <n v="1"/>
    <n v="0"/>
  </r>
  <r>
    <s v="E11627"/>
    <x v="5"/>
    <x v="1"/>
    <s v="Male"/>
    <n v="28"/>
    <s v="26-35"/>
    <x v="1"/>
    <d v="2021-08-19T00:00:00"/>
    <n v="2.4"/>
    <x v="0"/>
    <n v="4800"/>
    <x v="1"/>
    <x v="4"/>
    <n v="3"/>
    <n v="33"/>
    <x v="0"/>
    <d v="2024-01-27T00:00:00"/>
    <x v="0"/>
    <x v="7"/>
    <x v="0"/>
    <n v="1"/>
    <n v="0"/>
    <n v="1"/>
  </r>
  <r>
    <s v="E11628"/>
    <x v="1"/>
    <x v="0"/>
    <s v="Female"/>
    <n v="25"/>
    <s v="20-25"/>
    <x v="1"/>
    <d v="2023-06-30T00:00:00"/>
    <n v="2.5"/>
    <x v="0"/>
    <n v="3650"/>
    <x v="1"/>
    <x v="4"/>
    <n v="5"/>
    <n v="36"/>
    <x v="1"/>
    <m/>
    <x v="2"/>
    <x v="2"/>
    <x v="2"/>
    <n v="1"/>
    <n v="1"/>
    <n v="0"/>
  </r>
  <r>
    <s v="E11629"/>
    <x v="1"/>
    <x v="0"/>
    <s v="Male"/>
    <n v="22"/>
    <s v="20-25"/>
    <x v="1"/>
    <d v="2025-10-24T00:00:00"/>
    <n v="0.2"/>
    <x v="3"/>
    <n v="3600"/>
    <x v="0"/>
    <x v="2"/>
    <n v="3"/>
    <n v="25"/>
    <x v="1"/>
    <m/>
    <x v="2"/>
    <x v="2"/>
    <x v="2"/>
    <n v="1"/>
    <n v="1"/>
    <n v="0"/>
  </r>
  <r>
    <s v="E11630"/>
    <x v="0"/>
    <x v="0"/>
    <s v="Male"/>
    <n v="21"/>
    <s v="20-25"/>
    <x v="1"/>
    <d v="2025-11-03T00:00:00"/>
    <n v="0.2"/>
    <x v="3"/>
    <n v="3200"/>
    <x v="0"/>
    <x v="0"/>
    <n v="3"/>
    <n v="16"/>
    <x v="1"/>
    <m/>
    <x v="2"/>
    <x v="2"/>
    <x v="2"/>
    <n v="1"/>
    <n v="1"/>
    <n v="0"/>
  </r>
  <r>
    <s v="E11631"/>
    <x v="1"/>
    <x v="1"/>
    <s v="Female"/>
    <n v="39"/>
    <s v="36-45"/>
    <x v="2"/>
    <d v="2023-01-30T00:00:00"/>
    <n v="2.9"/>
    <x v="0"/>
    <n v="4050"/>
    <x v="1"/>
    <x v="2"/>
    <n v="4"/>
    <n v="17"/>
    <x v="1"/>
    <m/>
    <x v="2"/>
    <x v="2"/>
    <x v="2"/>
    <n v="1"/>
    <n v="1"/>
    <n v="0"/>
  </r>
  <r>
    <s v="E11632"/>
    <x v="0"/>
    <x v="0"/>
    <s v="Female"/>
    <n v="29"/>
    <s v="26-35"/>
    <x v="1"/>
    <d v="2022-08-08T00:00:00"/>
    <n v="3.4"/>
    <x v="2"/>
    <n v="2450"/>
    <x v="0"/>
    <x v="1"/>
    <n v="4"/>
    <n v="34"/>
    <x v="1"/>
    <m/>
    <x v="2"/>
    <x v="2"/>
    <x v="2"/>
    <n v="1"/>
    <n v="1"/>
    <n v="0"/>
  </r>
  <r>
    <s v="E11633"/>
    <x v="4"/>
    <x v="1"/>
    <s v="Female"/>
    <n v="31"/>
    <s v="26-35"/>
    <x v="1"/>
    <d v="2021-03-18T00:00:00"/>
    <n v="4.8"/>
    <x v="2"/>
    <n v="5600"/>
    <x v="0"/>
    <x v="0"/>
    <n v="3"/>
    <n v="34"/>
    <x v="1"/>
    <m/>
    <x v="2"/>
    <x v="2"/>
    <x v="2"/>
    <n v="1"/>
    <n v="1"/>
    <n v="0"/>
  </r>
  <r>
    <s v="E11634"/>
    <x v="3"/>
    <x v="1"/>
    <s v="Female"/>
    <n v="33"/>
    <s v="26-35"/>
    <x v="1"/>
    <d v="2021-02-16T00:00:00"/>
    <n v="4.9000000000000004"/>
    <x v="2"/>
    <n v="7500"/>
    <x v="0"/>
    <x v="1"/>
    <n v="3"/>
    <n v="17"/>
    <x v="1"/>
    <m/>
    <x v="2"/>
    <x v="2"/>
    <x v="2"/>
    <n v="1"/>
    <n v="1"/>
    <n v="0"/>
  </r>
  <r>
    <s v="E11635"/>
    <x v="2"/>
    <x v="2"/>
    <s v="Male"/>
    <n v="43"/>
    <s v="36-45"/>
    <x v="0"/>
    <d v="2012-07-24T00:00:00"/>
    <n v="13.4"/>
    <x v="1"/>
    <n v="10200"/>
    <x v="0"/>
    <x v="1"/>
    <n v="4"/>
    <n v="44"/>
    <x v="1"/>
    <m/>
    <x v="2"/>
    <x v="2"/>
    <x v="2"/>
    <n v="1"/>
    <n v="1"/>
    <n v="0"/>
  </r>
  <r>
    <s v="E11636"/>
    <x v="3"/>
    <x v="2"/>
    <s v="Female"/>
    <n v="42"/>
    <s v="36-45"/>
    <x v="1"/>
    <d v="2020-05-24T00:00:00"/>
    <n v="5.6"/>
    <x v="1"/>
    <n v="10950"/>
    <x v="0"/>
    <x v="1"/>
    <n v="3"/>
    <n v="25"/>
    <x v="1"/>
    <m/>
    <x v="2"/>
    <x v="2"/>
    <x v="2"/>
    <n v="1"/>
    <n v="1"/>
    <n v="0"/>
  </r>
  <r>
    <s v="E11637"/>
    <x v="5"/>
    <x v="1"/>
    <s v="Male"/>
    <n v="29"/>
    <s v="26-35"/>
    <x v="0"/>
    <d v="2023-04-20T00:00:00"/>
    <n v="2.7"/>
    <x v="0"/>
    <n v="4150"/>
    <x v="0"/>
    <x v="1"/>
    <n v="3"/>
    <n v="23"/>
    <x v="1"/>
    <m/>
    <x v="2"/>
    <x v="2"/>
    <x v="2"/>
    <n v="1"/>
    <n v="1"/>
    <n v="0"/>
  </r>
  <r>
    <s v="E11638"/>
    <x v="0"/>
    <x v="1"/>
    <s v="Male"/>
    <n v="35"/>
    <s v="26-35"/>
    <x v="0"/>
    <d v="2016-10-05T00:00:00"/>
    <n v="9.1999999999999993"/>
    <x v="1"/>
    <n v="3450"/>
    <x v="1"/>
    <x v="1"/>
    <n v="4"/>
    <n v="33"/>
    <x v="1"/>
    <m/>
    <x v="2"/>
    <x v="2"/>
    <x v="2"/>
    <n v="1"/>
    <n v="1"/>
    <n v="0"/>
  </r>
  <r>
    <s v="E11639"/>
    <x v="5"/>
    <x v="1"/>
    <s v="Female"/>
    <n v="41"/>
    <s v="36-45"/>
    <x v="2"/>
    <d v="2012-05-05T00:00:00"/>
    <n v="12"/>
    <x v="1"/>
    <n v="4150"/>
    <x v="0"/>
    <x v="2"/>
    <n v="5"/>
    <n v="25"/>
    <x v="0"/>
    <d v="2024-04-18T00:00:00"/>
    <x v="0"/>
    <x v="8"/>
    <x v="3"/>
    <n v="1"/>
    <n v="0"/>
    <n v="1"/>
  </r>
  <r>
    <s v="E11640"/>
    <x v="2"/>
    <x v="2"/>
    <s v="Male"/>
    <n v="34"/>
    <s v="26-35"/>
    <x v="0"/>
    <d v="2020-12-05T00:00:00"/>
    <n v="5.0999999999999996"/>
    <x v="1"/>
    <n v="9850"/>
    <x v="0"/>
    <x v="0"/>
    <n v="5"/>
    <n v="23"/>
    <x v="1"/>
    <m/>
    <x v="2"/>
    <x v="2"/>
    <x v="2"/>
    <n v="1"/>
    <n v="1"/>
    <n v="0"/>
  </r>
  <r>
    <s v="E11641"/>
    <x v="5"/>
    <x v="0"/>
    <s v="Female"/>
    <n v="27"/>
    <s v="26-35"/>
    <x v="1"/>
    <d v="2021-06-02T00:00:00"/>
    <n v="4.5999999999999996"/>
    <x v="2"/>
    <n v="3800"/>
    <x v="0"/>
    <x v="0"/>
    <n v="5"/>
    <n v="26"/>
    <x v="1"/>
    <m/>
    <x v="2"/>
    <x v="2"/>
    <x v="2"/>
    <n v="1"/>
    <n v="1"/>
    <n v="0"/>
  </r>
  <r>
    <s v="E11642"/>
    <x v="2"/>
    <x v="2"/>
    <s v="Female"/>
    <n v="34"/>
    <s v="26-35"/>
    <x v="1"/>
    <d v="2023-11-29T00:00:00"/>
    <n v="2.1"/>
    <x v="0"/>
    <n v="8500"/>
    <x v="0"/>
    <x v="1"/>
    <n v="3"/>
    <n v="25"/>
    <x v="1"/>
    <m/>
    <x v="2"/>
    <x v="2"/>
    <x v="2"/>
    <n v="1"/>
    <n v="1"/>
    <n v="0"/>
  </r>
  <r>
    <s v="E11643"/>
    <x v="4"/>
    <x v="1"/>
    <s v="Male"/>
    <n v="41"/>
    <s v="36-45"/>
    <x v="1"/>
    <d v="2021-10-17T00:00:00"/>
    <n v="3.9"/>
    <x v="2"/>
    <n v="5950"/>
    <x v="1"/>
    <x v="4"/>
    <n v="2"/>
    <n v="15"/>
    <x v="0"/>
    <d v="2025-09-10T00:00:00"/>
    <x v="1"/>
    <x v="12"/>
    <x v="3"/>
    <n v="1"/>
    <n v="0"/>
    <n v="1"/>
  </r>
  <r>
    <s v="E11644"/>
    <x v="2"/>
    <x v="1"/>
    <s v="Male"/>
    <n v="41"/>
    <s v="36-45"/>
    <x v="1"/>
    <d v="2012-07-30T00:00:00"/>
    <n v="13.4"/>
    <x v="1"/>
    <n v="6400"/>
    <x v="0"/>
    <x v="0"/>
    <n v="4"/>
    <n v="15"/>
    <x v="1"/>
    <m/>
    <x v="2"/>
    <x v="2"/>
    <x v="2"/>
    <n v="1"/>
    <n v="1"/>
    <n v="0"/>
  </r>
  <r>
    <s v="E11645"/>
    <x v="3"/>
    <x v="0"/>
    <s v="Male"/>
    <n v="32"/>
    <s v="26-35"/>
    <x v="0"/>
    <d v="2018-04-12T00:00:00"/>
    <n v="7.7"/>
    <x v="1"/>
    <n v="6600"/>
    <x v="0"/>
    <x v="0"/>
    <n v="4"/>
    <n v="14"/>
    <x v="1"/>
    <m/>
    <x v="2"/>
    <x v="2"/>
    <x v="2"/>
    <n v="1"/>
    <n v="1"/>
    <n v="0"/>
  </r>
  <r>
    <s v="E11646"/>
    <x v="3"/>
    <x v="0"/>
    <s v="Male"/>
    <n v="21"/>
    <s v="20-25"/>
    <x v="1"/>
    <d v="2025-11-30T00:00:00"/>
    <n v="0.1"/>
    <x v="3"/>
    <n v="5900"/>
    <x v="0"/>
    <x v="1"/>
    <n v="2"/>
    <n v="26"/>
    <x v="1"/>
    <m/>
    <x v="2"/>
    <x v="2"/>
    <x v="2"/>
    <n v="1"/>
    <n v="1"/>
    <n v="0"/>
  </r>
  <r>
    <s v="E11647"/>
    <x v="4"/>
    <x v="3"/>
    <s v="Male"/>
    <n v="40"/>
    <s v="36-45"/>
    <x v="0"/>
    <d v="2020-07-27T00:00:00"/>
    <n v="5.4"/>
    <x v="1"/>
    <n v="11900"/>
    <x v="0"/>
    <x v="1"/>
    <n v="4"/>
    <n v="31"/>
    <x v="1"/>
    <m/>
    <x v="2"/>
    <x v="2"/>
    <x v="2"/>
    <n v="1"/>
    <n v="1"/>
    <n v="0"/>
  </r>
  <r>
    <s v="E11648"/>
    <x v="1"/>
    <x v="0"/>
    <s v="Male"/>
    <n v="36"/>
    <s v="36-45"/>
    <x v="1"/>
    <d v="2016-07-28T00:00:00"/>
    <n v="9.4"/>
    <x v="1"/>
    <n v="3100"/>
    <x v="1"/>
    <x v="1"/>
    <n v="3"/>
    <n v="33"/>
    <x v="1"/>
    <m/>
    <x v="2"/>
    <x v="2"/>
    <x v="2"/>
    <n v="1"/>
    <n v="1"/>
    <n v="0"/>
  </r>
  <r>
    <s v="E11649"/>
    <x v="5"/>
    <x v="1"/>
    <s v="Male"/>
    <n v="29"/>
    <s v="26-35"/>
    <x v="1"/>
    <d v="2023-10-31T00:00:00"/>
    <n v="2.2000000000000002"/>
    <x v="0"/>
    <n v="5150"/>
    <x v="0"/>
    <x v="0"/>
    <n v="5"/>
    <n v="18"/>
    <x v="1"/>
    <m/>
    <x v="2"/>
    <x v="2"/>
    <x v="2"/>
    <n v="1"/>
    <n v="1"/>
    <n v="0"/>
  </r>
  <r>
    <s v="E11650"/>
    <x v="0"/>
    <x v="1"/>
    <s v="Male"/>
    <n v="36"/>
    <s v="36-45"/>
    <x v="1"/>
    <d v="2017-08-08T00:00:00"/>
    <n v="6.5"/>
    <x v="1"/>
    <n v="3250"/>
    <x v="0"/>
    <x v="0"/>
    <n v="4"/>
    <n v="12"/>
    <x v="0"/>
    <d v="2024-02-17T00:00:00"/>
    <x v="0"/>
    <x v="6"/>
    <x v="0"/>
    <n v="1"/>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C9C3DB-8164-411E-AF3E-3DFC8821703D}" name="ptSat"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T5:U11" firstHeaderRow="1" firstDataRow="1" firstDataCol="1"/>
  <pivotFields count="24">
    <pivotField compact="0" outline="0" showAll="0"/>
    <pivotField compact="0" outline="0" showAll="0">
      <items count="8">
        <item x="0"/>
        <item x="3"/>
        <item x="2"/>
        <item x="6"/>
        <item x="4"/>
        <item x="1"/>
        <item x="5"/>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items count="4">
        <item x="0"/>
        <item x="1"/>
        <item x="2"/>
        <item t="default"/>
      </items>
    </pivotField>
    <pivotField compact="0" numFmtId="165" outline="0" showAll="0"/>
    <pivotField compact="0" numFmtId="166" outline="0" showAll="0"/>
    <pivotField compact="0" outline="0" showAll="0"/>
    <pivotField compact="0" numFmtId="167" outline="0" showAll="0"/>
    <pivotField compact="0" outline="0" showAll="0">
      <items count="3">
        <item x="0"/>
        <item x="1"/>
        <item t="default"/>
      </items>
    </pivotField>
    <pivotField axis="axisRow" compact="0" outline="0" showAll="0" defaultSubtotal="0">
      <items count="5">
        <item x="3"/>
        <item x="4"/>
        <item x="1"/>
        <item x="0"/>
        <item x="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12"/>
  </rowFields>
  <rowItems count="6">
    <i>
      <x/>
    </i>
    <i>
      <x v="1"/>
    </i>
    <i>
      <x v="2"/>
    </i>
    <i>
      <x v="3"/>
    </i>
    <i>
      <x v="4"/>
    </i>
    <i t="grand">
      <x/>
    </i>
  </rowItems>
  <colItems count="1">
    <i/>
  </colItems>
  <dataFields count="1">
    <dataField name="Attrition " fld="23"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010DD6-63DD-4C5A-9EE4-B35354B21E5D}" name="ptTenure"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Q5:R10" firstHeaderRow="1" firstDataRow="1" firstDataCol="1"/>
  <pivotFields count="24">
    <pivotField compact="0" outline="0" showAll="0"/>
    <pivotField compact="0" outline="0" showAll="0">
      <items count="8">
        <item x="0"/>
        <item x="3"/>
        <item x="2"/>
        <item x="6"/>
        <item x="4"/>
        <item x="1"/>
        <item x="5"/>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items count="4">
        <item x="0"/>
        <item x="1"/>
        <item x="2"/>
        <item t="default"/>
      </items>
    </pivotField>
    <pivotField compact="0" numFmtId="165" outline="0" showAll="0"/>
    <pivotField compact="0" numFmtId="166" outline="0" showAll="0"/>
    <pivotField axis="axisRow" compact="0" outline="0" showAll="0" defaultSubtotal="0">
      <items count="4">
        <item x="3"/>
        <item x="0"/>
        <item x="2"/>
        <item x="1"/>
      </items>
    </pivotField>
    <pivotField compact="0" numFmtId="167"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s>
  <rowFields count="1">
    <field x="9"/>
  </rowFields>
  <rowItems count="5">
    <i>
      <x/>
    </i>
    <i>
      <x v="1"/>
    </i>
    <i>
      <x v="2"/>
    </i>
    <i>
      <x v="3"/>
    </i>
    <i t="grand">
      <x/>
    </i>
  </rowItems>
  <colItems count="1">
    <i/>
  </colItems>
  <dataFields count="1">
    <dataField name="Attrition " fld="23"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FC7DDC-FBE3-4867-AC10-F2D5D08493A5}" name="ptReason"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N5:O12" firstHeaderRow="1" firstDataRow="1" firstDataCol="1"/>
  <pivotFields count="24">
    <pivotField compact="0" outline="0" showAll="0"/>
    <pivotField compact="0" outline="0" showAll="0">
      <items count="8">
        <item x="0"/>
        <item x="3"/>
        <item x="2"/>
        <item x="6"/>
        <item x="4"/>
        <item x="1"/>
        <item x="5"/>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items count="4">
        <item x="0"/>
        <item x="1"/>
        <item x="2"/>
        <item t="default"/>
      </items>
    </pivotField>
    <pivotField compact="0" numFmtId="165" outline="0" showAll="0"/>
    <pivotField compact="0" numFmtId="166" outline="0" showAll="0"/>
    <pivotField compact="0" outline="0" showAll="0"/>
    <pivotField compact="0" numFmtId="167"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defaultSubtotal="0">
      <items count="7">
        <item x="0"/>
        <item x="1"/>
        <item x="5"/>
        <item x="4"/>
        <item x="6"/>
        <item x="3"/>
        <item h="1" x="2"/>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dragToRow="0" dragToCol="0" dragToPage="0" showAll="0" defaultSubtotal="0"/>
  </pivotFields>
  <rowFields count="1">
    <field x="19"/>
  </rowFields>
  <rowItems count="7">
    <i>
      <x/>
    </i>
    <i>
      <x v="5"/>
    </i>
    <i>
      <x v="1"/>
    </i>
    <i>
      <x v="2"/>
    </i>
    <i>
      <x v="4"/>
    </i>
    <i>
      <x v="3"/>
    </i>
    <i t="grand">
      <x/>
    </i>
  </rowItems>
  <colItems count="1">
    <i/>
  </colItems>
  <dataFields count="1">
    <dataField name="Leavers " fld="22"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A1A926-4201-4BC0-988F-4BD90AB4BE49}" name="ptDeptStatus" cacheId="18" applyNumberFormats="0" applyBorderFormats="0" applyFontFormats="0" applyPatternFormats="0" applyAlignmentFormats="0" applyWidthHeightFormats="1" dataCaption="Values" updatedVersion="8" minRefreshableVersion="3" rowGrandTotals="0" colGrandTotals="0" itemPrintTitles="1" createdVersion="5" indent="0" compact="0" compactData="0" multipleFieldFilters="0" chartFormat="1">
  <location ref="J5:L13" firstHeaderRow="1" firstDataRow="2" firstDataCol="1"/>
  <pivotFields count="24">
    <pivotField compact="0" outline="0" showAll="0"/>
    <pivotField axis="axisRow" compact="0" outline="0" showAll="0" defaultSubtotal="0">
      <items count="7">
        <item x="0"/>
        <item x="3"/>
        <item x="2"/>
        <item x="6"/>
        <item x="4"/>
        <item x="1"/>
        <item x="5"/>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items count="4">
        <item x="0"/>
        <item x="1"/>
        <item x="2"/>
        <item t="default"/>
      </items>
    </pivotField>
    <pivotField compact="0" numFmtId="165" outline="0" showAll="0"/>
    <pivotField compact="0" numFmtId="166" outline="0" showAll="0"/>
    <pivotField compact="0" outline="0" showAll="0"/>
    <pivotField compact="0" numFmtId="167" outline="0" showAll="0"/>
    <pivotField compact="0" outline="0" showAll="0">
      <items count="3">
        <item x="0"/>
        <item x="1"/>
        <item t="default"/>
      </items>
    </pivotField>
    <pivotField compact="0" outline="0" showAll="0"/>
    <pivotField compact="0" outline="0" showAll="0"/>
    <pivotField compact="0" outline="0" showAll="0"/>
    <pivotField axis="axisCol" compact="0" outline="0" showAll="0" defaultSubtotal="0">
      <items count="2">
        <item x="1"/>
        <item x="0"/>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dragToRow="0" dragToCol="0" dragToPage="0" showAll="0" defaultSubtotal="0"/>
  </pivotFields>
  <rowFields count="1">
    <field x="1"/>
  </rowFields>
  <rowItems count="7">
    <i>
      <x/>
    </i>
    <i>
      <x v="1"/>
    </i>
    <i>
      <x v="2"/>
    </i>
    <i>
      <x v="3"/>
    </i>
    <i>
      <x v="4"/>
    </i>
    <i>
      <x v="5"/>
    </i>
    <i>
      <x v="6"/>
    </i>
  </rowItems>
  <colFields count="1">
    <field x="15"/>
  </colFields>
  <colItems count="2">
    <i>
      <x/>
    </i>
    <i>
      <x v="1"/>
    </i>
  </colItems>
  <dataFields count="1">
    <dataField name="Employees " fld="20" baseField="0" baseItem="0" numFmtId="3"/>
  </dataFields>
  <chartFormats count="2">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39DD04-8DAC-4A60-9C08-F2214B09ED1B}" name="ptExits" cacheId="18" applyNumberFormats="0" applyBorderFormats="0" applyFontFormats="0" applyPatternFormats="0" applyAlignmentFormats="0" applyWidthHeightFormats="1" dataCaption="Values" updatedVersion="8" minRefreshableVersion="3" itemPrintTitles="1" createdVersion="5" indent="0" compact="0" compactData="0" multipleFieldFilters="0" chartFormat="1">
  <location ref="E5:H19" firstHeaderRow="1" firstDataRow="2" firstDataCol="1"/>
  <pivotFields count="24">
    <pivotField compact="0" outline="0" showAll="0"/>
    <pivotField compact="0" outline="0" showAll="0">
      <items count="8">
        <item x="0"/>
        <item x="3"/>
        <item x="2"/>
        <item x="6"/>
        <item x="4"/>
        <item x="1"/>
        <item x="5"/>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items count="4">
        <item x="0"/>
        <item x="1"/>
        <item x="2"/>
        <item t="default"/>
      </items>
    </pivotField>
    <pivotField compact="0" numFmtId="165" outline="0" showAll="0"/>
    <pivotField compact="0" numFmtId="166" outline="0" showAll="0"/>
    <pivotField compact="0" outline="0" showAll="0"/>
    <pivotField compact="0" numFmtId="167"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axis="axisCol" compact="0" outline="0" showAll="0" defaultSubtotal="0">
      <items count="3">
        <item x="0"/>
        <item x="1"/>
        <item h="1" x="2"/>
      </items>
    </pivotField>
    <pivotField axis="axisRow" compact="0" outline="0" showAll="0" defaultSubtotal="0">
      <items count="13">
        <item x="7"/>
        <item x="6"/>
        <item x="3"/>
        <item x="8"/>
        <item x="9"/>
        <item x="0"/>
        <item x="4"/>
        <item x="1"/>
        <item x="12"/>
        <item x="11"/>
        <item x="10"/>
        <item x="5"/>
        <item h="1" x="2"/>
      </items>
    </pivotField>
    <pivotField compact="0" outline="0" showAll="0"/>
    <pivotField compact="0" outline="0" showAll="0"/>
    <pivotField compact="0" outline="0" showAll="0"/>
    <pivotField dataField="1" compact="0" outline="0" showAll="0"/>
    <pivotField compact="0" outline="0" dragToRow="0" dragToCol="0" dragToPage="0" showAll="0" defaultSubtotal="0"/>
  </pivotFields>
  <rowFields count="1">
    <field x="18"/>
  </rowFields>
  <rowItems count="13">
    <i>
      <x/>
    </i>
    <i>
      <x v="1"/>
    </i>
    <i>
      <x v="2"/>
    </i>
    <i>
      <x v="3"/>
    </i>
    <i>
      <x v="4"/>
    </i>
    <i>
      <x v="5"/>
    </i>
    <i>
      <x v="6"/>
    </i>
    <i>
      <x v="7"/>
    </i>
    <i>
      <x v="8"/>
    </i>
    <i>
      <x v="9"/>
    </i>
    <i>
      <x v="10"/>
    </i>
    <i>
      <x v="11"/>
    </i>
    <i t="grand">
      <x/>
    </i>
  </rowItems>
  <colFields count="1">
    <field x="17"/>
  </colFields>
  <colItems count="3">
    <i>
      <x/>
    </i>
    <i>
      <x v="1"/>
    </i>
    <i t="grand">
      <x/>
    </i>
  </colItems>
  <dataFields count="1">
    <dataField name="Leavers " fld="22" baseField="0" baseItem="0" numFmtId="3"/>
  </dataFields>
  <chartFormats count="2">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335079-70BD-4C4E-B0DF-45CFAF2E7C73}" name="ptKPI" cacheId="18" dataOnRows="1" applyNumberFormats="0" applyBorderFormats="0" applyFontFormats="0" applyPatternFormats="0" applyAlignmentFormats="0" applyWidthHeightFormats="1" dataCaption="Values" updatedVersion="8" minRefreshableVersion="3" itemPrintTitles="1" createdVersion="5" indent="0" compact="0" compactData="0" multipleFieldFilters="0">
  <location ref="B5:C10" firstHeaderRow="1" firstDataRow="1" firstDataCol="1"/>
  <pivotFields count="24">
    <pivotField compact="0" outline="0" showAll="0"/>
    <pivotField compact="0" outline="0" showAll="0">
      <items count="8">
        <item x="0"/>
        <item x="3"/>
        <item x="2"/>
        <item x="6"/>
        <item x="4"/>
        <item x="1"/>
        <item x="5"/>
        <item t="default"/>
      </items>
    </pivotField>
    <pivotField compact="0" outline="0" showAll="0">
      <items count="5">
        <item x="0"/>
        <item x="3"/>
        <item x="1"/>
        <item x="2"/>
        <item t="default"/>
      </items>
    </pivotField>
    <pivotField compact="0" outline="0" showAll="0"/>
    <pivotField compact="0" outline="0" showAll="0"/>
    <pivotField compact="0" outline="0" showAll="0"/>
    <pivotField compact="0" outline="0" showAll="0">
      <items count="4">
        <item x="0"/>
        <item x="1"/>
        <item x="2"/>
        <item t="default"/>
      </items>
    </pivotField>
    <pivotField compact="0" numFmtId="165" outline="0" showAll="0"/>
    <pivotField compact="0" numFmtId="166" outline="0" showAll="0"/>
    <pivotField compact="0" outline="0" showAll="0"/>
    <pivotField dataField="1" compact="0" numFmtId="167" outline="0" showAll="0"/>
    <pivotField compact="0" outline="0" showAll="0">
      <items count="3">
        <item x="0"/>
        <item x="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dataField="1" compact="0" outline="0" dragToRow="0" dragToCol="0" dragToPage="0" showAll="0" defaultSubtotal="0"/>
  </pivotFields>
  <rowFields count="1">
    <field x="-2"/>
  </rowFields>
  <rowItems count="5">
    <i>
      <x/>
    </i>
    <i i="1">
      <x v="1"/>
    </i>
    <i i="2">
      <x v="2"/>
    </i>
    <i i="3">
      <x v="3"/>
    </i>
    <i i="4">
      <x v="4"/>
    </i>
  </rowItems>
  <colItems count="1">
    <i/>
  </colItems>
  <dataFields count="5">
    <dataField name="Employees " fld="20" baseField="0" baseItem="0" numFmtId="3"/>
    <dataField name="Leavers " fld="22" baseField="0" baseItem="0" numFmtId="3"/>
    <dataField name="Attrition " fld="23" baseField="0" baseItem="0" numFmtId="168"/>
    <dataField name="Avg Salary " fld="10" subtotal="average" baseField="0" baseItem="0" numFmtId="169"/>
    <dataField name="Avg Satisfaction " fld="12" subtotal="average" baseField="0" baseItem="0" numFmtId="2"/>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68EF0EA-4F62-4346-AAE4-17D35CEE6E81}" sourceName="Department">
  <pivotTables>
    <pivotTable tabId="2" name="ptKPI"/>
    <pivotTable tabId="2" name="ptExits"/>
    <pivotTable tabId="2" name="ptDeptStatus"/>
    <pivotTable tabId="2" name="ptReason"/>
    <pivotTable tabId="2" name="ptTenure"/>
    <pivotTable tabId="2" name="ptSat"/>
  </pivotTables>
  <data>
    <tabular pivotCacheId="874552042">
      <items count="7">
        <i x="0" s="1"/>
        <i x="3" s="1"/>
        <i x="2" s="1"/>
        <i x="6" s="1"/>
        <i x="4"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4A40570C-CB22-482A-8A98-E98C1C7F475B}" sourceName="JobLevel">
  <pivotTables>
    <pivotTable tabId="2" name="ptKPI"/>
    <pivotTable tabId="2" name="ptExits"/>
    <pivotTable tabId="2" name="ptDeptStatus"/>
    <pivotTable tabId="2" name="ptReason"/>
    <pivotTable tabId="2" name="ptTenure"/>
    <pivotTable tabId="2" name="ptSat"/>
  </pivotTables>
  <data>
    <tabular pivotCacheId="874552042">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Mode" xr10:uid="{A7043833-CC07-4081-B837-4CFFC8F35C01}" sourceName="WorkMode">
  <pivotTables>
    <pivotTable tabId="2" name="ptKPI"/>
    <pivotTable tabId="2" name="ptExits"/>
    <pivotTable tabId="2" name="ptDeptStatus"/>
    <pivotTable tabId="2" name="ptReason"/>
    <pivotTable tabId="2" name="ptTenure"/>
    <pivotTable tabId="2" name="ptSat"/>
  </pivotTables>
  <data>
    <tabular pivotCacheId="87455204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2054D622-C40F-4269-981C-FADC6D306E7A}" sourceName="Overtime">
  <pivotTables>
    <pivotTable tabId="2" name="ptKPI"/>
    <pivotTable tabId="2" name="ptExits"/>
    <pivotTable tabId="2" name="ptDeptStatus"/>
    <pivotTable tabId="2" name="ptReason"/>
    <pivotTable tabId="2" name="ptTenure"/>
    <pivotTable tabId="2" name="ptSat"/>
  </pivotTables>
  <data>
    <tabular pivotCacheId="87455204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C35BC59-B635-496A-82B0-F340AD71D3E4}" cache="Slicer_Department" caption="Department" columnCount="4" style="SlicerStyleDark1" rowHeight="215900"/>
  <slicer name="JobLevel" xr10:uid="{22F53F29-E272-463F-BD24-58DEC4B09186}" cache="Slicer_JobLevel" caption="Job Level" columnCount="4" style="SlicerStyleDark1" rowHeight="215900"/>
  <slicer name="WorkMode" xr10:uid="{1B514A77-4518-4B2F-92DA-2BC63206027A}" cache="Slicer_WorkMode" caption="Work Mode" columnCount="3" style="SlicerStyleDark1" rowHeight="215900"/>
  <slicer name="Overtime" xr10:uid="{82357BA8-A637-4E11-88C8-E6AD8090B488}" cache="Slicer_Overtime" caption="Overtime" columnCount="2" style="SlicerStyleDark1" rowHeight="2159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Data" displayName="tblData" ref="A1:W1651">
  <autoFilter ref="A1:W1651" xr:uid="{00000000-0009-0000-0100-000001000000}"/>
  <tableColumns count="23">
    <tableColumn id="1" xr3:uid="{00000000-0010-0000-0000-000001000000}" name="EmployeeID"/>
    <tableColumn id="2" xr3:uid="{00000000-0010-0000-0000-000002000000}" name="Department"/>
    <tableColumn id="3" xr3:uid="{00000000-0010-0000-0000-000003000000}" name="JobLevel"/>
    <tableColumn id="4" xr3:uid="{00000000-0010-0000-0000-000004000000}" name="Gender"/>
    <tableColumn id="5" xr3:uid="{00000000-0010-0000-0000-000005000000}" name="Age"/>
    <tableColumn id="6" xr3:uid="{00000000-0010-0000-0000-000006000000}" name="AgeBand"/>
    <tableColumn id="7" xr3:uid="{00000000-0010-0000-0000-000007000000}" name="WorkMode"/>
    <tableColumn id="8" xr3:uid="{00000000-0010-0000-0000-000008000000}" name="HireDate"/>
    <tableColumn id="9" xr3:uid="{00000000-0010-0000-0000-000009000000}" name="TenureYears"/>
    <tableColumn id="10" xr3:uid="{00000000-0010-0000-0000-00000A000000}" name="TenureBand"/>
    <tableColumn id="11" xr3:uid="{00000000-0010-0000-0000-00000B000000}" name="MonthlySalary"/>
    <tableColumn id="12" xr3:uid="{00000000-0010-0000-0000-00000C000000}" name="Overtime"/>
    <tableColumn id="13" xr3:uid="{00000000-0010-0000-0000-00000D000000}" name="Satisfaction"/>
    <tableColumn id="14" xr3:uid="{00000000-0010-0000-0000-00000E000000}" name="PerformanceRating"/>
    <tableColumn id="15" xr3:uid="{00000000-0010-0000-0000-00000F000000}" name="TrainingHours"/>
    <tableColumn id="16" xr3:uid="{00000000-0010-0000-0000-000010000000}" name="Status"/>
    <tableColumn id="17" xr3:uid="{00000000-0010-0000-0000-000011000000}" name="ExitDate"/>
    <tableColumn id="18" xr3:uid="{00000000-0010-0000-0000-000012000000}" name="ExitYear"/>
    <tableColumn id="19" xr3:uid="{00000000-0010-0000-0000-000013000000}" name="ExitMonth"/>
    <tableColumn id="20" xr3:uid="{00000000-0010-0000-0000-000014000000}" name="ExitReason"/>
    <tableColumn id="21" xr3:uid="{00000000-0010-0000-0000-000015000000}" name="Employees"/>
    <tableColumn id="22" xr3:uid="{00000000-0010-0000-0000-000016000000}" name="Active"/>
    <tableColumn id="23" xr3:uid="{00000000-0010-0000-0000-000017000000}" name="Lef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F0D17"/>
      </a:dk2>
      <a:lt2>
        <a:srgbClr val="EEECE1"/>
      </a:lt2>
      <a:accent1>
        <a:srgbClr val="8B5CF6"/>
      </a:accent1>
      <a:accent2>
        <a:srgbClr val="F472B6"/>
      </a:accent2>
      <a:accent3>
        <a:srgbClr val="22D3EE"/>
      </a:accent3>
      <a:accent4>
        <a:srgbClr val="FBBF24"/>
      </a:accent4>
      <a:accent5>
        <a:srgbClr val="34D399"/>
      </a:accent5>
      <a:accent6>
        <a:srgbClr val="94A3B8"/>
      </a:accent6>
      <a:hlink>
        <a:srgbClr val="0000FF"/>
      </a:hlink>
      <a:folHlink>
        <a:srgbClr val="800080"/>
      </a:folHlink>
    </a:clrScheme>
    <a:fontScheme name="Office">
      <a:majorFont>
        <a:latin typeface="Segoe U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Segoe U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0D17"/>
    <pageSetUpPr fitToPage="1"/>
  </sheetPr>
  <dimension ref="A1:BP56"/>
  <sheetViews>
    <sheetView showGridLines="0" showRowColHeaders="0" tabSelected="1" zoomScale="90" zoomScaleNormal="90" workbookViewId="0"/>
  </sheetViews>
  <sheetFormatPr defaultRowHeight="12" x14ac:dyDescent="0.2"/>
  <cols>
    <col min="1" max="74" width="2.75" style="19" customWidth="1"/>
    <col min="75" max="16384" width="9" style="19"/>
  </cols>
  <sheetData>
    <row r="1" spans="1:68" ht="15" customHeight="1" x14ac:dyDescent="0.2">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row>
    <row r="2" spans="1:68" ht="26.1" customHeight="1" x14ac:dyDescent="0.6">
      <c r="A2" s="20"/>
      <c r="B2" s="21" t="s">
        <v>1719</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4" t="s">
        <v>1790</v>
      </c>
      <c r="BP2" s="20"/>
    </row>
    <row r="3" spans="1:68" ht="15" customHeight="1" x14ac:dyDescent="0.25">
      <c r="A3" s="20"/>
      <c r="B3" s="22" t="s">
        <v>1805</v>
      </c>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5" t="s">
        <v>1806</v>
      </c>
      <c r="BP3" s="20"/>
    </row>
    <row r="4" spans="1:68" ht="5.0999999999999996" customHeight="1" x14ac:dyDescent="0.2">
      <c r="A4" s="20"/>
      <c r="B4" s="23"/>
      <c r="C4" s="23"/>
      <c r="D4" s="23"/>
      <c r="E4" s="23"/>
      <c r="F4" s="23"/>
      <c r="G4" s="23"/>
      <c r="H4" s="23"/>
      <c r="I4" s="23"/>
      <c r="J4" s="23"/>
      <c r="K4" s="23"/>
      <c r="L4" s="23"/>
      <c r="M4" s="23"/>
      <c r="N4" s="23"/>
      <c r="O4" s="23"/>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row>
    <row r="5" spans="1:68" ht="15" customHeight="1" x14ac:dyDescent="0.2">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row>
    <row r="6" spans="1:68" ht="15" customHeight="1" x14ac:dyDescent="0.2">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row>
    <row r="7" spans="1:68" ht="15" customHeight="1" x14ac:dyDescent="0.2">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row>
    <row r="8" spans="1:68" ht="15" customHeight="1" x14ac:dyDescent="0.2">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row>
    <row r="9" spans="1:68" ht="15" customHeight="1" x14ac:dyDescent="0.2">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row>
    <row r="10" spans="1:68" ht="15" customHeight="1" x14ac:dyDescent="0.2">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row>
    <row r="11" spans="1:68" ht="15" customHeight="1" thickBot="1"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row>
    <row r="12" spans="1:68" ht="15" customHeight="1" x14ac:dyDescent="0.2">
      <c r="A12" s="20"/>
      <c r="B12" s="28" t="s">
        <v>1807</v>
      </c>
      <c r="C12" s="26"/>
      <c r="D12" s="26"/>
      <c r="E12" s="26"/>
      <c r="F12" s="26"/>
      <c r="G12" s="26"/>
      <c r="H12" s="26"/>
      <c r="I12" s="26"/>
      <c r="J12" s="26"/>
      <c r="K12" s="26"/>
      <c r="L12" s="26"/>
      <c r="M12" s="27"/>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row>
    <row r="13" spans="1:68" ht="15" customHeight="1" x14ac:dyDescent="0.2">
      <c r="A13" s="20"/>
      <c r="B13" s="29">
        <f>IFERROR(GETPIVOTDATA("Employees ",Pivots!$B$5),0)</f>
        <v>1650</v>
      </c>
      <c r="C13" s="30"/>
      <c r="D13" s="30"/>
      <c r="E13" s="30"/>
      <c r="F13" s="30"/>
      <c r="G13" s="30"/>
      <c r="H13" s="30"/>
      <c r="I13" s="30"/>
      <c r="J13" s="30"/>
      <c r="K13" s="30"/>
      <c r="L13" s="30"/>
      <c r="M13" s="31"/>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row>
    <row r="14" spans="1:68" ht="15" customHeight="1" x14ac:dyDescent="0.2">
      <c r="A14" s="20"/>
      <c r="B14" s="29"/>
      <c r="C14" s="30"/>
      <c r="D14" s="30"/>
      <c r="E14" s="30"/>
      <c r="F14" s="30"/>
      <c r="G14" s="30"/>
      <c r="H14" s="30"/>
      <c r="I14" s="30"/>
      <c r="J14" s="30"/>
      <c r="K14" s="30"/>
      <c r="L14" s="30"/>
      <c r="M14" s="31"/>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row>
    <row r="15" spans="1:68" ht="15" customHeight="1" x14ac:dyDescent="0.2">
      <c r="A15" s="20"/>
      <c r="B15" s="29"/>
      <c r="C15" s="30"/>
      <c r="D15" s="30"/>
      <c r="E15" s="30"/>
      <c r="F15" s="30"/>
      <c r="G15" s="30"/>
      <c r="H15" s="30"/>
      <c r="I15" s="30"/>
      <c r="J15" s="30"/>
      <c r="K15" s="30"/>
      <c r="L15" s="30"/>
      <c r="M15" s="31"/>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row>
    <row r="16" spans="1:68" ht="15" customHeight="1" x14ac:dyDescent="0.2">
      <c r="A16" s="20"/>
      <c r="B16" s="29"/>
      <c r="C16" s="30"/>
      <c r="D16" s="30"/>
      <c r="E16" s="30"/>
      <c r="F16" s="30"/>
      <c r="G16" s="30"/>
      <c r="H16" s="30"/>
      <c r="I16" s="30"/>
      <c r="J16" s="30"/>
      <c r="K16" s="30"/>
      <c r="L16" s="30"/>
      <c r="M16" s="31"/>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row>
    <row r="17" spans="1:68" ht="15" customHeight="1" x14ac:dyDescent="0.2">
      <c r="A17" s="20"/>
      <c r="B17" s="32" t="s">
        <v>1808</v>
      </c>
      <c r="C17" s="33"/>
      <c r="D17" s="33"/>
      <c r="E17" s="33"/>
      <c r="F17" s="33"/>
      <c r="G17" s="33"/>
      <c r="H17" s="33"/>
      <c r="I17" s="33"/>
      <c r="J17" s="33"/>
      <c r="K17" s="33"/>
      <c r="L17" s="33"/>
      <c r="M17" s="34"/>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row>
    <row r="18" spans="1:68" ht="15" customHeight="1" thickBot="1" x14ac:dyDescent="0.2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row>
    <row r="19" spans="1:68" ht="15" customHeight="1" x14ac:dyDescent="0.2">
      <c r="A19" s="20"/>
      <c r="B19" s="37" t="s">
        <v>1809</v>
      </c>
      <c r="C19" s="35"/>
      <c r="D19" s="35"/>
      <c r="E19" s="35"/>
      <c r="F19" s="35"/>
      <c r="G19" s="35"/>
      <c r="H19" s="35"/>
      <c r="I19" s="35"/>
      <c r="J19" s="35"/>
      <c r="K19" s="35"/>
      <c r="L19" s="35"/>
      <c r="M19" s="36"/>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row>
    <row r="20" spans="1:68" ht="15" customHeight="1" x14ac:dyDescent="0.2">
      <c r="A20" s="20"/>
      <c r="B20" s="38">
        <f>IFERROR(GETPIVOTDATA("Leavers ",Pivots!$B$5),0)</f>
        <v>297</v>
      </c>
      <c r="C20" s="39"/>
      <c r="D20" s="39"/>
      <c r="E20" s="39"/>
      <c r="F20" s="39"/>
      <c r="G20" s="39"/>
      <c r="H20" s="39"/>
      <c r="I20" s="39"/>
      <c r="J20" s="39"/>
      <c r="K20" s="39"/>
      <c r="L20" s="39"/>
      <c r="M20" s="4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row>
    <row r="21" spans="1:68" ht="15" customHeight="1" x14ac:dyDescent="0.2">
      <c r="A21" s="20"/>
      <c r="B21" s="38"/>
      <c r="C21" s="39"/>
      <c r="D21" s="39"/>
      <c r="E21" s="39"/>
      <c r="F21" s="39"/>
      <c r="G21" s="39"/>
      <c r="H21" s="39"/>
      <c r="I21" s="39"/>
      <c r="J21" s="39"/>
      <c r="K21" s="39"/>
      <c r="L21" s="39"/>
      <c r="M21" s="4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row>
    <row r="22" spans="1:68" ht="15" customHeight="1" x14ac:dyDescent="0.2">
      <c r="A22" s="20"/>
      <c r="B22" s="38"/>
      <c r="C22" s="39"/>
      <c r="D22" s="39"/>
      <c r="E22" s="39"/>
      <c r="F22" s="39"/>
      <c r="G22" s="39"/>
      <c r="H22" s="39"/>
      <c r="I22" s="39"/>
      <c r="J22" s="39"/>
      <c r="K22" s="39"/>
      <c r="L22" s="39"/>
      <c r="M22" s="4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row>
    <row r="23" spans="1:68" ht="15" customHeight="1" x14ac:dyDescent="0.2">
      <c r="A23" s="20"/>
      <c r="B23" s="38"/>
      <c r="C23" s="39"/>
      <c r="D23" s="39"/>
      <c r="E23" s="39"/>
      <c r="F23" s="39"/>
      <c r="G23" s="39"/>
      <c r="H23" s="39"/>
      <c r="I23" s="39"/>
      <c r="J23" s="39"/>
      <c r="K23" s="39"/>
      <c r="L23" s="39"/>
      <c r="M23" s="4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row>
    <row r="24" spans="1:68" ht="15" customHeight="1" x14ac:dyDescent="0.2">
      <c r="A24" s="20"/>
      <c r="B24" s="32" t="s">
        <v>1810</v>
      </c>
      <c r="C24" s="33"/>
      <c r="D24" s="33"/>
      <c r="E24" s="33"/>
      <c r="F24" s="33"/>
      <c r="G24" s="33"/>
      <c r="H24" s="33"/>
      <c r="I24" s="33"/>
      <c r="J24" s="33"/>
      <c r="K24" s="33"/>
      <c r="L24" s="33"/>
      <c r="M24" s="34"/>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row>
    <row r="25" spans="1:68" ht="15" customHeight="1" thickBot="1" x14ac:dyDescent="0.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row>
    <row r="26" spans="1:68" ht="15" customHeight="1" x14ac:dyDescent="0.2">
      <c r="A26" s="20"/>
      <c r="B26" s="37" t="s">
        <v>1811</v>
      </c>
      <c r="C26" s="35"/>
      <c r="D26" s="35"/>
      <c r="E26" s="35"/>
      <c r="F26" s="35"/>
      <c r="G26" s="35"/>
      <c r="H26" s="35"/>
      <c r="I26" s="35"/>
      <c r="J26" s="35"/>
      <c r="K26" s="35"/>
      <c r="L26" s="35"/>
      <c r="M26" s="36"/>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row>
    <row r="27" spans="1:68" ht="15" customHeight="1" x14ac:dyDescent="0.2">
      <c r="A27" s="20"/>
      <c r="B27" s="41">
        <f>IFERROR(GETPIVOTDATA("Attrition ",Pivots!$B$5),0)</f>
        <v>0.18</v>
      </c>
      <c r="C27" s="42"/>
      <c r="D27" s="42"/>
      <c r="E27" s="42"/>
      <c r="F27" s="42"/>
      <c r="G27" s="42"/>
      <c r="H27" s="42"/>
      <c r="I27" s="42"/>
      <c r="J27" s="42"/>
      <c r="K27" s="42"/>
      <c r="L27" s="42"/>
      <c r="M27" s="43"/>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row>
    <row r="28" spans="1:68" ht="15" customHeight="1" x14ac:dyDescent="0.2">
      <c r="A28" s="20"/>
      <c r="B28" s="41"/>
      <c r="C28" s="42"/>
      <c r="D28" s="42"/>
      <c r="E28" s="42"/>
      <c r="F28" s="42"/>
      <c r="G28" s="42"/>
      <c r="H28" s="42"/>
      <c r="I28" s="42"/>
      <c r="J28" s="42"/>
      <c r="K28" s="42"/>
      <c r="L28" s="42"/>
      <c r="M28" s="43"/>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row>
    <row r="29" spans="1:68" ht="15" customHeight="1" x14ac:dyDescent="0.2">
      <c r="A29" s="20"/>
      <c r="B29" s="41"/>
      <c r="C29" s="42"/>
      <c r="D29" s="42"/>
      <c r="E29" s="42"/>
      <c r="F29" s="42"/>
      <c r="G29" s="42"/>
      <c r="H29" s="42"/>
      <c r="I29" s="42"/>
      <c r="J29" s="42"/>
      <c r="K29" s="42"/>
      <c r="L29" s="42"/>
      <c r="M29" s="43"/>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row>
    <row r="30" spans="1:68" ht="15" customHeight="1" x14ac:dyDescent="0.2">
      <c r="A30" s="20"/>
      <c r="B30" s="41"/>
      <c r="C30" s="42"/>
      <c r="D30" s="42"/>
      <c r="E30" s="42"/>
      <c r="F30" s="42"/>
      <c r="G30" s="42"/>
      <c r="H30" s="42"/>
      <c r="I30" s="42"/>
      <c r="J30" s="42"/>
      <c r="K30" s="42"/>
      <c r="L30" s="42"/>
      <c r="M30" s="43"/>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row>
    <row r="31" spans="1:68" ht="15" customHeight="1" x14ac:dyDescent="0.2">
      <c r="A31" s="20"/>
      <c r="B31" s="32" t="s">
        <v>1812</v>
      </c>
      <c r="C31" s="33"/>
      <c r="D31" s="33"/>
      <c r="E31" s="33"/>
      <c r="F31" s="33"/>
      <c r="G31" s="33"/>
      <c r="H31" s="33"/>
      <c r="I31" s="33"/>
      <c r="J31" s="33"/>
      <c r="K31" s="33"/>
      <c r="L31" s="33"/>
      <c r="M31" s="34"/>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row>
    <row r="32" spans="1:68" ht="15" customHeight="1" thickBot="1" x14ac:dyDescent="0.25">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row>
    <row r="33" spans="1:68" ht="15" customHeight="1" x14ac:dyDescent="0.2">
      <c r="A33" s="20"/>
      <c r="B33" s="46" t="s">
        <v>1813</v>
      </c>
      <c r="C33" s="44"/>
      <c r="D33" s="44"/>
      <c r="E33" s="44"/>
      <c r="F33" s="44"/>
      <c r="G33" s="44"/>
      <c r="H33" s="44"/>
      <c r="I33" s="44"/>
      <c r="J33" s="44"/>
      <c r="K33" s="44"/>
      <c r="L33" s="44"/>
      <c r="M33" s="45"/>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row>
    <row r="34" spans="1:68" ht="15" customHeight="1" x14ac:dyDescent="0.2">
      <c r="A34" s="20"/>
      <c r="B34" s="47">
        <f>IFERROR(GETPIVOTDATA("Avg Salary ",Pivots!$B$5),0)</f>
        <v>5700.454545454545</v>
      </c>
      <c r="C34" s="48"/>
      <c r="D34" s="48"/>
      <c r="E34" s="48"/>
      <c r="F34" s="48"/>
      <c r="G34" s="48"/>
      <c r="H34" s="48"/>
      <c r="I34" s="48"/>
      <c r="J34" s="48"/>
      <c r="K34" s="48"/>
      <c r="L34" s="48"/>
      <c r="M34" s="49"/>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row>
    <row r="35" spans="1:68" ht="15" customHeight="1" x14ac:dyDescent="0.2">
      <c r="A35" s="20"/>
      <c r="B35" s="47"/>
      <c r="C35" s="48"/>
      <c r="D35" s="48"/>
      <c r="E35" s="48"/>
      <c r="F35" s="48"/>
      <c r="G35" s="48"/>
      <c r="H35" s="48"/>
      <c r="I35" s="48"/>
      <c r="J35" s="48"/>
      <c r="K35" s="48"/>
      <c r="L35" s="48"/>
      <c r="M35" s="49"/>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row>
    <row r="36" spans="1:68" ht="15" customHeight="1" x14ac:dyDescent="0.2">
      <c r="A36" s="20"/>
      <c r="B36" s="47"/>
      <c r="C36" s="48"/>
      <c r="D36" s="48"/>
      <c r="E36" s="48"/>
      <c r="F36" s="48"/>
      <c r="G36" s="48"/>
      <c r="H36" s="48"/>
      <c r="I36" s="48"/>
      <c r="J36" s="48"/>
      <c r="K36" s="48"/>
      <c r="L36" s="48"/>
      <c r="M36" s="49"/>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row>
    <row r="37" spans="1:68" ht="15" customHeight="1" x14ac:dyDescent="0.2">
      <c r="A37" s="20"/>
      <c r="B37" s="47"/>
      <c r="C37" s="48"/>
      <c r="D37" s="48"/>
      <c r="E37" s="48"/>
      <c r="F37" s="48"/>
      <c r="G37" s="48"/>
      <c r="H37" s="48"/>
      <c r="I37" s="48"/>
      <c r="J37" s="48"/>
      <c r="K37" s="48"/>
      <c r="L37" s="48"/>
      <c r="M37" s="49"/>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row>
    <row r="38" spans="1:68" ht="15" customHeight="1" x14ac:dyDescent="0.2">
      <c r="A38" s="20"/>
      <c r="B38" s="32" t="s">
        <v>1814</v>
      </c>
      <c r="C38" s="33"/>
      <c r="D38" s="33"/>
      <c r="E38" s="33"/>
      <c r="F38" s="33"/>
      <c r="G38" s="33"/>
      <c r="H38" s="33"/>
      <c r="I38" s="33"/>
      <c r="J38" s="33"/>
      <c r="K38" s="33"/>
      <c r="L38" s="33"/>
      <c r="M38" s="34"/>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row>
    <row r="39" spans="1:68" ht="15" customHeight="1" thickBot="1"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row>
    <row r="40" spans="1:68" ht="15" customHeight="1" x14ac:dyDescent="0.2">
      <c r="A40" s="20"/>
      <c r="B40" s="52" t="s">
        <v>1815</v>
      </c>
      <c r="C40" s="50"/>
      <c r="D40" s="50"/>
      <c r="E40" s="50"/>
      <c r="F40" s="50"/>
      <c r="G40" s="50"/>
      <c r="H40" s="50"/>
      <c r="I40" s="50"/>
      <c r="J40" s="50"/>
      <c r="K40" s="50"/>
      <c r="L40" s="50"/>
      <c r="M40" s="51"/>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row>
    <row r="41" spans="1:68" ht="15" customHeight="1" x14ac:dyDescent="0.2">
      <c r="A41" s="20"/>
      <c r="B41" s="53">
        <f>IFERROR(GETPIVOTDATA("Avg Satisfaction ",Pivots!$B$5),0)</f>
        <v>3.355151515151515</v>
      </c>
      <c r="C41" s="54"/>
      <c r="D41" s="54"/>
      <c r="E41" s="54"/>
      <c r="F41" s="54"/>
      <c r="G41" s="54"/>
      <c r="H41" s="54"/>
      <c r="I41" s="54"/>
      <c r="J41" s="54"/>
      <c r="K41" s="54"/>
      <c r="L41" s="54"/>
      <c r="M41" s="55"/>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row>
    <row r="42" spans="1:68" ht="15" customHeight="1" x14ac:dyDescent="0.2">
      <c r="A42" s="20"/>
      <c r="B42" s="53"/>
      <c r="C42" s="54"/>
      <c r="D42" s="54"/>
      <c r="E42" s="54"/>
      <c r="F42" s="54"/>
      <c r="G42" s="54"/>
      <c r="H42" s="54"/>
      <c r="I42" s="54"/>
      <c r="J42" s="54"/>
      <c r="K42" s="54"/>
      <c r="L42" s="54"/>
      <c r="M42" s="55"/>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row>
    <row r="43" spans="1:68" ht="15" customHeight="1" x14ac:dyDescent="0.2">
      <c r="A43" s="20"/>
      <c r="B43" s="53"/>
      <c r="C43" s="54"/>
      <c r="D43" s="54"/>
      <c r="E43" s="54"/>
      <c r="F43" s="54"/>
      <c r="G43" s="54"/>
      <c r="H43" s="54"/>
      <c r="I43" s="54"/>
      <c r="J43" s="54"/>
      <c r="K43" s="54"/>
      <c r="L43" s="54"/>
      <c r="M43" s="55"/>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row>
    <row r="44" spans="1:68" ht="15" customHeight="1" x14ac:dyDescent="0.2">
      <c r="A44" s="20"/>
      <c r="B44" s="53"/>
      <c r="C44" s="54"/>
      <c r="D44" s="54"/>
      <c r="E44" s="54"/>
      <c r="F44" s="54"/>
      <c r="G44" s="54"/>
      <c r="H44" s="54"/>
      <c r="I44" s="54"/>
      <c r="J44" s="54"/>
      <c r="K44" s="54"/>
      <c r="L44" s="54"/>
      <c r="M44" s="55"/>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row>
    <row r="45" spans="1:68" ht="15" customHeight="1" x14ac:dyDescent="0.2">
      <c r="A45" s="20"/>
      <c r="B45" s="32" t="s">
        <v>1816</v>
      </c>
      <c r="C45" s="33"/>
      <c r="D45" s="33"/>
      <c r="E45" s="33"/>
      <c r="F45" s="33"/>
      <c r="G45" s="33"/>
      <c r="H45" s="33"/>
      <c r="I45" s="33"/>
      <c r="J45" s="33"/>
      <c r="K45" s="33"/>
      <c r="L45" s="33"/>
      <c r="M45" s="34"/>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row>
    <row r="46" spans="1:68" ht="15" customHeight="1"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row>
    <row r="47" spans="1:68" ht="15" customHeight="1"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row>
    <row r="48" spans="1:68" ht="15" customHeight="1"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row>
    <row r="49" spans="1:68" ht="15" customHeight="1" x14ac:dyDescent="0.2">
      <c r="A49" s="20"/>
      <c r="B49" s="20"/>
      <c r="C49" s="20"/>
      <c r="D49" s="20"/>
      <c r="E49" s="20"/>
      <c r="F49" s="20"/>
      <c r="G49" s="20"/>
      <c r="H49" s="20"/>
      <c r="I49" s="20"/>
      <c r="J49" s="20"/>
      <c r="K49" s="20"/>
      <c r="L49" s="20"/>
      <c r="M49" s="20"/>
      <c r="N49" s="20"/>
      <c r="O49" s="56" t="s">
        <v>1817</v>
      </c>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row>
    <row r="50" spans="1:68" ht="15" customHeight="1" x14ac:dyDescent="0.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row>
    <row r="51" spans="1:68" ht="15" customHeight="1" x14ac:dyDescent="0.2"/>
    <row r="52" spans="1:68" ht="15" customHeight="1" x14ac:dyDescent="0.2"/>
    <row r="53" spans="1:68" ht="15" customHeight="1" x14ac:dyDescent="0.2"/>
    <row r="54" spans="1:68" ht="15" customHeight="1" x14ac:dyDescent="0.2"/>
    <row r="55" spans="1:68" ht="15" customHeight="1" x14ac:dyDescent="0.2"/>
    <row r="56" spans="1:68" ht="15" customHeight="1" x14ac:dyDescent="0.2"/>
  </sheetData>
  <mergeCells count="10">
    <mergeCell ref="B34:M37"/>
    <mergeCell ref="B38:M38"/>
    <mergeCell ref="B41:M44"/>
    <mergeCell ref="B45:M45"/>
    <mergeCell ref="B13:M16"/>
    <mergeCell ref="B17:M17"/>
    <mergeCell ref="B20:M23"/>
    <mergeCell ref="B24:M24"/>
    <mergeCell ref="B27:M30"/>
    <mergeCell ref="B31:M31"/>
  </mergeCells>
  <pageMargins left="0.75" right="0.75" top="1" bottom="1" header="0.5" footer="0.5"/>
  <pageSetup scale="6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8C8D"/>
  </sheetPr>
  <dimension ref="B1:U19"/>
  <sheetViews>
    <sheetView workbookViewId="0"/>
  </sheetViews>
  <sheetFormatPr defaultRowHeight="16.5" x14ac:dyDescent="0.3"/>
  <cols>
    <col min="1" max="1" width="9" style="18"/>
    <col min="2" max="2" width="98.125" style="18" bestFit="1" customWidth="1"/>
    <col min="3" max="3" width="6.25" style="18" bestFit="1" customWidth="1"/>
    <col min="4" max="4" width="9" style="18"/>
    <col min="5" max="5" width="22.625" style="18" bestFit="1" customWidth="1"/>
    <col min="6" max="6" width="7.5" style="18" bestFit="1" customWidth="1"/>
    <col min="7" max="7" width="4.875" style="18" bestFit="1" customWidth="1"/>
    <col min="8" max="8" width="10.625" style="18" bestFit="1" customWidth="1"/>
    <col min="9" max="9" width="9" style="18"/>
    <col min="10" max="10" width="26.5" style="18" bestFit="1" customWidth="1"/>
    <col min="11" max="11" width="6" style="18" bestFit="1" customWidth="1"/>
    <col min="12" max="12" width="4" style="18" bestFit="1" customWidth="1"/>
    <col min="13" max="13" width="9" style="18"/>
    <col min="14" max="14" width="20.75" style="18" bestFit="1" customWidth="1"/>
    <col min="15" max="15" width="7.5" style="18" bestFit="1" customWidth="1"/>
    <col min="16" max="16" width="9" style="18"/>
    <col min="17" max="17" width="22" style="18" bestFit="1" customWidth="1"/>
    <col min="18" max="18" width="8.25" style="18" bestFit="1" customWidth="1"/>
    <col min="19" max="19" width="9" style="18"/>
    <col min="20" max="20" width="26.5" style="18" bestFit="1" customWidth="1"/>
    <col min="21" max="21" width="8.25" style="18" bestFit="1" customWidth="1"/>
    <col min="22" max="16384" width="9" style="18"/>
  </cols>
  <sheetData>
    <row r="1" spans="2:21" ht="17.25" x14ac:dyDescent="0.3">
      <c r="B1" s="11" t="s">
        <v>1791</v>
      </c>
    </row>
    <row r="3" spans="2:21" x14ac:dyDescent="0.3">
      <c r="B3" s="12" t="s">
        <v>1792</v>
      </c>
      <c r="E3" s="12" t="s">
        <v>1799</v>
      </c>
      <c r="J3" s="12" t="s">
        <v>1801</v>
      </c>
      <c r="N3" s="12" t="s">
        <v>1802</v>
      </c>
      <c r="Q3" s="12" t="s">
        <v>1803</v>
      </c>
      <c r="T3" s="12" t="s">
        <v>1804</v>
      </c>
    </row>
    <row r="5" spans="2:21" x14ac:dyDescent="0.3">
      <c r="B5" s="17" t="s">
        <v>1798</v>
      </c>
      <c r="C5"/>
      <c r="E5" s="17" t="s">
        <v>1794</v>
      </c>
      <c r="F5" s="17" t="s">
        <v>17</v>
      </c>
      <c r="G5"/>
      <c r="H5"/>
      <c r="J5" s="17" t="s">
        <v>1793</v>
      </c>
      <c r="K5" s="17" t="s">
        <v>15</v>
      </c>
      <c r="L5"/>
      <c r="N5" s="17" t="s">
        <v>19</v>
      </c>
      <c r="O5" t="s">
        <v>1794</v>
      </c>
      <c r="Q5" s="17" t="s">
        <v>9</v>
      </c>
      <c r="R5" t="s">
        <v>1795</v>
      </c>
      <c r="T5" s="17" t="s">
        <v>12</v>
      </c>
      <c r="U5" t="s">
        <v>1795</v>
      </c>
    </row>
    <row r="6" spans="2:21" x14ac:dyDescent="0.3">
      <c r="B6" t="s">
        <v>1793</v>
      </c>
      <c r="C6" s="13">
        <v>1650</v>
      </c>
      <c r="E6" s="17" t="s">
        <v>18</v>
      </c>
      <c r="F6" t="s">
        <v>31</v>
      </c>
      <c r="G6" t="s">
        <v>40</v>
      </c>
      <c r="H6" t="s">
        <v>1800</v>
      </c>
      <c r="J6" s="17" t="s">
        <v>1</v>
      </c>
      <c r="K6" t="s">
        <v>21</v>
      </c>
      <c r="L6" t="s">
        <v>22</v>
      </c>
      <c r="N6" t="s">
        <v>33</v>
      </c>
      <c r="O6" s="13">
        <v>99</v>
      </c>
      <c r="Q6" t="s">
        <v>64</v>
      </c>
      <c r="R6" s="14">
        <v>0.30592105263157893</v>
      </c>
      <c r="T6">
        <v>1</v>
      </c>
      <c r="U6" s="14">
        <v>0.48780487804878048</v>
      </c>
    </row>
    <row r="7" spans="2:21" x14ac:dyDescent="0.3">
      <c r="B7" t="s">
        <v>1794</v>
      </c>
      <c r="C7" s="13">
        <v>297</v>
      </c>
      <c r="E7" t="s">
        <v>107</v>
      </c>
      <c r="F7" s="13">
        <v>11</v>
      </c>
      <c r="G7" s="13">
        <v>17</v>
      </c>
      <c r="H7" s="13">
        <v>28</v>
      </c>
      <c r="J7" t="s">
        <v>24</v>
      </c>
      <c r="K7" s="13">
        <v>231</v>
      </c>
      <c r="L7" s="13">
        <v>86</v>
      </c>
      <c r="N7" t="s">
        <v>60</v>
      </c>
      <c r="O7" s="13">
        <v>67</v>
      </c>
      <c r="Q7" t="s">
        <v>29</v>
      </c>
      <c r="R7" s="14">
        <v>0.18765432098765433</v>
      </c>
      <c r="T7">
        <v>2</v>
      </c>
      <c r="U7" s="14">
        <v>0.31275720164609055</v>
      </c>
    </row>
    <row r="8" spans="2:21" x14ac:dyDescent="0.3">
      <c r="B8" t="s">
        <v>1795</v>
      </c>
      <c r="C8" s="14">
        <v>0.18</v>
      </c>
      <c r="E8" t="s">
        <v>103</v>
      </c>
      <c r="F8" s="13">
        <v>7</v>
      </c>
      <c r="G8" s="13">
        <v>9</v>
      </c>
      <c r="H8" s="13">
        <v>16</v>
      </c>
      <c r="J8" t="s">
        <v>48</v>
      </c>
      <c r="K8" s="13">
        <v>246</v>
      </c>
      <c r="L8" s="13">
        <v>29</v>
      </c>
      <c r="N8" t="s">
        <v>42</v>
      </c>
      <c r="O8" s="13">
        <v>59</v>
      </c>
      <c r="Q8" t="s">
        <v>50</v>
      </c>
      <c r="R8" s="14">
        <v>0.14469453376205788</v>
      </c>
      <c r="T8">
        <v>3</v>
      </c>
      <c r="U8" s="14">
        <v>0.19552238805970149</v>
      </c>
    </row>
    <row r="9" spans="2:21" x14ac:dyDescent="0.3">
      <c r="B9" t="s">
        <v>1796</v>
      </c>
      <c r="C9" s="15">
        <v>5700.454545454545</v>
      </c>
      <c r="E9" t="s">
        <v>59</v>
      </c>
      <c r="F9" s="13">
        <v>5</v>
      </c>
      <c r="G9" s="13">
        <v>5</v>
      </c>
      <c r="H9" s="13">
        <v>10</v>
      </c>
      <c r="J9" t="s">
        <v>44</v>
      </c>
      <c r="K9" s="13">
        <v>120</v>
      </c>
      <c r="L9" s="13">
        <v>10</v>
      </c>
      <c r="N9" t="s">
        <v>151</v>
      </c>
      <c r="O9" s="13">
        <v>37</v>
      </c>
      <c r="Q9" t="s">
        <v>39</v>
      </c>
      <c r="R9" s="14">
        <v>0.13174603174603175</v>
      </c>
      <c r="T9">
        <v>4</v>
      </c>
      <c r="U9" s="14">
        <v>9.7713097713097719E-2</v>
      </c>
    </row>
    <row r="10" spans="2:21" x14ac:dyDescent="0.3">
      <c r="B10" t="s">
        <v>1797</v>
      </c>
      <c r="C10" s="16">
        <v>3.355151515151515</v>
      </c>
      <c r="E10" t="s">
        <v>153</v>
      </c>
      <c r="F10" s="13">
        <v>8</v>
      </c>
      <c r="G10" s="13">
        <v>15</v>
      </c>
      <c r="H10" s="13">
        <v>23</v>
      </c>
      <c r="J10" t="s">
        <v>73</v>
      </c>
      <c r="K10" s="13">
        <v>114</v>
      </c>
      <c r="L10" s="13">
        <v>10</v>
      </c>
      <c r="N10" t="s">
        <v>473</v>
      </c>
      <c r="O10" s="13">
        <v>19</v>
      </c>
      <c r="Q10" t="s">
        <v>1800</v>
      </c>
      <c r="R10" s="14">
        <v>0.18</v>
      </c>
      <c r="T10">
        <v>5</v>
      </c>
      <c r="U10" s="14">
        <v>0.10697674418604651</v>
      </c>
    </row>
    <row r="11" spans="2:21" x14ac:dyDescent="0.3">
      <c r="E11" t="s">
        <v>169</v>
      </c>
      <c r="F11" s="13">
        <v>4</v>
      </c>
      <c r="G11" s="13">
        <v>17</v>
      </c>
      <c r="H11" s="13">
        <v>21</v>
      </c>
      <c r="J11" t="s">
        <v>55</v>
      </c>
      <c r="K11" s="13">
        <v>123</v>
      </c>
      <c r="L11" s="13">
        <v>19</v>
      </c>
      <c r="N11" t="s">
        <v>85</v>
      </c>
      <c r="O11" s="13">
        <v>16</v>
      </c>
      <c r="T11" t="s">
        <v>1800</v>
      </c>
      <c r="U11" s="14">
        <v>0.18</v>
      </c>
    </row>
    <row r="12" spans="2:21" x14ac:dyDescent="0.3">
      <c r="E12" t="s">
        <v>32</v>
      </c>
      <c r="F12" s="13">
        <v>10</v>
      </c>
      <c r="G12" s="13">
        <v>9</v>
      </c>
      <c r="H12" s="13">
        <v>19</v>
      </c>
      <c r="J12" t="s">
        <v>35</v>
      </c>
      <c r="K12" s="13">
        <v>296</v>
      </c>
      <c r="L12" s="13">
        <v>48</v>
      </c>
      <c r="N12" t="s">
        <v>1800</v>
      </c>
      <c r="O12" s="13">
        <v>297</v>
      </c>
    </row>
    <row r="13" spans="2:21" x14ac:dyDescent="0.3">
      <c r="E13" t="s">
        <v>84</v>
      </c>
      <c r="F13" s="13">
        <v>16</v>
      </c>
      <c r="G13" s="13">
        <v>14</v>
      </c>
      <c r="H13" s="13">
        <v>30</v>
      </c>
      <c r="J13" t="s">
        <v>70</v>
      </c>
      <c r="K13" s="13">
        <v>223</v>
      </c>
      <c r="L13" s="13">
        <v>95</v>
      </c>
    </row>
    <row r="14" spans="2:21" x14ac:dyDescent="0.3">
      <c r="E14" t="s">
        <v>41</v>
      </c>
      <c r="F14" s="13">
        <v>10</v>
      </c>
      <c r="G14" s="13">
        <v>20</v>
      </c>
      <c r="H14" s="13">
        <v>30</v>
      </c>
    </row>
    <row r="15" spans="2:21" x14ac:dyDescent="0.3">
      <c r="E15" t="s">
        <v>259</v>
      </c>
      <c r="F15" s="13">
        <v>15</v>
      </c>
      <c r="G15" s="13">
        <v>16</v>
      </c>
      <c r="H15" s="13">
        <v>31</v>
      </c>
    </row>
    <row r="16" spans="2:21" x14ac:dyDescent="0.3">
      <c r="E16" t="s">
        <v>206</v>
      </c>
      <c r="F16" s="13">
        <v>5</v>
      </c>
      <c r="G16" s="13">
        <v>17</v>
      </c>
      <c r="H16" s="13">
        <v>22</v>
      </c>
    </row>
    <row r="17" spans="5:8" x14ac:dyDescent="0.3">
      <c r="E17" t="s">
        <v>182</v>
      </c>
      <c r="F17" s="13">
        <v>4</v>
      </c>
      <c r="G17" s="13">
        <v>31</v>
      </c>
      <c r="H17" s="13">
        <v>35</v>
      </c>
    </row>
    <row r="18" spans="5:8" x14ac:dyDescent="0.3">
      <c r="E18" t="s">
        <v>92</v>
      </c>
      <c r="F18" s="13">
        <v>8</v>
      </c>
      <c r="G18" s="13">
        <v>24</v>
      </c>
      <c r="H18" s="13">
        <v>32</v>
      </c>
    </row>
    <row r="19" spans="5:8" x14ac:dyDescent="0.3">
      <c r="E19" t="s">
        <v>1800</v>
      </c>
      <c r="F19" s="13">
        <v>103</v>
      </c>
      <c r="G19" s="13">
        <v>194</v>
      </c>
      <c r="H19" s="13">
        <v>297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B5CF6"/>
  </sheetPr>
  <dimension ref="A1:W1651"/>
  <sheetViews>
    <sheetView workbookViewId="0">
      <pane ySplit="1" topLeftCell="A2" activePane="bottomLeft" state="frozen"/>
      <selection pane="bottomLeft"/>
    </sheetView>
  </sheetViews>
  <sheetFormatPr defaultRowHeight="15" x14ac:dyDescent="0.3"/>
  <cols>
    <col min="1" max="1" width="12.875" customWidth="1"/>
    <col min="2" max="2" width="18.875" customWidth="1"/>
    <col min="3" max="3" width="10.875" customWidth="1"/>
    <col min="4" max="5" width="8.875" customWidth="1"/>
    <col min="6" max="6" width="9.875" customWidth="1"/>
    <col min="7" max="7" width="10.875" customWidth="1"/>
    <col min="8" max="8" width="12.875" customWidth="1"/>
    <col min="9" max="9" width="13.875" customWidth="1"/>
    <col min="10" max="10" width="12.875" customWidth="1"/>
    <col min="11" max="11" width="15.875" customWidth="1"/>
    <col min="12" max="12" width="10.875" customWidth="1"/>
    <col min="13" max="13" width="14.875" customWidth="1"/>
    <col min="14" max="14" width="19.875" customWidth="1"/>
    <col min="15" max="15" width="15.875" customWidth="1"/>
    <col min="16" max="16" width="8.875" customWidth="1"/>
    <col min="17" max="17" width="12.875" customWidth="1"/>
    <col min="18" max="18" width="10.875" customWidth="1"/>
    <col min="19" max="19" width="11.875" customWidth="1"/>
    <col min="20" max="20" width="19.875" customWidth="1"/>
    <col min="21" max="21" width="11.875" customWidth="1"/>
    <col min="22" max="23" width="8.875" customWidth="1"/>
  </cols>
  <sheetData>
    <row r="1" spans="1:23" ht="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t="16.5" x14ac:dyDescent="0.3">
      <c r="A2" t="s">
        <v>23</v>
      </c>
      <c r="B2" t="s">
        <v>24</v>
      </c>
      <c r="C2" t="s">
        <v>25</v>
      </c>
      <c r="D2" t="s">
        <v>26</v>
      </c>
      <c r="E2">
        <v>28</v>
      </c>
      <c r="F2" t="s">
        <v>27</v>
      </c>
      <c r="G2" t="s">
        <v>28</v>
      </c>
      <c r="H2" s="1">
        <v>44403</v>
      </c>
      <c r="I2" s="2">
        <v>2.9</v>
      </c>
      <c r="J2" t="s">
        <v>29</v>
      </c>
      <c r="K2" s="3">
        <v>2850</v>
      </c>
      <c r="L2" t="s">
        <v>30</v>
      </c>
      <c r="M2">
        <v>4</v>
      </c>
      <c r="N2">
        <v>4</v>
      </c>
      <c r="O2">
        <v>32</v>
      </c>
      <c r="P2" t="s">
        <v>22</v>
      </c>
      <c r="Q2" s="1">
        <v>45471</v>
      </c>
      <c r="R2" t="s">
        <v>31</v>
      </c>
      <c r="S2" t="s">
        <v>32</v>
      </c>
      <c r="T2" t="s">
        <v>33</v>
      </c>
      <c r="U2">
        <v>1</v>
      </c>
      <c r="V2">
        <v>0</v>
      </c>
      <c r="W2">
        <v>1</v>
      </c>
    </row>
    <row r="3" spans="1:23" ht="16.5" x14ac:dyDescent="0.3">
      <c r="A3" t="s">
        <v>34</v>
      </c>
      <c r="B3" t="s">
        <v>35</v>
      </c>
      <c r="C3" t="s">
        <v>36</v>
      </c>
      <c r="D3" t="s">
        <v>37</v>
      </c>
      <c r="E3">
        <v>33</v>
      </c>
      <c r="F3" t="s">
        <v>27</v>
      </c>
      <c r="G3" t="s">
        <v>38</v>
      </c>
      <c r="H3" s="1">
        <v>43387</v>
      </c>
      <c r="I3" s="2">
        <v>6.8</v>
      </c>
      <c r="J3" t="s">
        <v>39</v>
      </c>
      <c r="K3" s="3">
        <v>4200</v>
      </c>
      <c r="L3" t="s">
        <v>30</v>
      </c>
      <c r="M3">
        <v>3</v>
      </c>
      <c r="N3">
        <v>3</v>
      </c>
      <c r="O3">
        <v>24</v>
      </c>
      <c r="P3" t="s">
        <v>22</v>
      </c>
      <c r="Q3" s="1">
        <v>45870</v>
      </c>
      <c r="R3" t="s">
        <v>40</v>
      </c>
      <c r="S3" t="s">
        <v>41</v>
      </c>
      <c r="T3" t="s">
        <v>42</v>
      </c>
      <c r="U3">
        <v>1</v>
      </c>
      <c r="V3">
        <v>0</v>
      </c>
      <c r="W3">
        <v>1</v>
      </c>
    </row>
    <row r="4" spans="1:23" ht="16.5" x14ac:dyDescent="0.3">
      <c r="A4" t="s">
        <v>43</v>
      </c>
      <c r="B4" t="s">
        <v>44</v>
      </c>
      <c r="C4" t="s">
        <v>45</v>
      </c>
      <c r="D4" t="s">
        <v>26</v>
      </c>
      <c r="E4">
        <v>40</v>
      </c>
      <c r="F4" t="s">
        <v>46</v>
      </c>
      <c r="G4" t="s">
        <v>28</v>
      </c>
      <c r="H4" s="1">
        <v>41352</v>
      </c>
      <c r="I4" s="2">
        <v>12.8</v>
      </c>
      <c r="J4" t="s">
        <v>39</v>
      </c>
      <c r="K4" s="3">
        <v>9850</v>
      </c>
      <c r="L4" t="s">
        <v>30</v>
      </c>
      <c r="M4">
        <v>5</v>
      </c>
      <c r="N4">
        <v>4</v>
      </c>
      <c r="O4">
        <v>28</v>
      </c>
      <c r="P4" t="s">
        <v>21</v>
      </c>
      <c r="Q4" s="1"/>
      <c r="U4">
        <v>1</v>
      </c>
      <c r="V4">
        <v>1</v>
      </c>
      <c r="W4">
        <v>0</v>
      </c>
    </row>
    <row r="5" spans="1:23" ht="16.5" x14ac:dyDescent="0.3">
      <c r="A5" t="s">
        <v>47</v>
      </c>
      <c r="B5" t="s">
        <v>48</v>
      </c>
      <c r="C5" t="s">
        <v>36</v>
      </c>
      <c r="D5" t="s">
        <v>37</v>
      </c>
      <c r="E5">
        <v>29</v>
      </c>
      <c r="F5" t="s">
        <v>27</v>
      </c>
      <c r="G5" t="s">
        <v>28</v>
      </c>
      <c r="H5" s="1">
        <v>45523</v>
      </c>
      <c r="I5" s="2">
        <v>1.4</v>
      </c>
      <c r="J5" t="s">
        <v>29</v>
      </c>
      <c r="K5" s="3">
        <v>7300</v>
      </c>
      <c r="L5" t="s">
        <v>30</v>
      </c>
      <c r="M5">
        <v>3</v>
      </c>
      <c r="N5">
        <v>3</v>
      </c>
      <c r="O5">
        <v>38</v>
      </c>
      <c r="P5" t="s">
        <v>21</v>
      </c>
      <c r="Q5" s="1"/>
      <c r="U5">
        <v>1</v>
      </c>
      <c r="V5">
        <v>1</v>
      </c>
      <c r="W5">
        <v>0</v>
      </c>
    </row>
    <row r="6" spans="1:23" ht="16.5" x14ac:dyDescent="0.3">
      <c r="A6" t="s">
        <v>49</v>
      </c>
      <c r="B6" t="s">
        <v>24</v>
      </c>
      <c r="C6" t="s">
        <v>36</v>
      </c>
      <c r="D6" t="s">
        <v>26</v>
      </c>
      <c r="E6">
        <v>26</v>
      </c>
      <c r="F6" t="s">
        <v>27</v>
      </c>
      <c r="G6" t="s">
        <v>28</v>
      </c>
      <c r="H6" s="1">
        <v>44627</v>
      </c>
      <c r="I6" s="2">
        <v>3.8</v>
      </c>
      <c r="J6" t="s">
        <v>50</v>
      </c>
      <c r="K6" s="3">
        <v>3350</v>
      </c>
      <c r="L6" t="s">
        <v>30</v>
      </c>
      <c r="M6">
        <v>5</v>
      </c>
      <c r="N6">
        <v>4</v>
      </c>
      <c r="O6">
        <v>15</v>
      </c>
      <c r="P6" t="s">
        <v>21</v>
      </c>
      <c r="Q6" s="1"/>
      <c r="U6">
        <v>1</v>
      </c>
      <c r="V6">
        <v>1</v>
      </c>
      <c r="W6">
        <v>0</v>
      </c>
    </row>
    <row r="7" spans="1:23" ht="16.5" x14ac:dyDescent="0.3">
      <c r="A7" t="s">
        <v>51</v>
      </c>
      <c r="B7" t="s">
        <v>35</v>
      </c>
      <c r="C7" t="s">
        <v>25</v>
      </c>
      <c r="D7" t="s">
        <v>26</v>
      </c>
      <c r="E7">
        <v>32</v>
      </c>
      <c r="F7" t="s">
        <v>27</v>
      </c>
      <c r="G7" t="s">
        <v>52</v>
      </c>
      <c r="H7" s="1">
        <v>43673</v>
      </c>
      <c r="I7" s="2">
        <v>6.4</v>
      </c>
      <c r="J7" t="s">
        <v>39</v>
      </c>
      <c r="K7" s="3">
        <v>3550</v>
      </c>
      <c r="L7" t="s">
        <v>30</v>
      </c>
      <c r="M7">
        <v>3</v>
      </c>
      <c r="N7">
        <v>4</v>
      </c>
      <c r="O7">
        <v>23</v>
      </c>
      <c r="P7" t="s">
        <v>21</v>
      </c>
      <c r="Q7" s="1"/>
      <c r="U7">
        <v>1</v>
      </c>
      <c r="V7">
        <v>1</v>
      </c>
      <c r="W7">
        <v>0</v>
      </c>
    </row>
    <row r="8" spans="1:23" ht="16.5" x14ac:dyDescent="0.3">
      <c r="A8" t="s">
        <v>53</v>
      </c>
      <c r="B8" t="s">
        <v>35</v>
      </c>
      <c r="C8" t="s">
        <v>36</v>
      </c>
      <c r="D8" t="s">
        <v>26</v>
      </c>
      <c r="E8">
        <v>31</v>
      </c>
      <c r="F8" t="s">
        <v>27</v>
      </c>
      <c r="G8" t="s">
        <v>28</v>
      </c>
      <c r="H8" s="1">
        <v>43664</v>
      </c>
      <c r="I8" s="2">
        <v>6.5</v>
      </c>
      <c r="J8" t="s">
        <v>39</v>
      </c>
      <c r="K8" s="3">
        <v>4300</v>
      </c>
      <c r="L8" t="s">
        <v>30</v>
      </c>
      <c r="M8">
        <v>5</v>
      </c>
      <c r="N8">
        <v>3</v>
      </c>
      <c r="O8">
        <v>10</v>
      </c>
      <c r="P8" t="s">
        <v>21</v>
      </c>
      <c r="Q8" s="1"/>
      <c r="U8">
        <v>1</v>
      </c>
      <c r="V8">
        <v>1</v>
      </c>
      <c r="W8">
        <v>0</v>
      </c>
    </row>
    <row r="9" spans="1:23" ht="16.5" x14ac:dyDescent="0.3">
      <c r="A9" t="s">
        <v>54</v>
      </c>
      <c r="B9" t="s">
        <v>55</v>
      </c>
      <c r="C9" t="s">
        <v>45</v>
      </c>
      <c r="D9" t="s">
        <v>37</v>
      </c>
      <c r="E9">
        <v>32</v>
      </c>
      <c r="F9" t="s">
        <v>27</v>
      </c>
      <c r="G9" t="s">
        <v>38</v>
      </c>
      <c r="H9" s="1">
        <v>43299</v>
      </c>
      <c r="I9" s="2">
        <v>7.5</v>
      </c>
      <c r="J9" t="s">
        <v>39</v>
      </c>
      <c r="K9" s="3">
        <v>6550</v>
      </c>
      <c r="L9" t="s">
        <v>30</v>
      </c>
      <c r="M9">
        <v>4</v>
      </c>
      <c r="N9">
        <v>3</v>
      </c>
      <c r="O9">
        <v>27</v>
      </c>
      <c r="P9" t="s">
        <v>21</v>
      </c>
      <c r="Q9" s="1"/>
      <c r="U9">
        <v>1</v>
      </c>
      <c r="V9">
        <v>1</v>
      </c>
      <c r="W9">
        <v>0</v>
      </c>
    </row>
    <row r="10" spans="1:23" ht="16.5" x14ac:dyDescent="0.3">
      <c r="A10" t="s">
        <v>56</v>
      </c>
      <c r="B10" t="s">
        <v>24</v>
      </c>
      <c r="C10" t="s">
        <v>36</v>
      </c>
      <c r="D10" t="s">
        <v>26</v>
      </c>
      <c r="E10">
        <v>24</v>
      </c>
      <c r="F10" t="s">
        <v>57</v>
      </c>
      <c r="G10" t="s">
        <v>28</v>
      </c>
      <c r="H10" s="1">
        <v>45187</v>
      </c>
      <c r="I10" s="2">
        <v>1.5</v>
      </c>
      <c r="J10" t="s">
        <v>29</v>
      </c>
      <c r="K10" s="3">
        <v>3800</v>
      </c>
      <c r="L10" t="s">
        <v>58</v>
      </c>
      <c r="M10">
        <v>1</v>
      </c>
      <c r="N10">
        <v>4</v>
      </c>
      <c r="O10">
        <v>36</v>
      </c>
      <c r="P10" t="s">
        <v>22</v>
      </c>
      <c r="Q10" s="1">
        <v>45742</v>
      </c>
      <c r="R10" t="s">
        <v>40</v>
      </c>
      <c r="S10" t="s">
        <v>59</v>
      </c>
      <c r="T10" t="s">
        <v>60</v>
      </c>
      <c r="U10">
        <v>1</v>
      </c>
      <c r="V10">
        <v>0</v>
      </c>
      <c r="W10">
        <v>1</v>
      </c>
    </row>
    <row r="11" spans="1:23" ht="16.5" x14ac:dyDescent="0.3">
      <c r="A11" t="s">
        <v>61</v>
      </c>
      <c r="B11" t="s">
        <v>55</v>
      </c>
      <c r="C11" t="s">
        <v>36</v>
      </c>
      <c r="D11" t="s">
        <v>26</v>
      </c>
      <c r="E11">
        <v>34</v>
      </c>
      <c r="F11" t="s">
        <v>27</v>
      </c>
      <c r="G11" t="s">
        <v>38</v>
      </c>
      <c r="H11" s="1">
        <v>45311</v>
      </c>
      <c r="I11" s="2">
        <v>1.9</v>
      </c>
      <c r="J11" t="s">
        <v>29</v>
      </c>
      <c r="K11" s="3">
        <v>6600</v>
      </c>
      <c r="L11" t="s">
        <v>30</v>
      </c>
      <c r="M11">
        <v>2</v>
      </c>
      <c r="N11">
        <v>3</v>
      </c>
      <c r="O11">
        <v>25</v>
      </c>
      <c r="P11" t="s">
        <v>21</v>
      </c>
      <c r="Q11" s="1"/>
      <c r="U11">
        <v>1</v>
      </c>
      <c r="V11">
        <v>1</v>
      </c>
      <c r="W11">
        <v>0</v>
      </c>
    </row>
    <row r="12" spans="1:23" ht="16.5" x14ac:dyDescent="0.3">
      <c r="A12" t="s">
        <v>62</v>
      </c>
      <c r="B12" t="s">
        <v>24</v>
      </c>
      <c r="C12" t="s">
        <v>45</v>
      </c>
      <c r="D12" t="s">
        <v>26</v>
      </c>
      <c r="E12">
        <v>26</v>
      </c>
      <c r="F12" t="s">
        <v>27</v>
      </c>
      <c r="G12" t="s">
        <v>38</v>
      </c>
      <c r="H12" s="1">
        <v>44912</v>
      </c>
      <c r="I12" s="2">
        <v>3</v>
      </c>
      <c r="J12" t="s">
        <v>29</v>
      </c>
      <c r="K12" s="3">
        <v>6050</v>
      </c>
      <c r="L12" t="s">
        <v>30</v>
      </c>
      <c r="M12">
        <v>5</v>
      </c>
      <c r="N12">
        <v>3</v>
      </c>
      <c r="O12">
        <v>24</v>
      </c>
      <c r="P12" t="s">
        <v>21</v>
      </c>
      <c r="Q12" s="1"/>
      <c r="U12">
        <v>1</v>
      </c>
      <c r="V12">
        <v>1</v>
      </c>
      <c r="W12">
        <v>0</v>
      </c>
    </row>
    <row r="13" spans="1:23" ht="16.5" x14ac:dyDescent="0.3">
      <c r="A13" t="s">
        <v>63</v>
      </c>
      <c r="B13" t="s">
        <v>44</v>
      </c>
      <c r="C13" t="s">
        <v>25</v>
      </c>
      <c r="D13" t="s">
        <v>26</v>
      </c>
      <c r="E13">
        <v>24</v>
      </c>
      <c r="F13" t="s">
        <v>57</v>
      </c>
      <c r="G13" t="s">
        <v>28</v>
      </c>
      <c r="H13" s="1">
        <v>45845</v>
      </c>
      <c r="I13" s="2">
        <v>0.5</v>
      </c>
      <c r="J13" t="s">
        <v>64</v>
      </c>
      <c r="K13" s="3">
        <v>5050</v>
      </c>
      <c r="L13" t="s">
        <v>30</v>
      </c>
      <c r="M13">
        <v>3</v>
      </c>
      <c r="N13">
        <v>5</v>
      </c>
      <c r="O13">
        <v>18</v>
      </c>
      <c r="P13" t="s">
        <v>21</v>
      </c>
      <c r="Q13" s="1"/>
      <c r="U13">
        <v>1</v>
      </c>
      <c r="V13">
        <v>1</v>
      </c>
      <c r="W13">
        <v>0</v>
      </c>
    </row>
    <row r="14" spans="1:23" ht="16.5" x14ac:dyDescent="0.3">
      <c r="A14" t="s">
        <v>65</v>
      </c>
      <c r="B14" t="s">
        <v>35</v>
      </c>
      <c r="C14" t="s">
        <v>45</v>
      </c>
      <c r="D14" t="s">
        <v>37</v>
      </c>
      <c r="E14">
        <v>43</v>
      </c>
      <c r="F14" t="s">
        <v>46</v>
      </c>
      <c r="G14" t="s">
        <v>38</v>
      </c>
      <c r="H14" s="1">
        <v>44947</v>
      </c>
      <c r="I14" s="2">
        <v>2.9</v>
      </c>
      <c r="J14" t="s">
        <v>29</v>
      </c>
      <c r="K14" s="3">
        <v>6400</v>
      </c>
      <c r="L14" t="s">
        <v>58</v>
      </c>
      <c r="M14">
        <v>2</v>
      </c>
      <c r="N14">
        <v>5</v>
      </c>
      <c r="O14">
        <v>38</v>
      </c>
      <c r="P14" t="s">
        <v>21</v>
      </c>
      <c r="Q14" s="1"/>
      <c r="U14">
        <v>1</v>
      </c>
      <c r="V14">
        <v>1</v>
      </c>
      <c r="W14">
        <v>0</v>
      </c>
    </row>
    <row r="15" spans="1:23" ht="16.5" x14ac:dyDescent="0.3">
      <c r="A15" t="s">
        <v>66</v>
      </c>
      <c r="B15" t="s">
        <v>24</v>
      </c>
      <c r="C15" t="s">
        <v>25</v>
      </c>
      <c r="D15" t="s">
        <v>26</v>
      </c>
      <c r="E15">
        <v>22</v>
      </c>
      <c r="F15" t="s">
        <v>57</v>
      </c>
      <c r="G15" t="s">
        <v>28</v>
      </c>
      <c r="H15" s="1">
        <v>45895</v>
      </c>
      <c r="I15" s="2">
        <v>0.3</v>
      </c>
      <c r="J15" t="s">
        <v>64</v>
      </c>
      <c r="K15" s="3">
        <v>2650</v>
      </c>
      <c r="L15" t="s">
        <v>30</v>
      </c>
      <c r="M15">
        <v>2</v>
      </c>
      <c r="N15">
        <v>5</v>
      </c>
      <c r="O15">
        <v>30</v>
      </c>
      <c r="P15" t="s">
        <v>21</v>
      </c>
      <c r="Q15" s="1"/>
      <c r="U15">
        <v>1</v>
      </c>
      <c r="V15">
        <v>1</v>
      </c>
      <c r="W15">
        <v>0</v>
      </c>
    </row>
    <row r="16" spans="1:23" ht="16.5" x14ac:dyDescent="0.3">
      <c r="A16" t="s">
        <v>67</v>
      </c>
      <c r="B16" t="s">
        <v>35</v>
      </c>
      <c r="C16" t="s">
        <v>45</v>
      </c>
      <c r="D16" t="s">
        <v>26</v>
      </c>
      <c r="E16">
        <v>35</v>
      </c>
      <c r="F16" t="s">
        <v>27</v>
      </c>
      <c r="G16" t="s">
        <v>38</v>
      </c>
      <c r="H16" s="1">
        <v>45049</v>
      </c>
      <c r="I16" s="2">
        <v>2.7</v>
      </c>
      <c r="J16" t="s">
        <v>29</v>
      </c>
      <c r="K16" s="3">
        <v>6900</v>
      </c>
      <c r="L16" t="s">
        <v>58</v>
      </c>
      <c r="M16">
        <v>3</v>
      </c>
      <c r="N16">
        <v>4</v>
      </c>
      <c r="O16">
        <v>46</v>
      </c>
      <c r="P16" t="s">
        <v>21</v>
      </c>
      <c r="Q16" s="1"/>
      <c r="U16">
        <v>1</v>
      </c>
      <c r="V16">
        <v>1</v>
      </c>
      <c r="W16">
        <v>0</v>
      </c>
    </row>
    <row r="17" spans="1:23" ht="16.5" x14ac:dyDescent="0.3">
      <c r="A17" t="s">
        <v>68</v>
      </c>
      <c r="B17" t="s">
        <v>35</v>
      </c>
      <c r="C17" t="s">
        <v>45</v>
      </c>
      <c r="D17" t="s">
        <v>37</v>
      </c>
      <c r="E17">
        <v>42</v>
      </c>
      <c r="F17" t="s">
        <v>46</v>
      </c>
      <c r="G17" t="s">
        <v>38</v>
      </c>
      <c r="H17" s="1">
        <v>41664</v>
      </c>
      <c r="I17" s="2">
        <v>11.9</v>
      </c>
      <c r="J17" t="s">
        <v>39</v>
      </c>
      <c r="K17" s="3">
        <v>6200</v>
      </c>
      <c r="L17" t="s">
        <v>30</v>
      </c>
      <c r="M17">
        <v>3</v>
      </c>
      <c r="N17">
        <v>3</v>
      </c>
      <c r="O17">
        <v>24</v>
      </c>
      <c r="P17" t="s">
        <v>21</v>
      </c>
      <c r="Q17" s="1"/>
      <c r="U17">
        <v>1</v>
      </c>
      <c r="V17">
        <v>1</v>
      </c>
      <c r="W17">
        <v>0</v>
      </c>
    </row>
    <row r="18" spans="1:23" ht="16.5" x14ac:dyDescent="0.3">
      <c r="A18" t="s">
        <v>69</v>
      </c>
      <c r="B18" t="s">
        <v>70</v>
      </c>
      <c r="C18" t="s">
        <v>25</v>
      </c>
      <c r="D18" t="s">
        <v>26</v>
      </c>
      <c r="E18">
        <v>31</v>
      </c>
      <c r="F18" t="s">
        <v>27</v>
      </c>
      <c r="G18" t="s">
        <v>38</v>
      </c>
      <c r="H18" s="1">
        <v>45350</v>
      </c>
      <c r="I18" s="2">
        <v>1.8</v>
      </c>
      <c r="J18" t="s">
        <v>29</v>
      </c>
      <c r="K18" s="3">
        <v>4750</v>
      </c>
      <c r="L18" t="s">
        <v>30</v>
      </c>
      <c r="M18">
        <v>4</v>
      </c>
      <c r="N18">
        <v>3</v>
      </c>
      <c r="O18">
        <v>31</v>
      </c>
      <c r="P18" t="s">
        <v>21</v>
      </c>
      <c r="Q18" s="1"/>
      <c r="U18">
        <v>1</v>
      </c>
      <c r="V18">
        <v>1</v>
      </c>
      <c r="W18">
        <v>0</v>
      </c>
    </row>
    <row r="19" spans="1:23" ht="16.5" x14ac:dyDescent="0.3">
      <c r="A19" t="s">
        <v>71</v>
      </c>
      <c r="B19" t="s">
        <v>35</v>
      </c>
      <c r="C19" t="s">
        <v>25</v>
      </c>
      <c r="D19" t="s">
        <v>26</v>
      </c>
      <c r="E19">
        <v>25</v>
      </c>
      <c r="F19" t="s">
        <v>57</v>
      </c>
      <c r="G19" t="s">
        <v>38</v>
      </c>
      <c r="H19" s="1">
        <v>45053</v>
      </c>
      <c r="I19" s="2">
        <v>2.7</v>
      </c>
      <c r="J19" t="s">
        <v>29</v>
      </c>
      <c r="K19" s="3">
        <v>3200</v>
      </c>
      <c r="L19" t="s">
        <v>30</v>
      </c>
      <c r="M19">
        <v>3</v>
      </c>
      <c r="N19">
        <v>5</v>
      </c>
      <c r="O19">
        <v>42</v>
      </c>
      <c r="P19" t="s">
        <v>21</v>
      </c>
      <c r="Q19" s="1"/>
      <c r="U19">
        <v>1</v>
      </c>
      <c r="V19">
        <v>1</v>
      </c>
      <c r="W19">
        <v>0</v>
      </c>
    </row>
    <row r="20" spans="1:23" ht="16.5" x14ac:dyDescent="0.3">
      <c r="A20" t="s">
        <v>72</v>
      </c>
      <c r="B20" t="s">
        <v>73</v>
      </c>
      <c r="C20" t="s">
        <v>45</v>
      </c>
      <c r="D20" t="s">
        <v>37</v>
      </c>
      <c r="E20">
        <v>37</v>
      </c>
      <c r="F20" t="s">
        <v>46</v>
      </c>
      <c r="G20" t="s">
        <v>28</v>
      </c>
      <c r="H20" s="1">
        <v>43434</v>
      </c>
      <c r="I20" s="2">
        <v>7.1</v>
      </c>
      <c r="J20" t="s">
        <v>39</v>
      </c>
      <c r="K20" s="3">
        <v>6500</v>
      </c>
      <c r="L20" t="s">
        <v>58</v>
      </c>
      <c r="M20">
        <v>2</v>
      </c>
      <c r="N20">
        <v>4</v>
      </c>
      <c r="O20">
        <v>16</v>
      </c>
      <c r="P20" t="s">
        <v>21</v>
      </c>
      <c r="Q20" s="1"/>
      <c r="U20">
        <v>1</v>
      </c>
      <c r="V20">
        <v>1</v>
      </c>
      <c r="W20">
        <v>0</v>
      </c>
    </row>
    <row r="21" spans="1:23" ht="16.5" x14ac:dyDescent="0.3">
      <c r="A21" t="s">
        <v>74</v>
      </c>
      <c r="B21" t="s">
        <v>48</v>
      </c>
      <c r="C21" t="s">
        <v>45</v>
      </c>
      <c r="D21" t="s">
        <v>37</v>
      </c>
      <c r="E21">
        <v>32</v>
      </c>
      <c r="F21" t="s">
        <v>27</v>
      </c>
      <c r="G21" t="s">
        <v>38</v>
      </c>
      <c r="H21" s="1">
        <v>42901</v>
      </c>
      <c r="I21" s="2">
        <v>8.5</v>
      </c>
      <c r="J21" t="s">
        <v>39</v>
      </c>
      <c r="K21" s="3">
        <v>12100</v>
      </c>
      <c r="L21" t="s">
        <v>30</v>
      </c>
      <c r="M21">
        <v>4</v>
      </c>
      <c r="N21">
        <v>4</v>
      </c>
      <c r="O21">
        <v>9</v>
      </c>
      <c r="P21" t="s">
        <v>21</v>
      </c>
      <c r="Q21" s="1"/>
      <c r="U21">
        <v>1</v>
      </c>
      <c r="V21">
        <v>1</v>
      </c>
      <c r="W21">
        <v>0</v>
      </c>
    </row>
    <row r="22" spans="1:23" ht="16.5" x14ac:dyDescent="0.3">
      <c r="A22" t="s">
        <v>75</v>
      </c>
      <c r="B22" t="s">
        <v>70</v>
      </c>
      <c r="C22" t="s">
        <v>36</v>
      </c>
      <c r="D22" t="s">
        <v>26</v>
      </c>
      <c r="E22">
        <v>34</v>
      </c>
      <c r="F22" t="s">
        <v>27</v>
      </c>
      <c r="G22" t="s">
        <v>38</v>
      </c>
      <c r="H22" s="1">
        <v>45335</v>
      </c>
      <c r="I22" s="2">
        <v>1.9</v>
      </c>
      <c r="J22" t="s">
        <v>29</v>
      </c>
      <c r="K22" s="3">
        <v>5000</v>
      </c>
      <c r="L22" t="s">
        <v>30</v>
      </c>
      <c r="M22">
        <v>4</v>
      </c>
      <c r="N22">
        <v>4</v>
      </c>
      <c r="O22">
        <v>21</v>
      </c>
      <c r="P22" t="s">
        <v>21</v>
      </c>
      <c r="Q22" s="1"/>
      <c r="U22">
        <v>1</v>
      </c>
      <c r="V22">
        <v>1</v>
      </c>
      <c r="W22">
        <v>0</v>
      </c>
    </row>
    <row r="23" spans="1:23" ht="16.5" x14ac:dyDescent="0.3">
      <c r="A23" t="s">
        <v>76</v>
      </c>
      <c r="B23" t="s">
        <v>48</v>
      </c>
      <c r="C23" t="s">
        <v>25</v>
      </c>
      <c r="D23" t="s">
        <v>26</v>
      </c>
      <c r="E23">
        <v>26</v>
      </c>
      <c r="F23" t="s">
        <v>27</v>
      </c>
      <c r="G23" t="s">
        <v>52</v>
      </c>
      <c r="H23" s="1">
        <v>45140</v>
      </c>
      <c r="I23" s="2">
        <v>2.4</v>
      </c>
      <c r="J23" t="s">
        <v>29</v>
      </c>
      <c r="K23" s="3">
        <v>6150</v>
      </c>
      <c r="L23" t="s">
        <v>58</v>
      </c>
      <c r="M23">
        <v>2</v>
      </c>
      <c r="N23">
        <v>5</v>
      </c>
      <c r="O23">
        <v>25</v>
      </c>
      <c r="P23" t="s">
        <v>21</v>
      </c>
      <c r="Q23" s="1"/>
      <c r="U23">
        <v>1</v>
      </c>
      <c r="V23">
        <v>1</v>
      </c>
      <c r="W23">
        <v>0</v>
      </c>
    </row>
    <row r="24" spans="1:23" ht="16.5" x14ac:dyDescent="0.3">
      <c r="A24" t="s">
        <v>77</v>
      </c>
      <c r="B24" t="s">
        <v>48</v>
      </c>
      <c r="C24" t="s">
        <v>45</v>
      </c>
      <c r="D24" t="s">
        <v>37</v>
      </c>
      <c r="E24">
        <v>35</v>
      </c>
      <c r="F24" t="s">
        <v>27</v>
      </c>
      <c r="G24" t="s">
        <v>38</v>
      </c>
      <c r="H24" s="1">
        <v>43486</v>
      </c>
      <c r="I24" s="2">
        <v>6.9</v>
      </c>
      <c r="J24" t="s">
        <v>39</v>
      </c>
      <c r="K24" s="3">
        <v>10800</v>
      </c>
      <c r="L24" t="s">
        <v>30</v>
      </c>
      <c r="M24">
        <v>3</v>
      </c>
      <c r="N24">
        <v>3</v>
      </c>
      <c r="O24">
        <v>10</v>
      </c>
      <c r="P24" t="s">
        <v>21</v>
      </c>
      <c r="Q24" s="1"/>
      <c r="U24">
        <v>1</v>
      </c>
      <c r="V24">
        <v>1</v>
      </c>
      <c r="W24">
        <v>0</v>
      </c>
    </row>
    <row r="25" spans="1:23" ht="16.5" x14ac:dyDescent="0.3">
      <c r="A25" t="s">
        <v>78</v>
      </c>
      <c r="B25" t="s">
        <v>35</v>
      </c>
      <c r="C25" t="s">
        <v>25</v>
      </c>
      <c r="D25" t="s">
        <v>37</v>
      </c>
      <c r="E25">
        <v>21</v>
      </c>
      <c r="F25" t="s">
        <v>57</v>
      </c>
      <c r="G25" t="s">
        <v>28</v>
      </c>
      <c r="H25" s="1">
        <v>45919</v>
      </c>
      <c r="I25" s="2">
        <v>0.3</v>
      </c>
      <c r="J25" t="s">
        <v>64</v>
      </c>
      <c r="K25" s="3">
        <v>3300</v>
      </c>
      <c r="L25" t="s">
        <v>30</v>
      </c>
      <c r="M25">
        <v>2</v>
      </c>
      <c r="N25">
        <v>4</v>
      </c>
      <c r="O25">
        <v>15</v>
      </c>
      <c r="P25" t="s">
        <v>21</v>
      </c>
      <c r="Q25" s="1"/>
      <c r="U25">
        <v>1</v>
      </c>
      <c r="V25">
        <v>1</v>
      </c>
      <c r="W25">
        <v>0</v>
      </c>
    </row>
    <row r="26" spans="1:23" ht="16.5" x14ac:dyDescent="0.3">
      <c r="A26" t="s">
        <v>79</v>
      </c>
      <c r="B26" t="s">
        <v>70</v>
      </c>
      <c r="C26" t="s">
        <v>25</v>
      </c>
      <c r="D26" t="s">
        <v>37</v>
      </c>
      <c r="E26">
        <v>27</v>
      </c>
      <c r="F26" t="s">
        <v>27</v>
      </c>
      <c r="G26" t="s">
        <v>38</v>
      </c>
      <c r="H26" s="1">
        <v>44334</v>
      </c>
      <c r="I26" s="2">
        <v>4.5999999999999996</v>
      </c>
      <c r="J26" t="s">
        <v>50</v>
      </c>
      <c r="K26" s="3">
        <v>4250</v>
      </c>
      <c r="L26" t="s">
        <v>30</v>
      </c>
      <c r="M26">
        <v>3</v>
      </c>
      <c r="N26">
        <v>5</v>
      </c>
      <c r="O26">
        <v>32</v>
      </c>
      <c r="P26" t="s">
        <v>21</v>
      </c>
      <c r="Q26" s="1"/>
      <c r="U26">
        <v>1</v>
      </c>
      <c r="V26">
        <v>1</v>
      </c>
      <c r="W26">
        <v>0</v>
      </c>
    </row>
    <row r="27" spans="1:23" ht="16.5" x14ac:dyDescent="0.3">
      <c r="A27" t="s">
        <v>80</v>
      </c>
      <c r="B27" t="s">
        <v>35</v>
      </c>
      <c r="C27" t="s">
        <v>45</v>
      </c>
      <c r="D27" t="s">
        <v>26</v>
      </c>
      <c r="E27">
        <v>39</v>
      </c>
      <c r="F27" t="s">
        <v>46</v>
      </c>
      <c r="G27" t="s">
        <v>28</v>
      </c>
      <c r="H27" s="1">
        <v>41347</v>
      </c>
      <c r="I27" s="2">
        <v>12.8</v>
      </c>
      <c r="J27" t="s">
        <v>39</v>
      </c>
      <c r="K27" s="3">
        <v>5950</v>
      </c>
      <c r="L27" t="s">
        <v>58</v>
      </c>
      <c r="M27">
        <v>4</v>
      </c>
      <c r="N27">
        <v>3</v>
      </c>
      <c r="O27">
        <v>24</v>
      </c>
      <c r="P27" t="s">
        <v>21</v>
      </c>
      <c r="Q27" s="1"/>
      <c r="U27">
        <v>1</v>
      </c>
      <c r="V27">
        <v>1</v>
      </c>
      <c r="W27">
        <v>0</v>
      </c>
    </row>
    <row r="28" spans="1:23" ht="16.5" x14ac:dyDescent="0.3">
      <c r="A28" t="s">
        <v>81</v>
      </c>
      <c r="B28" t="s">
        <v>24</v>
      </c>
      <c r="C28" t="s">
        <v>25</v>
      </c>
      <c r="D28" t="s">
        <v>26</v>
      </c>
      <c r="E28">
        <v>26</v>
      </c>
      <c r="F28" t="s">
        <v>27</v>
      </c>
      <c r="G28" t="s">
        <v>38</v>
      </c>
      <c r="H28" s="1">
        <v>44959</v>
      </c>
      <c r="I28" s="2">
        <v>2.9</v>
      </c>
      <c r="J28" t="s">
        <v>29</v>
      </c>
      <c r="K28" s="3">
        <v>3200</v>
      </c>
      <c r="L28" t="s">
        <v>30</v>
      </c>
      <c r="M28">
        <v>5</v>
      </c>
      <c r="N28">
        <v>3</v>
      </c>
      <c r="O28">
        <v>15</v>
      </c>
      <c r="P28" t="s">
        <v>21</v>
      </c>
      <c r="Q28" s="1"/>
      <c r="U28">
        <v>1</v>
      </c>
      <c r="V28">
        <v>1</v>
      </c>
      <c r="W28">
        <v>0</v>
      </c>
    </row>
    <row r="29" spans="1:23" ht="16.5" x14ac:dyDescent="0.3">
      <c r="A29" t="s">
        <v>82</v>
      </c>
      <c r="B29" t="s">
        <v>35</v>
      </c>
      <c r="C29" t="s">
        <v>45</v>
      </c>
      <c r="D29" t="s">
        <v>26</v>
      </c>
      <c r="E29">
        <v>42</v>
      </c>
      <c r="F29" t="s">
        <v>46</v>
      </c>
      <c r="G29" t="s">
        <v>28</v>
      </c>
      <c r="H29" s="1">
        <v>41007</v>
      </c>
      <c r="I29" s="2">
        <v>13.7</v>
      </c>
      <c r="J29" t="s">
        <v>39</v>
      </c>
      <c r="K29" s="3">
        <v>5650</v>
      </c>
      <c r="L29" t="s">
        <v>30</v>
      </c>
      <c r="M29">
        <v>3</v>
      </c>
      <c r="N29">
        <v>3</v>
      </c>
      <c r="O29">
        <v>43</v>
      </c>
      <c r="P29" t="s">
        <v>21</v>
      </c>
      <c r="Q29" s="1"/>
      <c r="U29">
        <v>1</v>
      </c>
      <c r="V29">
        <v>1</v>
      </c>
      <c r="W29">
        <v>0</v>
      </c>
    </row>
    <row r="30" spans="1:23" ht="16.5" x14ac:dyDescent="0.3">
      <c r="A30" t="s">
        <v>83</v>
      </c>
      <c r="B30" t="s">
        <v>35</v>
      </c>
      <c r="C30" t="s">
        <v>25</v>
      </c>
      <c r="D30" t="s">
        <v>26</v>
      </c>
      <c r="E30">
        <v>29</v>
      </c>
      <c r="F30" t="s">
        <v>27</v>
      </c>
      <c r="G30" t="s">
        <v>38</v>
      </c>
      <c r="H30" s="1">
        <v>45182</v>
      </c>
      <c r="I30" s="2">
        <v>0.9</v>
      </c>
      <c r="J30" t="s">
        <v>64</v>
      </c>
      <c r="K30" s="3">
        <v>3150</v>
      </c>
      <c r="L30" t="s">
        <v>58</v>
      </c>
      <c r="M30">
        <v>2</v>
      </c>
      <c r="N30">
        <v>3</v>
      </c>
      <c r="O30">
        <v>18</v>
      </c>
      <c r="P30" t="s">
        <v>22</v>
      </c>
      <c r="Q30" s="1">
        <v>45502</v>
      </c>
      <c r="R30" t="s">
        <v>31</v>
      </c>
      <c r="S30" t="s">
        <v>84</v>
      </c>
      <c r="T30" t="s">
        <v>85</v>
      </c>
      <c r="U30">
        <v>1</v>
      </c>
      <c r="V30">
        <v>0</v>
      </c>
      <c r="W30">
        <v>1</v>
      </c>
    </row>
    <row r="31" spans="1:23" ht="16.5" x14ac:dyDescent="0.3">
      <c r="A31" t="s">
        <v>86</v>
      </c>
      <c r="B31" t="s">
        <v>35</v>
      </c>
      <c r="C31" t="s">
        <v>87</v>
      </c>
      <c r="D31" t="s">
        <v>37</v>
      </c>
      <c r="E31">
        <v>47</v>
      </c>
      <c r="F31" t="s">
        <v>88</v>
      </c>
      <c r="G31" t="s">
        <v>52</v>
      </c>
      <c r="H31" s="1">
        <v>43473</v>
      </c>
      <c r="I31" s="2">
        <v>7</v>
      </c>
      <c r="J31" t="s">
        <v>39</v>
      </c>
      <c r="K31" s="3">
        <v>8500</v>
      </c>
      <c r="L31" t="s">
        <v>30</v>
      </c>
      <c r="M31">
        <v>2</v>
      </c>
      <c r="N31">
        <v>3</v>
      </c>
      <c r="O31">
        <v>16</v>
      </c>
      <c r="P31" t="s">
        <v>21</v>
      </c>
      <c r="Q31" s="1"/>
      <c r="U31">
        <v>1</v>
      </c>
      <c r="V31">
        <v>1</v>
      </c>
      <c r="W31">
        <v>0</v>
      </c>
    </row>
    <row r="32" spans="1:23" ht="16.5" x14ac:dyDescent="0.3">
      <c r="A32" t="s">
        <v>89</v>
      </c>
      <c r="B32" t="s">
        <v>73</v>
      </c>
      <c r="C32" t="s">
        <v>36</v>
      </c>
      <c r="D32" t="s">
        <v>37</v>
      </c>
      <c r="E32">
        <v>31</v>
      </c>
      <c r="F32" t="s">
        <v>27</v>
      </c>
      <c r="G32" t="s">
        <v>28</v>
      </c>
      <c r="H32" s="1">
        <v>45263</v>
      </c>
      <c r="I32" s="2">
        <v>2.1</v>
      </c>
      <c r="J32" t="s">
        <v>29</v>
      </c>
      <c r="K32" s="3">
        <v>5550</v>
      </c>
      <c r="L32" t="s">
        <v>30</v>
      </c>
      <c r="M32">
        <v>3</v>
      </c>
      <c r="N32">
        <v>4</v>
      </c>
      <c r="O32">
        <v>33</v>
      </c>
      <c r="P32" t="s">
        <v>21</v>
      </c>
      <c r="Q32" s="1"/>
      <c r="U32">
        <v>1</v>
      </c>
      <c r="V32">
        <v>1</v>
      </c>
      <c r="W32">
        <v>0</v>
      </c>
    </row>
    <row r="33" spans="1:23" ht="16.5" x14ac:dyDescent="0.3">
      <c r="A33" t="s">
        <v>90</v>
      </c>
      <c r="B33" t="s">
        <v>73</v>
      </c>
      <c r="C33" t="s">
        <v>36</v>
      </c>
      <c r="D33" t="s">
        <v>37</v>
      </c>
      <c r="E33">
        <v>37</v>
      </c>
      <c r="F33" t="s">
        <v>46</v>
      </c>
      <c r="G33" t="s">
        <v>28</v>
      </c>
      <c r="H33" s="1">
        <v>43598</v>
      </c>
      <c r="I33" s="2">
        <v>6.6</v>
      </c>
      <c r="J33" t="s">
        <v>39</v>
      </c>
      <c r="K33" s="3">
        <v>4900</v>
      </c>
      <c r="L33" t="s">
        <v>30</v>
      </c>
      <c r="M33">
        <v>3</v>
      </c>
      <c r="N33">
        <v>3</v>
      </c>
      <c r="O33">
        <v>44</v>
      </c>
      <c r="P33" t="s">
        <v>21</v>
      </c>
      <c r="Q33" s="1"/>
      <c r="U33">
        <v>1</v>
      </c>
      <c r="V33">
        <v>1</v>
      </c>
      <c r="W33">
        <v>0</v>
      </c>
    </row>
    <row r="34" spans="1:23" ht="16.5" x14ac:dyDescent="0.3">
      <c r="A34" t="s">
        <v>91</v>
      </c>
      <c r="B34" t="s">
        <v>70</v>
      </c>
      <c r="C34" t="s">
        <v>25</v>
      </c>
      <c r="D34" t="s">
        <v>37</v>
      </c>
      <c r="E34">
        <v>21</v>
      </c>
      <c r="F34" t="s">
        <v>57</v>
      </c>
      <c r="G34" t="s">
        <v>38</v>
      </c>
      <c r="H34" s="1">
        <v>45992</v>
      </c>
      <c r="I34" s="2">
        <v>0</v>
      </c>
      <c r="J34" t="s">
        <v>64</v>
      </c>
      <c r="K34" s="3">
        <v>4250</v>
      </c>
      <c r="L34" t="s">
        <v>58</v>
      </c>
      <c r="M34">
        <v>3</v>
      </c>
      <c r="N34">
        <v>3</v>
      </c>
      <c r="O34">
        <v>18</v>
      </c>
      <c r="P34" t="s">
        <v>22</v>
      </c>
      <c r="Q34" s="1">
        <v>46003</v>
      </c>
      <c r="R34" t="s">
        <v>40</v>
      </c>
      <c r="S34" t="s">
        <v>92</v>
      </c>
      <c r="T34" t="s">
        <v>33</v>
      </c>
      <c r="U34">
        <v>1</v>
      </c>
      <c r="V34">
        <v>0</v>
      </c>
      <c r="W34">
        <v>1</v>
      </c>
    </row>
    <row r="35" spans="1:23" ht="16.5" x14ac:dyDescent="0.3">
      <c r="A35" t="s">
        <v>93</v>
      </c>
      <c r="B35" t="s">
        <v>24</v>
      </c>
      <c r="C35" t="s">
        <v>25</v>
      </c>
      <c r="D35" t="s">
        <v>37</v>
      </c>
      <c r="E35">
        <v>29</v>
      </c>
      <c r="F35" t="s">
        <v>27</v>
      </c>
      <c r="G35" t="s">
        <v>38</v>
      </c>
      <c r="H35" s="1">
        <v>44541</v>
      </c>
      <c r="I35" s="2">
        <v>3.6</v>
      </c>
      <c r="J35" t="s">
        <v>50</v>
      </c>
      <c r="K35" s="3">
        <v>2600</v>
      </c>
      <c r="L35" t="s">
        <v>58</v>
      </c>
      <c r="M35">
        <v>3</v>
      </c>
      <c r="N35">
        <v>3</v>
      </c>
      <c r="O35">
        <v>12</v>
      </c>
      <c r="P35" t="s">
        <v>22</v>
      </c>
      <c r="Q35" s="1">
        <v>45872</v>
      </c>
      <c r="R35" t="s">
        <v>40</v>
      </c>
      <c r="S35" t="s">
        <v>41</v>
      </c>
      <c r="T35" t="s">
        <v>60</v>
      </c>
      <c r="U35">
        <v>1</v>
      </c>
      <c r="V35">
        <v>0</v>
      </c>
      <c r="W35">
        <v>1</v>
      </c>
    </row>
    <row r="36" spans="1:23" ht="16.5" x14ac:dyDescent="0.3">
      <c r="A36" t="s">
        <v>94</v>
      </c>
      <c r="B36" t="s">
        <v>73</v>
      </c>
      <c r="C36" t="s">
        <v>45</v>
      </c>
      <c r="D36" t="s">
        <v>37</v>
      </c>
      <c r="E36">
        <v>37</v>
      </c>
      <c r="F36" t="s">
        <v>46</v>
      </c>
      <c r="G36" t="s">
        <v>28</v>
      </c>
      <c r="H36" s="1">
        <v>43167</v>
      </c>
      <c r="I36" s="2">
        <v>7.8</v>
      </c>
      <c r="J36" t="s">
        <v>39</v>
      </c>
      <c r="K36" s="3">
        <v>7700</v>
      </c>
      <c r="L36" t="s">
        <v>58</v>
      </c>
      <c r="M36">
        <v>3</v>
      </c>
      <c r="N36">
        <v>5</v>
      </c>
      <c r="O36">
        <v>37</v>
      </c>
      <c r="P36" t="s">
        <v>21</v>
      </c>
      <c r="Q36" s="1"/>
      <c r="U36">
        <v>1</v>
      </c>
      <c r="V36">
        <v>1</v>
      </c>
      <c r="W36">
        <v>0</v>
      </c>
    </row>
    <row r="37" spans="1:23" ht="16.5" x14ac:dyDescent="0.3">
      <c r="A37" t="s">
        <v>95</v>
      </c>
      <c r="B37" t="s">
        <v>35</v>
      </c>
      <c r="C37" t="s">
        <v>45</v>
      </c>
      <c r="D37" t="s">
        <v>26</v>
      </c>
      <c r="E37">
        <v>30</v>
      </c>
      <c r="F37" t="s">
        <v>27</v>
      </c>
      <c r="G37" t="s">
        <v>28</v>
      </c>
      <c r="H37" s="1">
        <v>45279</v>
      </c>
      <c r="I37" s="2">
        <v>1.6</v>
      </c>
      <c r="J37" t="s">
        <v>29</v>
      </c>
      <c r="K37" s="3">
        <v>4900</v>
      </c>
      <c r="L37" t="s">
        <v>58</v>
      </c>
      <c r="M37">
        <v>2</v>
      </c>
      <c r="N37">
        <v>3</v>
      </c>
      <c r="O37">
        <v>34</v>
      </c>
      <c r="P37" t="s">
        <v>22</v>
      </c>
      <c r="Q37" s="1">
        <v>45862</v>
      </c>
      <c r="R37" t="s">
        <v>40</v>
      </c>
      <c r="S37" t="s">
        <v>84</v>
      </c>
      <c r="T37" t="s">
        <v>33</v>
      </c>
      <c r="U37">
        <v>1</v>
      </c>
      <c r="V37">
        <v>0</v>
      </c>
      <c r="W37">
        <v>1</v>
      </c>
    </row>
    <row r="38" spans="1:23" ht="16.5" x14ac:dyDescent="0.3">
      <c r="A38" t="s">
        <v>96</v>
      </c>
      <c r="B38" t="s">
        <v>48</v>
      </c>
      <c r="C38" t="s">
        <v>36</v>
      </c>
      <c r="D38" t="s">
        <v>37</v>
      </c>
      <c r="E38">
        <v>33</v>
      </c>
      <c r="F38" t="s">
        <v>27</v>
      </c>
      <c r="G38" t="s">
        <v>28</v>
      </c>
      <c r="H38" s="1">
        <v>43013</v>
      </c>
      <c r="I38" s="2">
        <v>8.1999999999999993</v>
      </c>
      <c r="J38" t="s">
        <v>39</v>
      </c>
      <c r="K38" s="3">
        <v>8350</v>
      </c>
      <c r="L38" t="s">
        <v>30</v>
      </c>
      <c r="M38">
        <v>4</v>
      </c>
      <c r="N38">
        <v>3</v>
      </c>
      <c r="O38">
        <v>27</v>
      </c>
      <c r="P38" t="s">
        <v>21</v>
      </c>
      <c r="Q38" s="1"/>
      <c r="U38">
        <v>1</v>
      </c>
      <c r="V38">
        <v>1</v>
      </c>
      <c r="W38">
        <v>0</v>
      </c>
    </row>
    <row r="39" spans="1:23" ht="16.5" x14ac:dyDescent="0.3">
      <c r="A39" t="s">
        <v>97</v>
      </c>
      <c r="B39" t="s">
        <v>48</v>
      </c>
      <c r="C39" t="s">
        <v>36</v>
      </c>
      <c r="D39" t="s">
        <v>26</v>
      </c>
      <c r="E39">
        <v>38</v>
      </c>
      <c r="F39" t="s">
        <v>46</v>
      </c>
      <c r="G39" t="s">
        <v>38</v>
      </c>
      <c r="H39" s="1">
        <v>43072</v>
      </c>
      <c r="I39" s="2">
        <v>6.3</v>
      </c>
      <c r="J39" t="s">
        <v>39</v>
      </c>
      <c r="K39" s="3">
        <v>7200</v>
      </c>
      <c r="L39" t="s">
        <v>30</v>
      </c>
      <c r="M39">
        <v>3</v>
      </c>
      <c r="N39">
        <v>2</v>
      </c>
      <c r="O39">
        <v>50</v>
      </c>
      <c r="P39" t="s">
        <v>22</v>
      </c>
      <c r="Q39" s="1">
        <v>45366</v>
      </c>
      <c r="R39" t="s">
        <v>31</v>
      </c>
      <c r="S39" t="s">
        <v>59</v>
      </c>
      <c r="T39" t="s">
        <v>33</v>
      </c>
      <c r="U39">
        <v>1</v>
      </c>
      <c r="V39">
        <v>0</v>
      </c>
      <c r="W39">
        <v>1</v>
      </c>
    </row>
    <row r="40" spans="1:23" ht="16.5" x14ac:dyDescent="0.3">
      <c r="A40" t="s">
        <v>98</v>
      </c>
      <c r="B40" t="s">
        <v>70</v>
      </c>
      <c r="C40" t="s">
        <v>25</v>
      </c>
      <c r="D40" t="s">
        <v>26</v>
      </c>
      <c r="E40">
        <v>21</v>
      </c>
      <c r="F40" t="s">
        <v>57</v>
      </c>
      <c r="G40" t="s">
        <v>38</v>
      </c>
      <c r="H40" s="1">
        <v>45989</v>
      </c>
      <c r="I40" s="2">
        <v>0.1</v>
      </c>
      <c r="J40" t="s">
        <v>64</v>
      </c>
      <c r="K40" s="3">
        <v>3700</v>
      </c>
      <c r="L40" t="s">
        <v>30</v>
      </c>
      <c r="M40">
        <v>4</v>
      </c>
      <c r="N40">
        <v>3</v>
      </c>
      <c r="O40">
        <v>10</v>
      </c>
      <c r="P40" t="s">
        <v>21</v>
      </c>
      <c r="Q40" s="1"/>
      <c r="U40">
        <v>1</v>
      </c>
      <c r="V40">
        <v>1</v>
      </c>
      <c r="W40">
        <v>0</v>
      </c>
    </row>
    <row r="41" spans="1:23" ht="16.5" x14ac:dyDescent="0.3">
      <c r="A41" t="s">
        <v>99</v>
      </c>
      <c r="B41" t="s">
        <v>35</v>
      </c>
      <c r="C41" t="s">
        <v>45</v>
      </c>
      <c r="D41" t="s">
        <v>26</v>
      </c>
      <c r="E41">
        <v>46</v>
      </c>
      <c r="F41" t="s">
        <v>88</v>
      </c>
      <c r="G41" t="s">
        <v>28</v>
      </c>
      <c r="H41" s="1">
        <v>41745</v>
      </c>
      <c r="I41" s="2">
        <v>11.7</v>
      </c>
      <c r="J41" t="s">
        <v>39</v>
      </c>
      <c r="K41" s="3">
        <v>6150</v>
      </c>
      <c r="L41" t="s">
        <v>58</v>
      </c>
      <c r="M41">
        <v>3</v>
      </c>
      <c r="N41">
        <v>3</v>
      </c>
      <c r="O41">
        <v>28</v>
      </c>
      <c r="P41" t="s">
        <v>21</v>
      </c>
      <c r="Q41" s="1"/>
      <c r="U41">
        <v>1</v>
      </c>
      <c r="V41">
        <v>1</v>
      </c>
      <c r="W41">
        <v>0</v>
      </c>
    </row>
    <row r="42" spans="1:23" ht="16.5" x14ac:dyDescent="0.3">
      <c r="A42" t="s">
        <v>100</v>
      </c>
      <c r="B42" t="s">
        <v>70</v>
      </c>
      <c r="C42" t="s">
        <v>36</v>
      </c>
      <c r="D42" t="s">
        <v>37</v>
      </c>
      <c r="E42">
        <v>35</v>
      </c>
      <c r="F42" t="s">
        <v>27</v>
      </c>
      <c r="G42" t="s">
        <v>38</v>
      </c>
      <c r="H42" s="1">
        <v>43934</v>
      </c>
      <c r="I42" s="2">
        <v>5.7</v>
      </c>
      <c r="J42" t="s">
        <v>39</v>
      </c>
      <c r="K42" s="3">
        <v>4550</v>
      </c>
      <c r="L42" t="s">
        <v>30</v>
      </c>
      <c r="M42">
        <v>5</v>
      </c>
      <c r="N42">
        <v>3</v>
      </c>
      <c r="O42">
        <v>38</v>
      </c>
      <c r="P42" t="s">
        <v>21</v>
      </c>
      <c r="Q42" s="1"/>
      <c r="U42">
        <v>1</v>
      </c>
      <c r="V42">
        <v>1</v>
      </c>
      <c r="W42">
        <v>0</v>
      </c>
    </row>
    <row r="43" spans="1:23" ht="16.5" x14ac:dyDescent="0.3">
      <c r="A43" t="s">
        <v>101</v>
      </c>
      <c r="B43" t="s">
        <v>70</v>
      </c>
      <c r="C43" t="s">
        <v>36</v>
      </c>
      <c r="D43" t="s">
        <v>26</v>
      </c>
      <c r="E43">
        <v>28</v>
      </c>
      <c r="F43" t="s">
        <v>27</v>
      </c>
      <c r="G43" t="s">
        <v>28</v>
      </c>
      <c r="H43" s="1">
        <v>44702</v>
      </c>
      <c r="I43" s="2">
        <v>3.6</v>
      </c>
      <c r="J43" t="s">
        <v>50</v>
      </c>
      <c r="K43" s="3">
        <v>5150</v>
      </c>
      <c r="L43" t="s">
        <v>30</v>
      </c>
      <c r="M43">
        <v>4</v>
      </c>
      <c r="N43">
        <v>5</v>
      </c>
      <c r="O43">
        <v>25</v>
      </c>
      <c r="P43" t="s">
        <v>21</v>
      </c>
      <c r="Q43" s="1"/>
      <c r="U43">
        <v>1</v>
      </c>
      <c r="V43">
        <v>1</v>
      </c>
      <c r="W43">
        <v>0</v>
      </c>
    </row>
    <row r="44" spans="1:23" ht="16.5" x14ac:dyDescent="0.3">
      <c r="A44" t="s">
        <v>102</v>
      </c>
      <c r="B44" t="s">
        <v>70</v>
      </c>
      <c r="C44" t="s">
        <v>25</v>
      </c>
      <c r="D44" t="s">
        <v>37</v>
      </c>
      <c r="E44">
        <v>23</v>
      </c>
      <c r="F44" t="s">
        <v>57</v>
      </c>
      <c r="G44" t="s">
        <v>38</v>
      </c>
      <c r="H44" s="1">
        <v>45438</v>
      </c>
      <c r="I44" s="2">
        <v>0.7</v>
      </c>
      <c r="J44" t="s">
        <v>64</v>
      </c>
      <c r="K44" s="3">
        <v>3500</v>
      </c>
      <c r="L44" t="s">
        <v>58</v>
      </c>
      <c r="M44">
        <v>3</v>
      </c>
      <c r="N44">
        <v>2</v>
      </c>
      <c r="O44">
        <v>40</v>
      </c>
      <c r="P44" t="s">
        <v>22</v>
      </c>
      <c r="Q44" s="1">
        <v>45709</v>
      </c>
      <c r="R44" t="s">
        <v>40</v>
      </c>
      <c r="S44" t="s">
        <v>103</v>
      </c>
      <c r="T44" t="s">
        <v>42</v>
      </c>
      <c r="U44">
        <v>1</v>
      </c>
      <c r="V44">
        <v>0</v>
      </c>
      <c r="W44">
        <v>1</v>
      </c>
    </row>
    <row r="45" spans="1:23" ht="16.5" x14ac:dyDescent="0.3">
      <c r="A45" t="s">
        <v>104</v>
      </c>
      <c r="B45" t="s">
        <v>35</v>
      </c>
      <c r="C45" t="s">
        <v>25</v>
      </c>
      <c r="D45" t="s">
        <v>37</v>
      </c>
      <c r="E45">
        <v>34</v>
      </c>
      <c r="F45" t="s">
        <v>27</v>
      </c>
      <c r="G45" t="s">
        <v>28</v>
      </c>
      <c r="H45" s="1">
        <v>43709</v>
      </c>
      <c r="I45" s="2">
        <v>6.3</v>
      </c>
      <c r="J45" t="s">
        <v>39</v>
      </c>
      <c r="K45" s="3">
        <v>2600</v>
      </c>
      <c r="L45" t="s">
        <v>30</v>
      </c>
      <c r="M45">
        <v>4</v>
      </c>
      <c r="N45">
        <v>3</v>
      </c>
      <c r="O45">
        <v>8</v>
      </c>
      <c r="P45" t="s">
        <v>21</v>
      </c>
      <c r="Q45" s="1"/>
      <c r="U45">
        <v>1</v>
      </c>
      <c r="V45">
        <v>1</v>
      </c>
      <c r="W45">
        <v>0</v>
      </c>
    </row>
    <row r="46" spans="1:23" ht="16.5" x14ac:dyDescent="0.3">
      <c r="A46" t="s">
        <v>105</v>
      </c>
      <c r="B46" t="s">
        <v>70</v>
      </c>
      <c r="C46" t="s">
        <v>36</v>
      </c>
      <c r="D46" t="s">
        <v>37</v>
      </c>
      <c r="E46">
        <v>33</v>
      </c>
      <c r="F46" t="s">
        <v>27</v>
      </c>
      <c r="G46" t="s">
        <v>38</v>
      </c>
      <c r="H46" s="1">
        <v>44348</v>
      </c>
      <c r="I46" s="2">
        <v>3.7</v>
      </c>
      <c r="J46" t="s">
        <v>50</v>
      </c>
      <c r="K46" s="3">
        <v>4250</v>
      </c>
      <c r="L46" t="s">
        <v>58</v>
      </c>
      <c r="M46">
        <v>2</v>
      </c>
      <c r="N46">
        <v>4</v>
      </c>
      <c r="O46">
        <v>13</v>
      </c>
      <c r="P46" t="s">
        <v>22</v>
      </c>
      <c r="Q46" s="1">
        <v>45697</v>
      </c>
      <c r="R46" t="s">
        <v>40</v>
      </c>
      <c r="S46" t="s">
        <v>103</v>
      </c>
      <c r="T46" t="s">
        <v>33</v>
      </c>
      <c r="U46">
        <v>1</v>
      </c>
      <c r="V46">
        <v>0</v>
      </c>
      <c r="W46">
        <v>1</v>
      </c>
    </row>
    <row r="47" spans="1:23" ht="16.5" x14ac:dyDescent="0.3">
      <c r="A47" t="s">
        <v>106</v>
      </c>
      <c r="B47" t="s">
        <v>70</v>
      </c>
      <c r="C47" t="s">
        <v>36</v>
      </c>
      <c r="D47" t="s">
        <v>26</v>
      </c>
      <c r="E47">
        <v>28</v>
      </c>
      <c r="F47" t="s">
        <v>27</v>
      </c>
      <c r="G47" t="s">
        <v>38</v>
      </c>
      <c r="H47" s="1">
        <v>44676</v>
      </c>
      <c r="I47" s="2">
        <v>1.7</v>
      </c>
      <c r="J47" t="s">
        <v>29</v>
      </c>
      <c r="K47" s="3">
        <v>4550</v>
      </c>
      <c r="L47" t="s">
        <v>58</v>
      </c>
      <c r="M47">
        <v>2</v>
      </c>
      <c r="N47">
        <v>3</v>
      </c>
      <c r="O47">
        <v>22</v>
      </c>
      <c r="P47" t="s">
        <v>22</v>
      </c>
      <c r="Q47" s="1">
        <v>45308</v>
      </c>
      <c r="R47" t="s">
        <v>31</v>
      </c>
      <c r="S47" t="s">
        <v>107</v>
      </c>
      <c r="T47" t="s">
        <v>33</v>
      </c>
      <c r="U47">
        <v>1</v>
      </c>
      <c r="V47">
        <v>0</v>
      </c>
      <c r="W47">
        <v>1</v>
      </c>
    </row>
    <row r="48" spans="1:23" ht="16.5" x14ac:dyDescent="0.3">
      <c r="A48" t="s">
        <v>108</v>
      </c>
      <c r="B48" t="s">
        <v>70</v>
      </c>
      <c r="C48" t="s">
        <v>45</v>
      </c>
      <c r="D48" t="s">
        <v>26</v>
      </c>
      <c r="E48">
        <v>40</v>
      </c>
      <c r="F48" t="s">
        <v>46</v>
      </c>
      <c r="G48" t="s">
        <v>28</v>
      </c>
      <c r="H48" s="1">
        <v>41006</v>
      </c>
      <c r="I48" s="2">
        <v>13.7</v>
      </c>
      <c r="J48" t="s">
        <v>39</v>
      </c>
      <c r="K48" s="3">
        <v>8100</v>
      </c>
      <c r="L48" t="s">
        <v>58</v>
      </c>
      <c r="M48">
        <v>2</v>
      </c>
      <c r="N48">
        <v>3</v>
      </c>
      <c r="O48">
        <v>26</v>
      </c>
      <c r="P48" t="s">
        <v>21</v>
      </c>
      <c r="Q48" s="1"/>
      <c r="U48">
        <v>1</v>
      </c>
      <c r="V48">
        <v>1</v>
      </c>
      <c r="W48">
        <v>0</v>
      </c>
    </row>
    <row r="49" spans="1:23" ht="16.5" x14ac:dyDescent="0.3">
      <c r="A49" t="s">
        <v>109</v>
      </c>
      <c r="B49" t="s">
        <v>35</v>
      </c>
      <c r="C49" t="s">
        <v>25</v>
      </c>
      <c r="D49" t="s">
        <v>26</v>
      </c>
      <c r="E49">
        <v>29</v>
      </c>
      <c r="F49" t="s">
        <v>27</v>
      </c>
      <c r="G49" t="s">
        <v>38</v>
      </c>
      <c r="H49" s="1">
        <v>43712</v>
      </c>
      <c r="I49" s="2">
        <v>6.3</v>
      </c>
      <c r="J49" t="s">
        <v>39</v>
      </c>
      <c r="K49" s="3">
        <v>2550</v>
      </c>
      <c r="L49" t="s">
        <v>30</v>
      </c>
      <c r="M49">
        <v>4</v>
      </c>
      <c r="N49">
        <v>3</v>
      </c>
      <c r="O49">
        <v>18</v>
      </c>
      <c r="P49" t="s">
        <v>21</v>
      </c>
      <c r="Q49" s="1"/>
      <c r="U49">
        <v>1</v>
      </c>
      <c r="V49">
        <v>1</v>
      </c>
      <c r="W49">
        <v>0</v>
      </c>
    </row>
    <row r="50" spans="1:23" ht="16.5" x14ac:dyDescent="0.3">
      <c r="A50" t="s">
        <v>110</v>
      </c>
      <c r="B50" t="s">
        <v>48</v>
      </c>
      <c r="C50" t="s">
        <v>87</v>
      </c>
      <c r="D50" t="s">
        <v>37</v>
      </c>
      <c r="E50">
        <v>41</v>
      </c>
      <c r="F50" t="s">
        <v>46</v>
      </c>
      <c r="G50" t="s">
        <v>38</v>
      </c>
      <c r="H50" s="1">
        <v>45147</v>
      </c>
      <c r="I50" s="2">
        <v>2.4</v>
      </c>
      <c r="J50" t="s">
        <v>29</v>
      </c>
      <c r="K50" s="3">
        <v>17100</v>
      </c>
      <c r="L50" t="s">
        <v>30</v>
      </c>
      <c r="M50">
        <v>2</v>
      </c>
      <c r="N50">
        <v>3</v>
      </c>
      <c r="O50">
        <v>18</v>
      </c>
      <c r="P50" t="s">
        <v>21</v>
      </c>
      <c r="Q50" s="1"/>
      <c r="U50">
        <v>1</v>
      </c>
      <c r="V50">
        <v>1</v>
      </c>
      <c r="W50">
        <v>0</v>
      </c>
    </row>
    <row r="51" spans="1:23" ht="16.5" x14ac:dyDescent="0.3">
      <c r="A51" t="s">
        <v>111</v>
      </c>
      <c r="B51" t="s">
        <v>24</v>
      </c>
      <c r="C51" t="s">
        <v>25</v>
      </c>
      <c r="D51" t="s">
        <v>26</v>
      </c>
      <c r="E51">
        <v>21</v>
      </c>
      <c r="F51" t="s">
        <v>57</v>
      </c>
      <c r="G51" t="s">
        <v>38</v>
      </c>
      <c r="H51" s="1">
        <v>45932</v>
      </c>
      <c r="I51" s="2">
        <v>0.2</v>
      </c>
      <c r="J51" t="s">
        <v>64</v>
      </c>
      <c r="K51" s="3">
        <v>2750</v>
      </c>
      <c r="L51" t="s">
        <v>30</v>
      </c>
      <c r="M51">
        <v>4</v>
      </c>
      <c r="N51">
        <v>3</v>
      </c>
      <c r="O51">
        <v>22</v>
      </c>
      <c r="P51" t="s">
        <v>21</v>
      </c>
      <c r="Q51" s="1"/>
      <c r="U51">
        <v>1</v>
      </c>
      <c r="V51">
        <v>1</v>
      </c>
      <c r="W51">
        <v>0</v>
      </c>
    </row>
    <row r="52" spans="1:23" ht="16.5" x14ac:dyDescent="0.3">
      <c r="A52" t="s">
        <v>112</v>
      </c>
      <c r="B52" t="s">
        <v>55</v>
      </c>
      <c r="C52" t="s">
        <v>25</v>
      </c>
      <c r="D52" t="s">
        <v>37</v>
      </c>
      <c r="E52">
        <v>26</v>
      </c>
      <c r="F52" t="s">
        <v>27</v>
      </c>
      <c r="G52" t="s">
        <v>52</v>
      </c>
      <c r="H52" s="1">
        <v>44705</v>
      </c>
      <c r="I52" s="2">
        <v>3.6</v>
      </c>
      <c r="J52" t="s">
        <v>50</v>
      </c>
      <c r="K52" s="3">
        <v>4250</v>
      </c>
      <c r="L52" t="s">
        <v>58</v>
      </c>
      <c r="M52">
        <v>4</v>
      </c>
      <c r="N52">
        <v>3</v>
      </c>
      <c r="O52">
        <v>23</v>
      </c>
      <c r="P52" t="s">
        <v>21</v>
      </c>
      <c r="Q52" s="1"/>
      <c r="U52">
        <v>1</v>
      </c>
      <c r="V52">
        <v>1</v>
      </c>
      <c r="W52">
        <v>0</v>
      </c>
    </row>
    <row r="53" spans="1:23" ht="16.5" x14ac:dyDescent="0.3">
      <c r="A53" t="s">
        <v>113</v>
      </c>
      <c r="B53" t="s">
        <v>70</v>
      </c>
      <c r="C53" t="s">
        <v>87</v>
      </c>
      <c r="D53" t="s">
        <v>37</v>
      </c>
      <c r="E53">
        <v>43</v>
      </c>
      <c r="F53" t="s">
        <v>46</v>
      </c>
      <c r="G53" t="s">
        <v>38</v>
      </c>
      <c r="H53" s="1">
        <v>43333</v>
      </c>
      <c r="I53" s="2">
        <v>7</v>
      </c>
      <c r="J53" t="s">
        <v>39</v>
      </c>
      <c r="K53" s="3">
        <v>11300</v>
      </c>
      <c r="L53" t="s">
        <v>30</v>
      </c>
      <c r="M53">
        <v>3</v>
      </c>
      <c r="N53">
        <v>3</v>
      </c>
      <c r="O53">
        <v>13</v>
      </c>
      <c r="P53" t="s">
        <v>22</v>
      </c>
      <c r="Q53" s="1">
        <v>45872</v>
      </c>
      <c r="R53" t="s">
        <v>40</v>
      </c>
      <c r="S53" t="s">
        <v>41</v>
      </c>
      <c r="T53" t="s">
        <v>42</v>
      </c>
      <c r="U53">
        <v>1</v>
      </c>
      <c r="V53">
        <v>0</v>
      </c>
      <c r="W53">
        <v>1</v>
      </c>
    </row>
    <row r="54" spans="1:23" ht="16.5" x14ac:dyDescent="0.3">
      <c r="A54" t="s">
        <v>114</v>
      </c>
      <c r="B54" t="s">
        <v>35</v>
      </c>
      <c r="C54" t="s">
        <v>25</v>
      </c>
      <c r="D54" t="s">
        <v>37</v>
      </c>
      <c r="E54">
        <v>28</v>
      </c>
      <c r="F54" t="s">
        <v>27</v>
      </c>
      <c r="G54" t="s">
        <v>38</v>
      </c>
      <c r="H54" s="1">
        <v>45678</v>
      </c>
      <c r="I54" s="2">
        <v>0.9</v>
      </c>
      <c r="J54" t="s">
        <v>64</v>
      </c>
      <c r="K54" s="3">
        <v>3750</v>
      </c>
      <c r="L54" t="s">
        <v>30</v>
      </c>
      <c r="M54">
        <v>5</v>
      </c>
      <c r="N54">
        <v>3</v>
      </c>
      <c r="O54">
        <v>21</v>
      </c>
      <c r="P54" t="s">
        <v>21</v>
      </c>
      <c r="Q54" s="1"/>
      <c r="U54">
        <v>1</v>
      </c>
      <c r="V54">
        <v>1</v>
      </c>
      <c r="W54">
        <v>0</v>
      </c>
    </row>
    <row r="55" spans="1:23" ht="16.5" x14ac:dyDescent="0.3">
      <c r="A55" t="s">
        <v>115</v>
      </c>
      <c r="B55" t="s">
        <v>48</v>
      </c>
      <c r="C55" t="s">
        <v>25</v>
      </c>
      <c r="D55" t="s">
        <v>26</v>
      </c>
      <c r="E55">
        <v>27</v>
      </c>
      <c r="F55" t="s">
        <v>27</v>
      </c>
      <c r="G55" t="s">
        <v>38</v>
      </c>
      <c r="H55" s="1">
        <v>44790</v>
      </c>
      <c r="I55" s="2">
        <v>3.4</v>
      </c>
      <c r="J55" t="s">
        <v>50</v>
      </c>
      <c r="K55" s="3">
        <v>6600</v>
      </c>
      <c r="L55" t="s">
        <v>58</v>
      </c>
      <c r="M55">
        <v>4</v>
      </c>
      <c r="N55">
        <v>3</v>
      </c>
      <c r="O55">
        <v>10</v>
      </c>
      <c r="P55" t="s">
        <v>21</v>
      </c>
      <c r="Q55" s="1"/>
      <c r="U55">
        <v>1</v>
      </c>
      <c r="V55">
        <v>1</v>
      </c>
      <c r="W55">
        <v>0</v>
      </c>
    </row>
    <row r="56" spans="1:23" ht="16.5" x14ac:dyDescent="0.3">
      <c r="A56" t="s">
        <v>116</v>
      </c>
      <c r="B56" t="s">
        <v>48</v>
      </c>
      <c r="C56" t="s">
        <v>45</v>
      </c>
      <c r="D56" t="s">
        <v>37</v>
      </c>
      <c r="E56">
        <v>32</v>
      </c>
      <c r="F56" t="s">
        <v>27</v>
      </c>
      <c r="G56" t="s">
        <v>52</v>
      </c>
      <c r="H56" s="1">
        <v>42953</v>
      </c>
      <c r="I56" s="2">
        <v>8.4</v>
      </c>
      <c r="J56" t="s">
        <v>39</v>
      </c>
      <c r="K56" s="3">
        <v>8800</v>
      </c>
      <c r="L56" t="s">
        <v>30</v>
      </c>
      <c r="M56">
        <v>4</v>
      </c>
      <c r="N56">
        <v>3</v>
      </c>
      <c r="O56">
        <v>28</v>
      </c>
      <c r="P56" t="s">
        <v>21</v>
      </c>
      <c r="Q56" s="1"/>
      <c r="U56">
        <v>1</v>
      </c>
      <c r="V56">
        <v>1</v>
      </c>
      <c r="W56">
        <v>0</v>
      </c>
    </row>
    <row r="57" spans="1:23" ht="16.5" x14ac:dyDescent="0.3">
      <c r="A57" t="s">
        <v>117</v>
      </c>
      <c r="B57" t="s">
        <v>24</v>
      </c>
      <c r="C57" t="s">
        <v>25</v>
      </c>
      <c r="D57" t="s">
        <v>37</v>
      </c>
      <c r="E57">
        <v>27</v>
      </c>
      <c r="F57" t="s">
        <v>27</v>
      </c>
      <c r="G57" t="s">
        <v>38</v>
      </c>
      <c r="H57" s="1">
        <v>45294</v>
      </c>
      <c r="I57" s="2">
        <v>2</v>
      </c>
      <c r="J57" t="s">
        <v>29</v>
      </c>
      <c r="K57" s="3">
        <v>3050</v>
      </c>
      <c r="L57" t="s">
        <v>58</v>
      </c>
      <c r="M57">
        <v>3</v>
      </c>
      <c r="N57">
        <v>5</v>
      </c>
      <c r="O57">
        <v>33</v>
      </c>
      <c r="P57" t="s">
        <v>21</v>
      </c>
      <c r="Q57" s="1"/>
      <c r="U57">
        <v>1</v>
      </c>
      <c r="V57">
        <v>1</v>
      </c>
      <c r="W57">
        <v>0</v>
      </c>
    </row>
    <row r="58" spans="1:23" ht="16.5" x14ac:dyDescent="0.3">
      <c r="A58" t="s">
        <v>118</v>
      </c>
      <c r="B58" t="s">
        <v>70</v>
      </c>
      <c r="C58" t="s">
        <v>25</v>
      </c>
      <c r="D58" t="s">
        <v>37</v>
      </c>
      <c r="E58">
        <v>29</v>
      </c>
      <c r="F58" t="s">
        <v>27</v>
      </c>
      <c r="G58" t="s">
        <v>38</v>
      </c>
      <c r="H58" s="1">
        <v>45265</v>
      </c>
      <c r="I58" s="2">
        <v>2.1</v>
      </c>
      <c r="J58" t="s">
        <v>29</v>
      </c>
      <c r="K58" s="3">
        <v>4400</v>
      </c>
      <c r="L58" t="s">
        <v>30</v>
      </c>
      <c r="M58">
        <v>4</v>
      </c>
      <c r="N58">
        <v>3</v>
      </c>
      <c r="O58">
        <v>39</v>
      </c>
      <c r="P58" t="s">
        <v>21</v>
      </c>
      <c r="Q58" s="1"/>
      <c r="U58">
        <v>1</v>
      </c>
      <c r="V58">
        <v>1</v>
      </c>
      <c r="W58">
        <v>0</v>
      </c>
    </row>
    <row r="59" spans="1:23" ht="16.5" x14ac:dyDescent="0.3">
      <c r="A59" t="s">
        <v>119</v>
      </c>
      <c r="B59" t="s">
        <v>24</v>
      </c>
      <c r="C59" t="s">
        <v>36</v>
      </c>
      <c r="D59" t="s">
        <v>37</v>
      </c>
      <c r="E59">
        <v>29</v>
      </c>
      <c r="F59" t="s">
        <v>27</v>
      </c>
      <c r="G59" t="s">
        <v>38</v>
      </c>
      <c r="H59" s="1">
        <v>43688</v>
      </c>
      <c r="I59" s="2">
        <v>6.4</v>
      </c>
      <c r="J59" t="s">
        <v>39</v>
      </c>
      <c r="K59" s="3">
        <v>3500</v>
      </c>
      <c r="L59" t="s">
        <v>30</v>
      </c>
      <c r="M59">
        <v>3</v>
      </c>
      <c r="N59">
        <v>4</v>
      </c>
      <c r="O59">
        <v>47</v>
      </c>
      <c r="P59" t="s">
        <v>21</v>
      </c>
      <c r="Q59" s="1"/>
      <c r="U59">
        <v>1</v>
      </c>
      <c r="V59">
        <v>1</v>
      </c>
      <c r="W59">
        <v>0</v>
      </c>
    </row>
    <row r="60" spans="1:23" ht="16.5" x14ac:dyDescent="0.3">
      <c r="A60" t="s">
        <v>120</v>
      </c>
      <c r="B60" t="s">
        <v>35</v>
      </c>
      <c r="C60" t="s">
        <v>25</v>
      </c>
      <c r="D60" t="s">
        <v>26</v>
      </c>
      <c r="E60">
        <v>23</v>
      </c>
      <c r="F60" t="s">
        <v>57</v>
      </c>
      <c r="G60" t="s">
        <v>38</v>
      </c>
      <c r="H60" s="1">
        <v>45699</v>
      </c>
      <c r="I60" s="2">
        <v>0.9</v>
      </c>
      <c r="J60" t="s">
        <v>64</v>
      </c>
      <c r="K60" s="3">
        <v>3500</v>
      </c>
      <c r="L60" t="s">
        <v>58</v>
      </c>
      <c r="M60">
        <v>3</v>
      </c>
      <c r="N60">
        <v>3</v>
      </c>
      <c r="O60">
        <v>32</v>
      </c>
      <c r="P60" t="s">
        <v>21</v>
      </c>
      <c r="Q60" s="1"/>
      <c r="U60">
        <v>1</v>
      </c>
      <c r="V60">
        <v>1</v>
      </c>
      <c r="W60">
        <v>0</v>
      </c>
    </row>
    <row r="61" spans="1:23" ht="16.5" x14ac:dyDescent="0.3">
      <c r="A61" t="s">
        <v>121</v>
      </c>
      <c r="B61" t="s">
        <v>55</v>
      </c>
      <c r="C61" t="s">
        <v>45</v>
      </c>
      <c r="D61" t="s">
        <v>37</v>
      </c>
      <c r="E61">
        <v>38</v>
      </c>
      <c r="F61" t="s">
        <v>46</v>
      </c>
      <c r="G61" t="s">
        <v>38</v>
      </c>
      <c r="H61" s="1">
        <v>44782</v>
      </c>
      <c r="I61" s="2">
        <v>3.4</v>
      </c>
      <c r="J61" t="s">
        <v>50</v>
      </c>
      <c r="K61" s="3">
        <v>7750</v>
      </c>
      <c r="L61" t="s">
        <v>30</v>
      </c>
      <c r="M61">
        <v>2</v>
      </c>
      <c r="N61">
        <v>3</v>
      </c>
      <c r="O61">
        <v>19</v>
      </c>
      <c r="P61" t="s">
        <v>21</v>
      </c>
      <c r="Q61" s="1"/>
      <c r="U61">
        <v>1</v>
      </c>
      <c r="V61">
        <v>1</v>
      </c>
      <c r="W61">
        <v>0</v>
      </c>
    </row>
    <row r="62" spans="1:23" ht="16.5" x14ac:dyDescent="0.3">
      <c r="A62" t="s">
        <v>122</v>
      </c>
      <c r="B62" t="s">
        <v>70</v>
      </c>
      <c r="C62" t="s">
        <v>45</v>
      </c>
      <c r="D62" t="s">
        <v>37</v>
      </c>
      <c r="E62">
        <v>39</v>
      </c>
      <c r="F62" t="s">
        <v>46</v>
      </c>
      <c r="G62" t="s">
        <v>28</v>
      </c>
      <c r="H62" s="1">
        <v>42585</v>
      </c>
      <c r="I62" s="2">
        <v>9.4</v>
      </c>
      <c r="J62" t="s">
        <v>39</v>
      </c>
      <c r="K62" s="3">
        <v>6600</v>
      </c>
      <c r="L62" t="s">
        <v>58</v>
      </c>
      <c r="M62">
        <v>4</v>
      </c>
      <c r="N62">
        <v>3</v>
      </c>
      <c r="O62">
        <v>21</v>
      </c>
      <c r="P62" t="s">
        <v>21</v>
      </c>
      <c r="Q62" s="1"/>
      <c r="U62">
        <v>1</v>
      </c>
      <c r="V62">
        <v>1</v>
      </c>
      <c r="W62">
        <v>0</v>
      </c>
    </row>
    <row r="63" spans="1:23" ht="16.5" x14ac:dyDescent="0.3">
      <c r="A63" t="s">
        <v>123</v>
      </c>
      <c r="B63" t="s">
        <v>35</v>
      </c>
      <c r="C63" t="s">
        <v>45</v>
      </c>
      <c r="D63" t="s">
        <v>26</v>
      </c>
      <c r="E63">
        <v>33</v>
      </c>
      <c r="F63" t="s">
        <v>27</v>
      </c>
      <c r="G63" t="s">
        <v>28</v>
      </c>
      <c r="H63" s="1">
        <v>44166</v>
      </c>
      <c r="I63" s="2">
        <v>5.0999999999999996</v>
      </c>
      <c r="J63" t="s">
        <v>39</v>
      </c>
      <c r="K63" s="3">
        <v>5200</v>
      </c>
      <c r="L63" t="s">
        <v>30</v>
      </c>
      <c r="M63">
        <v>5</v>
      </c>
      <c r="N63">
        <v>2</v>
      </c>
      <c r="O63">
        <v>27</v>
      </c>
      <c r="P63" t="s">
        <v>21</v>
      </c>
      <c r="Q63" s="1"/>
      <c r="U63">
        <v>1</v>
      </c>
      <c r="V63">
        <v>1</v>
      </c>
      <c r="W63">
        <v>0</v>
      </c>
    </row>
    <row r="64" spans="1:23" ht="16.5" x14ac:dyDescent="0.3">
      <c r="A64" t="s">
        <v>124</v>
      </c>
      <c r="B64" t="s">
        <v>24</v>
      </c>
      <c r="C64" t="s">
        <v>25</v>
      </c>
      <c r="D64" t="s">
        <v>37</v>
      </c>
      <c r="E64">
        <v>22</v>
      </c>
      <c r="F64" t="s">
        <v>57</v>
      </c>
      <c r="G64" t="s">
        <v>28</v>
      </c>
      <c r="H64" s="1">
        <v>45868</v>
      </c>
      <c r="I64" s="2">
        <v>0.4</v>
      </c>
      <c r="J64" t="s">
        <v>64</v>
      </c>
      <c r="K64" s="3">
        <v>3000</v>
      </c>
      <c r="L64" t="s">
        <v>58</v>
      </c>
      <c r="M64">
        <v>5</v>
      </c>
      <c r="N64">
        <v>3</v>
      </c>
      <c r="O64">
        <v>23</v>
      </c>
      <c r="P64" t="s">
        <v>21</v>
      </c>
      <c r="Q64" s="1"/>
      <c r="U64">
        <v>1</v>
      </c>
      <c r="V64">
        <v>1</v>
      </c>
      <c r="W64">
        <v>0</v>
      </c>
    </row>
    <row r="65" spans="1:23" ht="16.5" x14ac:dyDescent="0.3">
      <c r="A65" t="s">
        <v>125</v>
      </c>
      <c r="B65" t="s">
        <v>44</v>
      </c>
      <c r="C65" t="s">
        <v>36</v>
      </c>
      <c r="D65" t="s">
        <v>26</v>
      </c>
      <c r="E65">
        <v>34</v>
      </c>
      <c r="F65" t="s">
        <v>27</v>
      </c>
      <c r="G65" t="s">
        <v>28</v>
      </c>
      <c r="H65" s="1">
        <v>43012</v>
      </c>
      <c r="I65" s="2">
        <v>8.1999999999999993</v>
      </c>
      <c r="J65" t="s">
        <v>39</v>
      </c>
      <c r="K65" s="3">
        <v>5000</v>
      </c>
      <c r="L65" t="s">
        <v>30</v>
      </c>
      <c r="M65">
        <v>3</v>
      </c>
      <c r="N65">
        <v>3</v>
      </c>
      <c r="O65">
        <v>18</v>
      </c>
      <c r="P65" t="s">
        <v>21</v>
      </c>
      <c r="Q65" s="1"/>
      <c r="U65">
        <v>1</v>
      </c>
      <c r="V65">
        <v>1</v>
      </c>
      <c r="W65">
        <v>0</v>
      </c>
    </row>
    <row r="66" spans="1:23" ht="16.5" x14ac:dyDescent="0.3">
      <c r="A66" t="s">
        <v>126</v>
      </c>
      <c r="B66" t="s">
        <v>35</v>
      </c>
      <c r="C66" t="s">
        <v>25</v>
      </c>
      <c r="D66" t="s">
        <v>37</v>
      </c>
      <c r="E66">
        <v>25</v>
      </c>
      <c r="F66" t="s">
        <v>57</v>
      </c>
      <c r="G66" t="s">
        <v>38</v>
      </c>
      <c r="H66" s="1">
        <v>45735</v>
      </c>
      <c r="I66" s="2">
        <v>0.8</v>
      </c>
      <c r="J66" t="s">
        <v>64</v>
      </c>
      <c r="K66" s="3">
        <v>3500</v>
      </c>
      <c r="L66" t="s">
        <v>30</v>
      </c>
      <c r="M66">
        <v>4</v>
      </c>
      <c r="N66">
        <v>3</v>
      </c>
      <c r="O66">
        <v>25</v>
      </c>
      <c r="P66" t="s">
        <v>21</v>
      </c>
      <c r="Q66" s="1"/>
      <c r="U66">
        <v>1</v>
      </c>
      <c r="V66">
        <v>1</v>
      </c>
      <c r="W66">
        <v>0</v>
      </c>
    </row>
    <row r="67" spans="1:23" ht="16.5" x14ac:dyDescent="0.3">
      <c r="A67" t="s">
        <v>127</v>
      </c>
      <c r="B67" t="s">
        <v>70</v>
      </c>
      <c r="C67" t="s">
        <v>36</v>
      </c>
      <c r="D67" t="s">
        <v>37</v>
      </c>
      <c r="E67">
        <v>33</v>
      </c>
      <c r="F67" t="s">
        <v>27</v>
      </c>
      <c r="G67" t="s">
        <v>38</v>
      </c>
      <c r="H67" s="1">
        <v>43953</v>
      </c>
      <c r="I67" s="2">
        <v>5.7</v>
      </c>
      <c r="J67" t="s">
        <v>39</v>
      </c>
      <c r="K67" s="3">
        <v>4850</v>
      </c>
      <c r="L67" t="s">
        <v>58</v>
      </c>
      <c r="M67">
        <v>4</v>
      </c>
      <c r="N67">
        <v>4</v>
      </c>
      <c r="O67">
        <v>40</v>
      </c>
      <c r="P67" t="s">
        <v>21</v>
      </c>
      <c r="Q67" s="1"/>
      <c r="U67">
        <v>1</v>
      </c>
      <c r="V67">
        <v>1</v>
      </c>
      <c r="W67">
        <v>0</v>
      </c>
    </row>
    <row r="68" spans="1:23" ht="16.5" x14ac:dyDescent="0.3">
      <c r="A68" t="s">
        <v>128</v>
      </c>
      <c r="B68" t="s">
        <v>48</v>
      </c>
      <c r="C68" t="s">
        <v>45</v>
      </c>
      <c r="D68" t="s">
        <v>26</v>
      </c>
      <c r="E68">
        <v>41</v>
      </c>
      <c r="F68" t="s">
        <v>46</v>
      </c>
      <c r="G68" t="s">
        <v>38</v>
      </c>
      <c r="H68" s="1">
        <v>44466</v>
      </c>
      <c r="I68" s="2">
        <v>4.3</v>
      </c>
      <c r="J68" t="s">
        <v>50</v>
      </c>
      <c r="K68" s="3">
        <v>10550</v>
      </c>
      <c r="L68" t="s">
        <v>30</v>
      </c>
      <c r="M68">
        <v>3</v>
      </c>
      <c r="N68">
        <v>3</v>
      </c>
      <c r="O68">
        <v>34</v>
      </c>
      <c r="P68" t="s">
        <v>21</v>
      </c>
      <c r="Q68" s="1"/>
      <c r="U68">
        <v>1</v>
      </c>
      <c r="V68">
        <v>1</v>
      </c>
      <c r="W68">
        <v>0</v>
      </c>
    </row>
    <row r="69" spans="1:23" ht="16.5" x14ac:dyDescent="0.3">
      <c r="A69" t="s">
        <v>129</v>
      </c>
      <c r="B69" t="s">
        <v>35</v>
      </c>
      <c r="C69" t="s">
        <v>25</v>
      </c>
      <c r="D69" t="s">
        <v>37</v>
      </c>
      <c r="E69">
        <v>24</v>
      </c>
      <c r="F69" t="s">
        <v>57</v>
      </c>
      <c r="G69" t="s">
        <v>28</v>
      </c>
      <c r="H69" s="1">
        <v>45527</v>
      </c>
      <c r="I69" s="2">
        <v>1.4</v>
      </c>
      <c r="J69" t="s">
        <v>29</v>
      </c>
      <c r="K69" s="3">
        <v>3000</v>
      </c>
      <c r="L69" t="s">
        <v>30</v>
      </c>
      <c r="M69">
        <v>3</v>
      </c>
      <c r="N69">
        <v>3</v>
      </c>
      <c r="O69">
        <v>26</v>
      </c>
      <c r="P69" t="s">
        <v>21</v>
      </c>
      <c r="Q69" s="1"/>
      <c r="U69">
        <v>1</v>
      </c>
      <c r="V69">
        <v>1</v>
      </c>
      <c r="W69">
        <v>0</v>
      </c>
    </row>
    <row r="70" spans="1:23" ht="16.5" x14ac:dyDescent="0.3">
      <c r="A70" t="s">
        <v>130</v>
      </c>
      <c r="B70" t="s">
        <v>48</v>
      </c>
      <c r="C70" t="s">
        <v>36</v>
      </c>
      <c r="D70" t="s">
        <v>37</v>
      </c>
      <c r="E70">
        <v>39</v>
      </c>
      <c r="F70" t="s">
        <v>46</v>
      </c>
      <c r="G70" t="s">
        <v>28</v>
      </c>
      <c r="H70" s="1">
        <v>41262</v>
      </c>
      <c r="I70" s="2">
        <v>13</v>
      </c>
      <c r="J70" t="s">
        <v>39</v>
      </c>
      <c r="K70" s="3">
        <v>7850</v>
      </c>
      <c r="L70" t="s">
        <v>30</v>
      </c>
      <c r="M70">
        <v>1</v>
      </c>
      <c r="N70">
        <v>4</v>
      </c>
      <c r="O70">
        <v>31</v>
      </c>
      <c r="P70" t="s">
        <v>21</v>
      </c>
      <c r="Q70" s="1"/>
      <c r="U70">
        <v>1</v>
      </c>
      <c r="V70">
        <v>1</v>
      </c>
      <c r="W70">
        <v>0</v>
      </c>
    </row>
    <row r="71" spans="1:23" ht="16.5" x14ac:dyDescent="0.3">
      <c r="A71" t="s">
        <v>131</v>
      </c>
      <c r="B71" t="s">
        <v>24</v>
      </c>
      <c r="C71" t="s">
        <v>36</v>
      </c>
      <c r="D71" t="s">
        <v>26</v>
      </c>
      <c r="E71">
        <v>28</v>
      </c>
      <c r="F71" t="s">
        <v>27</v>
      </c>
      <c r="G71" t="s">
        <v>52</v>
      </c>
      <c r="H71" s="1">
        <v>44125</v>
      </c>
      <c r="I71" s="2">
        <v>5.2</v>
      </c>
      <c r="J71" t="s">
        <v>39</v>
      </c>
      <c r="K71" s="3">
        <v>4050</v>
      </c>
      <c r="L71" t="s">
        <v>30</v>
      </c>
      <c r="M71">
        <v>3</v>
      </c>
      <c r="N71">
        <v>5</v>
      </c>
      <c r="O71">
        <v>27</v>
      </c>
      <c r="P71" t="s">
        <v>21</v>
      </c>
      <c r="Q71" s="1"/>
      <c r="U71">
        <v>1</v>
      </c>
      <c r="V71">
        <v>1</v>
      </c>
      <c r="W71">
        <v>0</v>
      </c>
    </row>
    <row r="72" spans="1:23" ht="16.5" x14ac:dyDescent="0.3">
      <c r="A72" t="s">
        <v>132</v>
      </c>
      <c r="B72" t="s">
        <v>24</v>
      </c>
      <c r="C72" t="s">
        <v>36</v>
      </c>
      <c r="D72" t="s">
        <v>26</v>
      </c>
      <c r="E72">
        <v>28</v>
      </c>
      <c r="F72" t="s">
        <v>27</v>
      </c>
      <c r="G72" t="s">
        <v>28</v>
      </c>
      <c r="H72" s="1">
        <v>44353</v>
      </c>
      <c r="I72" s="2">
        <v>4.5999999999999996</v>
      </c>
      <c r="J72" t="s">
        <v>50</v>
      </c>
      <c r="K72" s="3">
        <v>3700</v>
      </c>
      <c r="L72" t="s">
        <v>30</v>
      </c>
      <c r="M72">
        <v>4</v>
      </c>
      <c r="N72">
        <v>4</v>
      </c>
      <c r="O72">
        <v>37</v>
      </c>
      <c r="P72" t="s">
        <v>21</v>
      </c>
      <c r="Q72" s="1"/>
      <c r="U72">
        <v>1</v>
      </c>
      <c r="V72">
        <v>1</v>
      </c>
      <c r="W72">
        <v>0</v>
      </c>
    </row>
    <row r="73" spans="1:23" ht="16.5" x14ac:dyDescent="0.3">
      <c r="A73" t="s">
        <v>133</v>
      </c>
      <c r="B73" t="s">
        <v>24</v>
      </c>
      <c r="C73" t="s">
        <v>45</v>
      </c>
      <c r="D73" t="s">
        <v>26</v>
      </c>
      <c r="E73">
        <v>37</v>
      </c>
      <c r="F73" t="s">
        <v>46</v>
      </c>
      <c r="G73" t="s">
        <v>28</v>
      </c>
      <c r="H73" s="1">
        <v>44534</v>
      </c>
      <c r="I73" s="2">
        <v>4.0999999999999996</v>
      </c>
      <c r="J73" t="s">
        <v>50</v>
      </c>
      <c r="K73" s="3">
        <v>5750</v>
      </c>
      <c r="L73" t="s">
        <v>30</v>
      </c>
      <c r="M73">
        <v>3</v>
      </c>
      <c r="N73">
        <v>3</v>
      </c>
      <c r="O73">
        <v>26</v>
      </c>
      <c r="P73" t="s">
        <v>21</v>
      </c>
      <c r="Q73" s="1"/>
      <c r="U73">
        <v>1</v>
      </c>
      <c r="V73">
        <v>1</v>
      </c>
      <c r="W73">
        <v>0</v>
      </c>
    </row>
    <row r="74" spans="1:23" ht="16.5" x14ac:dyDescent="0.3">
      <c r="A74" t="s">
        <v>134</v>
      </c>
      <c r="B74" t="s">
        <v>55</v>
      </c>
      <c r="C74" t="s">
        <v>45</v>
      </c>
      <c r="D74" t="s">
        <v>37</v>
      </c>
      <c r="E74">
        <v>34</v>
      </c>
      <c r="F74" t="s">
        <v>27</v>
      </c>
      <c r="G74" t="s">
        <v>38</v>
      </c>
      <c r="H74" s="1">
        <v>42689</v>
      </c>
      <c r="I74" s="2">
        <v>9.1</v>
      </c>
      <c r="J74" t="s">
        <v>39</v>
      </c>
      <c r="K74" s="3">
        <v>9300</v>
      </c>
      <c r="L74" t="s">
        <v>30</v>
      </c>
      <c r="M74">
        <v>3</v>
      </c>
      <c r="N74">
        <v>4</v>
      </c>
      <c r="O74">
        <v>0</v>
      </c>
      <c r="P74" t="s">
        <v>21</v>
      </c>
      <c r="Q74" s="1"/>
      <c r="U74">
        <v>1</v>
      </c>
      <c r="V74">
        <v>1</v>
      </c>
      <c r="W74">
        <v>0</v>
      </c>
    </row>
    <row r="75" spans="1:23" ht="16.5" x14ac:dyDescent="0.3">
      <c r="A75" t="s">
        <v>135</v>
      </c>
      <c r="B75" t="s">
        <v>24</v>
      </c>
      <c r="C75" t="s">
        <v>25</v>
      </c>
      <c r="D75" t="s">
        <v>37</v>
      </c>
      <c r="E75">
        <v>30</v>
      </c>
      <c r="F75" t="s">
        <v>27</v>
      </c>
      <c r="G75" t="s">
        <v>38</v>
      </c>
      <c r="H75" s="1">
        <v>44978</v>
      </c>
      <c r="I75" s="2">
        <v>2.9</v>
      </c>
      <c r="J75" t="s">
        <v>29</v>
      </c>
      <c r="K75" s="3">
        <v>2850</v>
      </c>
      <c r="L75" t="s">
        <v>30</v>
      </c>
      <c r="M75">
        <v>2</v>
      </c>
      <c r="N75">
        <v>3</v>
      </c>
      <c r="O75">
        <v>15</v>
      </c>
      <c r="P75" t="s">
        <v>21</v>
      </c>
      <c r="Q75" s="1"/>
      <c r="U75">
        <v>1</v>
      </c>
      <c r="V75">
        <v>1</v>
      </c>
      <c r="W75">
        <v>0</v>
      </c>
    </row>
    <row r="76" spans="1:23" ht="16.5" x14ac:dyDescent="0.3">
      <c r="A76" t="s">
        <v>136</v>
      </c>
      <c r="B76" t="s">
        <v>48</v>
      </c>
      <c r="C76" t="s">
        <v>25</v>
      </c>
      <c r="D76" t="s">
        <v>37</v>
      </c>
      <c r="E76">
        <v>30</v>
      </c>
      <c r="F76" t="s">
        <v>27</v>
      </c>
      <c r="G76" t="s">
        <v>38</v>
      </c>
      <c r="H76" s="1">
        <v>45327</v>
      </c>
      <c r="I76" s="2">
        <v>1.9</v>
      </c>
      <c r="J76" t="s">
        <v>29</v>
      </c>
      <c r="K76" s="3">
        <v>6900</v>
      </c>
      <c r="L76" t="s">
        <v>30</v>
      </c>
      <c r="M76">
        <v>4</v>
      </c>
      <c r="N76">
        <v>2</v>
      </c>
      <c r="O76">
        <v>32</v>
      </c>
      <c r="P76" t="s">
        <v>21</v>
      </c>
      <c r="Q76" s="1"/>
      <c r="U76">
        <v>1</v>
      </c>
      <c r="V76">
        <v>1</v>
      </c>
      <c r="W76">
        <v>0</v>
      </c>
    </row>
    <row r="77" spans="1:23" ht="16.5" x14ac:dyDescent="0.3">
      <c r="A77" t="s">
        <v>137</v>
      </c>
      <c r="B77" t="s">
        <v>48</v>
      </c>
      <c r="C77" t="s">
        <v>25</v>
      </c>
      <c r="D77" t="s">
        <v>37</v>
      </c>
      <c r="E77">
        <v>31</v>
      </c>
      <c r="F77" t="s">
        <v>27</v>
      </c>
      <c r="G77" t="s">
        <v>28</v>
      </c>
      <c r="H77" s="1">
        <v>44715</v>
      </c>
      <c r="I77" s="2">
        <v>3.6</v>
      </c>
      <c r="J77" t="s">
        <v>50</v>
      </c>
      <c r="K77" s="3">
        <v>5750</v>
      </c>
      <c r="L77" t="s">
        <v>30</v>
      </c>
      <c r="M77">
        <v>4</v>
      </c>
      <c r="N77">
        <v>2</v>
      </c>
      <c r="O77">
        <v>23</v>
      </c>
      <c r="P77" t="s">
        <v>21</v>
      </c>
      <c r="Q77" s="1"/>
      <c r="U77">
        <v>1</v>
      </c>
      <c r="V77">
        <v>1</v>
      </c>
      <c r="W77">
        <v>0</v>
      </c>
    </row>
    <row r="78" spans="1:23" ht="16.5" x14ac:dyDescent="0.3">
      <c r="A78" t="s">
        <v>138</v>
      </c>
      <c r="B78" t="s">
        <v>48</v>
      </c>
      <c r="C78" t="s">
        <v>25</v>
      </c>
      <c r="D78" t="s">
        <v>26</v>
      </c>
      <c r="E78">
        <v>28</v>
      </c>
      <c r="F78" t="s">
        <v>27</v>
      </c>
      <c r="G78" t="s">
        <v>38</v>
      </c>
      <c r="H78" s="1">
        <v>44722</v>
      </c>
      <c r="I78" s="2">
        <v>3.6</v>
      </c>
      <c r="J78" t="s">
        <v>50</v>
      </c>
      <c r="K78" s="3">
        <v>6800</v>
      </c>
      <c r="L78" t="s">
        <v>30</v>
      </c>
      <c r="M78">
        <v>2</v>
      </c>
      <c r="N78">
        <v>3</v>
      </c>
      <c r="O78">
        <v>42</v>
      </c>
      <c r="P78" t="s">
        <v>21</v>
      </c>
      <c r="Q78" s="1"/>
      <c r="U78">
        <v>1</v>
      </c>
      <c r="V78">
        <v>1</v>
      </c>
      <c r="W78">
        <v>0</v>
      </c>
    </row>
    <row r="79" spans="1:23" ht="16.5" x14ac:dyDescent="0.3">
      <c r="A79" t="s">
        <v>139</v>
      </c>
      <c r="B79" t="s">
        <v>35</v>
      </c>
      <c r="C79" t="s">
        <v>25</v>
      </c>
      <c r="D79" t="s">
        <v>26</v>
      </c>
      <c r="E79">
        <v>31</v>
      </c>
      <c r="F79" t="s">
        <v>27</v>
      </c>
      <c r="G79" t="s">
        <v>38</v>
      </c>
      <c r="H79" s="1">
        <v>43337</v>
      </c>
      <c r="I79" s="2">
        <v>7.4</v>
      </c>
      <c r="J79" t="s">
        <v>39</v>
      </c>
      <c r="K79" s="3">
        <v>3400</v>
      </c>
      <c r="L79" t="s">
        <v>30</v>
      </c>
      <c r="M79">
        <v>3</v>
      </c>
      <c r="N79">
        <v>3</v>
      </c>
      <c r="O79">
        <v>36</v>
      </c>
      <c r="P79" t="s">
        <v>21</v>
      </c>
      <c r="Q79" s="1"/>
      <c r="U79">
        <v>1</v>
      </c>
      <c r="V79">
        <v>1</v>
      </c>
      <c r="W79">
        <v>0</v>
      </c>
    </row>
    <row r="80" spans="1:23" ht="16.5" x14ac:dyDescent="0.3">
      <c r="A80" t="s">
        <v>140</v>
      </c>
      <c r="B80" t="s">
        <v>44</v>
      </c>
      <c r="C80" t="s">
        <v>36</v>
      </c>
      <c r="D80" t="s">
        <v>26</v>
      </c>
      <c r="E80">
        <v>30</v>
      </c>
      <c r="F80" t="s">
        <v>27</v>
      </c>
      <c r="G80" t="s">
        <v>38</v>
      </c>
      <c r="H80" s="1">
        <v>43724</v>
      </c>
      <c r="I80" s="2">
        <v>6.3</v>
      </c>
      <c r="J80" t="s">
        <v>39</v>
      </c>
      <c r="K80" s="3">
        <v>6300</v>
      </c>
      <c r="L80" t="s">
        <v>30</v>
      </c>
      <c r="M80">
        <v>4</v>
      </c>
      <c r="N80">
        <v>4</v>
      </c>
      <c r="O80">
        <v>13</v>
      </c>
      <c r="P80" t="s">
        <v>21</v>
      </c>
      <c r="Q80" s="1"/>
      <c r="U80">
        <v>1</v>
      </c>
      <c r="V80">
        <v>1</v>
      </c>
      <c r="W80">
        <v>0</v>
      </c>
    </row>
    <row r="81" spans="1:23" ht="16.5" x14ac:dyDescent="0.3">
      <c r="A81" t="s">
        <v>141</v>
      </c>
      <c r="B81" t="s">
        <v>35</v>
      </c>
      <c r="C81" t="s">
        <v>45</v>
      </c>
      <c r="D81" t="s">
        <v>37</v>
      </c>
      <c r="E81">
        <v>32</v>
      </c>
      <c r="F81" t="s">
        <v>27</v>
      </c>
      <c r="G81" t="s">
        <v>52</v>
      </c>
      <c r="H81" s="1">
        <v>45175</v>
      </c>
      <c r="I81" s="2">
        <v>2.2999999999999998</v>
      </c>
      <c r="J81" t="s">
        <v>29</v>
      </c>
      <c r="K81" s="3">
        <v>6600</v>
      </c>
      <c r="L81" t="s">
        <v>30</v>
      </c>
      <c r="M81">
        <v>4</v>
      </c>
      <c r="N81">
        <v>4</v>
      </c>
      <c r="O81">
        <v>28</v>
      </c>
      <c r="P81" t="s">
        <v>21</v>
      </c>
      <c r="Q81" s="1"/>
      <c r="U81">
        <v>1</v>
      </c>
      <c r="V81">
        <v>1</v>
      </c>
      <c r="W81">
        <v>0</v>
      </c>
    </row>
    <row r="82" spans="1:23" ht="16.5" x14ac:dyDescent="0.3">
      <c r="A82" t="s">
        <v>142</v>
      </c>
      <c r="B82" t="s">
        <v>24</v>
      </c>
      <c r="C82" t="s">
        <v>45</v>
      </c>
      <c r="D82" t="s">
        <v>26</v>
      </c>
      <c r="E82">
        <v>39</v>
      </c>
      <c r="F82" t="s">
        <v>46</v>
      </c>
      <c r="G82" t="s">
        <v>52</v>
      </c>
      <c r="H82" s="1">
        <v>42067</v>
      </c>
      <c r="I82" s="2">
        <v>10.8</v>
      </c>
      <c r="J82" t="s">
        <v>39</v>
      </c>
      <c r="K82" s="3">
        <v>5850</v>
      </c>
      <c r="L82" t="s">
        <v>30</v>
      </c>
      <c r="M82">
        <v>4</v>
      </c>
      <c r="N82">
        <v>4</v>
      </c>
      <c r="O82">
        <v>30</v>
      </c>
      <c r="P82" t="s">
        <v>21</v>
      </c>
      <c r="Q82" s="1"/>
      <c r="U82">
        <v>1</v>
      </c>
      <c r="V82">
        <v>1</v>
      </c>
      <c r="W82">
        <v>0</v>
      </c>
    </row>
    <row r="83" spans="1:23" ht="16.5" x14ac:dyDescent="0.3">
      <c r="A83" t="s">
        <v>143</v>
      </c>
      <c r="B83" t="s">
        <v>35</v>
      </c>
      <c r="C83" t="s">
        <v>25</v>
      </c>
      <c r="D83" t="s">
        <v>37</v>
      </c>
      <c r="E83">
        <v>28</v>
      </c>
      <c r="F83" t="s">
        <v>27</v>
      </c>
      <c r="G83" t="s">
        <v>38</v>
      </c>
      <c r="H83" s="1">
        <v>45365</v>
      </c>
      <c r="I83" s="2">
        <v>1.8</v>
      </c>
      <c r="J83" t="s">
        <v>29</v>
      </c>
      <c r="K83" s="3">
        <v>3900</v>
      </c>
      <c r="L83" t="s">
        <v>30</v>
      </c>
      <c r="M83">
        <v>2</v>
      </c>
      <c r="N83">
        <v>4</v>
      </c>
      <c r="O83">
        <v>27</v>
      </c>
      <c r="P83" t="s">
        <v>21</v>
      </c>
      <c r="Q83" s="1"/>
      <c r="U83">
        <v>1</v>
      </c>
      <c r="V83">
        <v>1</v>
      </c>
      <c r="W83">
        <v>0</v>
      </c>
    </row>
    <row r="84" spans="1:23" ht="16.5" x14ac:dyDescent="0.3">
      <c r="A84" t="s">
        <v>144</v>
      </c>
      <c r="B84" t="s">
        <v>48</v>
      </c>
      <c r="C84" t="s">
        <v>36</v>
      </c>
      <c r="D84" t="s">
        <v>26</v>
      </c>
      <c r="E84">
        <v>33</v>
      </c>
      <c r="F84" t="s">
        <v>27</v>
      </c>
      <c r="G84" t="s">
        <v>28</v>
      </c>
      <c r="H84" s="1">
        <v>42922</v>
      </c>
      <c r="I84" s="2">
        <v>8.5</v>
      </c>
      <c r="J84" t="s">
        <v>39</v>
      </c>
      <c r="K84" s="3">
        <v>8500</v>
      </c>
      <c r="L84" t="s">
        <v>58</v>
      </c>
      <c r="M84">
        <v>3</v>
      </c>
      <c r="N84">
        <v>3</v>
      </c>
      <c r="O84">
        <v>49</v>
      </c>
      <c r="P84" t="s">
        <v>21</v>
      </c>
      <c r="Q84" s="1"/>
      <c r="U84">
        <v>1</v>
      </c>
      <c r="V84">
        <v>1</v>
      </c>
      <c r="W84">
        <v>0</v>
      </c>
    </row>
    <row r="85" spans="1:23" ht="16.5" x14ac:dyDescent="0.3">
      <c r="A85" t="s">
        <v>145</v>
      </c>
      <c r="B85" t="s">
        <v>70</v>
      </c>
      <c r="C85" t="s">
        <v>45</v>
      </c>
      <c r="D85" t="s">
        <v>37</v>
      </c>
      <c r="E85">
        <v>37</v>
      </c>
      <c r="F85" t="s">
        <v>46</v>
      </c>
      <c r="G85" t="s">
        <v>28</v>
      </c>
      <c r="H85" s="1">
        <v>43092</v>
      </c>
      <c r="I85" s="2">
        <v>8</v>
      </c>
      <c r="J85" t="s">
        <v>39</v>
      </c>
      <c r="K85" s="3">
        <v>7300</v>
      </c>
      <c r="L85" t="s">
        <v>58</v>
      </c>
      <c r="M85">
        <v>3</v>
      </c>
      <c r="N85">
        <v>3</v>
      </c>
      <c r="O85">
        <v>17</v>
      </c>
      <c r="P85" t="s">
        <v>21</v>
      </c>
      <c r="Q85" s="1"/>
      <c r="U85">
        <v>1</v>
      </c>
      <c r="V85">
        <v>1</v>
      </c>
      <c r="W85">
        <v>0</v>
      </c>
    </row>
    <row r="86" spans="1:23" ht="16.5" x14ac:dyDescent="0.3">
      <c r="A86" t="s">
        <v>146</v>
      </c>
      <c r="B86" t="s">
        <v>48</v>
      </c>
      <c r="C86" t="s">
        <v>87</v>
      </c>
      <c r="D86" t="s">
        <v>26</v>
      </c>
      <c r="E86">
        <v>36</v>
      </c>
      <c r="F86" t="s">
        <v>46</v>
      </c>
      <c r="G86" t="s">
        <v>38</v>
      </c>
      <c r="H86" s="1">
        <v>42881</v>
      </c>
      <c r="I86" s="2">
        <v>8.6</v>
      </c>
      <c r="J86" t="s">
        <v>39</v>
      </c>
      <c r="K86" s="3">
        <v>14450</v>
      </c>
      <c r="L86" t="s">
        <v>30</v>
      </c>
      <c r="M86">
        <v>4</v>
      </c>
      <c r="N86">
        <v>5</v>
      </c>
      <c r="O86">
        <v>32</v>
      </c>
      <c r="P86" t="s">
        <v>21</v>
      </c>
      <c r="Q86" s="1"/>
      <c r="U86">
        <v>1</v>
      </c>
      <c r="V86">
        <v>1</v>
      </c>
      <c r="W86">
        <v>0</v>
      </c>
    </row>
    <row r="87" spans="1:23" ht="16.5" x14ac:dyDescent="0.3">
      <c r="A87" t="s">
        <v>147</v>
      </c>
      <c r="B87" t="s">
        <v>35</v>
      </c>
      <c r="C87" t="s">
        <v>36</v>
      </c>
      <c r="D87" t="s">
        <v>37</v>
      </c>
      <c r="E87">
        <v>30</v>
      </c>
      <c r="F87" t="s">
        <v>27</v>
      </c>
      <c r="G87" t="s">
        <v>38</v>
      </c>
      <c r="H87" s="1">
        <v>43909</v>
      </c>
      <c r="I87" s="2">
        <v>5.8</v>
      </c>
      <c r="J87" t="s">
        <v>39</v>
      </c>
      <c r="K87" s="3">
        <v>4450</v>
      </c>
      <c r="L87" t="s">
        <v>58</v>
      </c>
      <c r="M87">
        <v>3</v>
      </c>
      <c r="N87">
        <v>3</v>
      </c>
      <c r="O87">
        <v>34</v>
      </c>
      <c r="P87" t="s">
        <v>21</v>
      </c>
      <c r="Q87" s="1"/>
      <c r="U87">
        <v>1</v>
      </c>
      <c r="V87">
        <v>1</v>
      </c>
      <c r="W87">
        <v>0</v>
      </c>
    </row>
    <row r="88" spans="1:23" ht="16.5" x14ac:dyDescent="0.3">
      <c r="A88" t="s">
        <v>148</v>
      </c>
      <c r="B88" t="s">
        <v>55</v>
      </c>
      <c r="C88" t="s">
        <v>45</v>
      </c>
      <c r="D88" t="s">
        <v>37</v>
      </c>
      <c r="E88">
        <v>37</v>
      </c>
      <c r="F88" t="s">
        <v>46</v>
      </c>
      <c r="G88" t="s">
        <v>52</v>
      </c>
      <c r="H88" s="1">
        <v>43581</v>
      </c>
      <c r="I88" s="2">
        <v>6.7</v>
      </c>
      <c r="J88" t="s">
        <v>39</v>
      </c>
      <c r="K88" s="3">
        <v>7500</v>
      </c>
      <c r="L88" t="s">
        <v>30</v>
      </c>
      <c r="M88">
        <v>3</v>
      </c>
      <c r="N88">
        <v>4</v>
      </c>
      <c r="O88">
        <v>44</v>
      </c>
      <c r="P88" t="s">
        <v>21</v>
      </c>
      <c r="Q88" s="1"/>
      <c r="U88">
        <v>1</v>
      </c>
      <c r="V88">
        <v>1</v>
      </c>
      <c r="W88">
        <v>0</v>
      </c>
    </row>
    <row r="89" spans="1:23" ht="16.5" x14ac:dyDescent="0.3">
      <c r="A89" t="s">
        <v>149</v>
      </c>
      <c r="B89" t="s">
        <v>35</v>
      </c>
      <c r="C89" t="s">
        <v>36</v>
      </c>
      <c r="D89" t="s">
        <v>37</v>
      </c>
      <c r="E89">
        <v>32</v>
      </c>
      <c r="F89" t="s">
        <v>27</v>
      </c>
      <c r="G89" t="s">
        <v>38</v>
      </c>
      <c r="H89" s="1">
        <v>44024</v>
      </c>
      <c r="I89" s="2">
        <v>5.5</v>
      </c>
      <c r="J89" t="s">
        <v>39</v>
      </c>
      <c r="K89" s="3">
        <v>4050</v>
      </c>
      <c r="L89" t="s">
        <v>30</v>
      </c>
      <c r="M89">
        <v>4</v>
      </c>
      <c r="N89">
        <v>3</v>
      </c>
      <c r="O89">
        <v>30</v>
      </c>
      <c r="P89" t="s">
        <v>21</v>
      </c>
      <c r="Q89" s="1"/>
      <c r="U89">
        <v>1</v>
      </c>
      <c r="V89">
        <v>1</v>
      </c>
      <c r="W89">
        <v>0</v>
      </c>
    </row>
    <row r="90" spans="1:23" ht="16.5" x14ac:dyDescent="0.3">
      <c r="A90" t="s">
        <v>150</v>
      </c>
      <c r="B90" t="s">
        <v>55</v>
      </c>
      <c r="C90" t="s">
        <v>36</v>
      </c>
      <c r="D90" t="s">
        <v>26</v>
      </c>
      <c r="E90">
        <v>33</v>
      </c>
      <c r="F90" t="s">
        <v>27</v>
      </c>
      <c r="G90" t="s">
        <v>52</v>
      </c>
      <c r="H90" s="1">
        <v>43884</v>
      </c>
      <c r="I90" s="2">
        <v>4.5</v>
      </c>
      <c r="J90" t="s">
        <v>50</v>
      </c>
      <c r="K90" s="3">
        <v>4900</v>
      </c>
      <c r="L90" t="s">
        <v>58</v>
      </c>
      <c r="M90">
        <v>2</v>
      </c>
      <c r="N90">
        <v>3</v>
      </c>
      <c r="O90">
        <v>28</v>
      </c>
      <c r="P90" t="s">
        <v>22</v>
      </c>
      <c r="Q90" s="1">
        <v>45528</v>
      </c>
      <c r="R90" t="s">
        <v>31</v>
      </c>
      <c r="S90" t="s">
        <v>41</v>
      </c>
      <c r="T90" t="s">
        <v>151</v>
      </c>
      <c r="U90">
        <v>1</v>
      </c>
      <c r="V90">
        <v>0</v>
      </c>
      <c r="W90">
        <v>1</v>
      </c>
    </row>
    <row r="91" spans="1:23" ht="16.5" x14ac:dyDescent="0.3">
      <c r="A91" t="s">
        <v>152</v>
      </c>
      <c r="B91" t="s">
        <v>70</v>
      </c>
      <c r="C91" t="s">
        <v>25</v>
      </c>
      <c r="D91" t="s">
        <v>26</v>
      </c>
      <c r="E91">
        <v>35</v>
      </c>
      <c r="F91" t="s">
        <v>27</v>
      </c>
      <c r="G91" t="s">
        <v>52</v>
      </c>
      <c r="H91" s="1">
        <v>42239</v>
      </c>
      <c r="I91" s="2">
        <v>8.6999999999999993</v>
      </c>
      <c r="J91" t="s">
        <v>39</v>
      </c>
      <c r="K91" s="3">
        <v>3450</v>
      </c>
      <c r="L91" t="s">
        <v>58</v>
      </c>
      <c r="M91">
        <v>3</v>
      </c>
      <c r="N91">
        <v>3</v>
      </c>
      <c r="O91">
        <v>22</v>
      </c>
      <c r="P91" t="s">
        <v>22</v>
      </c>
      <c r="Q91" s="1">
        <v>45407</v>
      </c>
      <c r="R91" t="s">
        <v>31</v>
      </c>
      <c r="S91" t="s">
        <v>153</v>
      </c>
      <c r="T91" t="s">
        <v>33</v>
      </c>
      <c r="U91">
        <v>1</v>
      </c>
      <c r="V91">
        <v>0</v>
      </c>
      <c r="W91">
        <v>1</v>
      </c>
    </row>
    <row r="92" spans="1:23" ht="16.5" x14ac:dyDescent="0.3">
      <c r="A92" t="s">
        <v>154</v>
      </c>
      <c r="B92" t="s">
        <v>70</v>
      </c>
      <c r="C92" t="s">
        <v>25</v>
      </c>
      <c r="D92" t="s">
        <v>26</v>
      </c>
      <c r="E92">
        <v>27</v>
      </c>
      <c r="F92" t="s">
        <v>27</v>
      </c>
      <c r="G92" t="s">
        <v>38</v>
      </c>
      <c r="H92" s="1">
        <v>45289</v>
      </c>
      <c r="I92" s="2">
        <v>2</v>
      </c>
      <c r="J92" t="s">
        <v>29</v>
      </c>
      <c r="K92" s="3">
        <v>4350</v>
      </c>
      <c r="L92" t="s">
        <v>30</v>
      </c>
      <c r="M92">
        <v>3</v>
      </c>
      <c r="N92">
        <v>4</v>
      </c>
      <c r="O92">
        <v>27</v>
      </c>
      <c r="P92" t="s">
        <v>21</v>
      </c>
      <c r="Q92" s="1"/>
      <c r="U92">
        <v>1</v>
      </c>
      <c r="V92">
        <v>1</v>
      </c>
      <c r="W92">
        <v>0</v>
      </c>
    </row>
    <row r="93" spans="1:23" ht="16.5" x14ac:dyDescent="0.3">
      <c r="A93" t="s">
        <v>155</v>
      </c>
      <c r="B93" t="s">
        <v>35</v>
      </c>
      <c r="C93" t="s">
        <v>25</v>
      </c>
      <c r="D93" t="s">
        <v>37</v>
      </c>
      <c r="E93">
        <v>27</v>
      </c>
      <c r="F93" t="s">
        <v>27</v>
      </c>
      <c r="G93" t="s">
        <v>38</v>
      </c>
      <c r="H93" s="1">
        <v>44349</v>
      </c>
      <c r="I93" s="2">
        <v>4.5999999999999996</v>
      </c>
      <c r="J93" t="s">
        <v>50</v>
      </c>
      <c r="K93" s="3">
        <v>3800</v>
      </c>
      <c r="L93" t="s">
        <v>30</v>
      </c>
      <c r="M93">
        <v>2</v>
      </c>
      <c r="N93">
        <v>2</v>
      </c>
      <c r="O93">
        <v>19</v>
      </c>
      <c r="P93" t="s">
        <v>21</v>
      </c>
      <c r="Q93" s="1"/>
      <c r="U93">
        <v>1</v>
      </c>
      <c r="V93">
        <v>1</v>
      </c>
      <c r="W93">
        <v>0</v>
      </c>
    </row>
    <row r="94" spans="1:23" ht="16.5" x14ac:dyDescent="0.3">
      <c r="A94" t="s">
        <v>156</v>
      </c>
      <c r="B94" t="s">
        <v>70</v>
      </c>
      <c r="C94" t="s">
        <v>36</v>
      </c>
      <c r="D94" t="s">
        <v>26</v>
      </c>
      <c r="E94">
        <v>33</v>
      </c>
      <c r="F94" t="s">
        <v>27</v>
      </c>
      <c r="G94" t="s">
        <v>38</v>
      </c>
      <c r="H94" s="1">
        <v>45457</v>
      </c>
      <c r="I94" s="2">
        <v>1.5</v>
      </c>
      <c r="J94" t="s">
        <v>29</v>
      </c>
      <c r="K94" s="3">
        <v>5250</v>
      </c>
      <c r="L94" t="s">
        <v>30</v>
      </c>
      <c r="M94">
        <v>3</v>
      </c>
      <c r="N94">
        <v>3</v>
      </c>
      <c r="O94">
        <v>22</v>
      </c>
      <c r="P94" t="s">
        <v>21</v>
      </c>
      <c r="Q94" s="1"/>
      <c r="U94">
        <v>1</v>
      </c>
      <c r="V94">
        <v>1</v>
      </c>
      <c r="W94">
        <v>0</v>
      </c>
    </row>
    <row r="95" spans="1:23" ht="16.5" x14ac:dyDescent="0.3">
      <c r="A95" t="s">
        <v>157</v>
      </c>
      <c r="B95" t="s">
        <v>35</v>
      </c>
      <c r="C95" t="s">
        <v>25</v>
      </c>
      <c r="D95" t="s">
        <v>37</v>
      </c>
      <c r="E95">
        <v>24</v>
      </c>
      <c r="F95" t="s">
        <v>57</v>
      </c>
      <c r="G95" t="s">
        <v>28</v>
      </c>
      <c r="H95" s="1">
        <v>45352</v>
      </c>
      <c r="I95" s="2">
        <v>1.8</v>
      </c>
      <c r="J95" t="s">
        <v>29</v>
      </c>
      <c r="K95" s="3">
        <v>3550</v>
      </c>
      <c r="L95" t="s">
        <v>58</v>
      </c>
      <c r="M95">
        <v>3</v>
      </c>
      <c r="N95">
        <v>3</v>
      </c>
      <c r="O95">
        <v>10</v>
      </c>
      <c r="P95" t="s">
        <v>21</v>
      </c>
      <c r="Q95" s="1"/>
      <c r="U95">
        <v>1</v>
      </c>
      <c r="V95">
        <v>1</v>
      </c>
      <c r="W95">
        <v>0</v>
      </c>
    </row>
    <row r="96" spans="1:23" ht="16.5" x14ac:dyDescent="0.3">
      <c r="A96" t="s">
        <v>158</v>
      </c>
      <c r="B96" t="s">
        <v>70</v>
      </c>
      <c r="C96" t="s">
        <v>36</v>
      </c>
      <c r="D96" t="s">
        <v>37</v>
      </c>
      <c r="E96">
        <v>32</v>
      </c>
      <c r="F96" t="s">
        <v>27</v>
      </c>
      <c r="G96" t="s">
        <v>38</v>
      </c>
      <c r="H96" s="1">
        <v>45404</v>
      </c>
      <c r="I96" s="2">
        <v>1.7</v>
      </c>
      <c r="J96" t="s">
        <v>29</v>
      </c>
      <c r="K96" s="3">
        <v>6100</v>
      </c>
      <c r="L96" t="s">
        <v>30</v>
      </c>
      <c r="M96">
        <v>3</v>
      </c>
      <c r="N96">
        <v>4</v>
      </c>
      <c r="O96">
        <v>41</v>
      </c>
      <c r="P96" t="s">
        <v>21</v>
      </c>
      <c r="Q96" s="1"/>
      <c r="U96">
        <v>1</v>
      </c>
      <c r="V96">
        <v>1</v>
      </c>
      <c r="W96">
        <v>0</v>
      </c>
    </row>
    <row r="97" spans="1:23" ht="16.5" x14ac:dyDescent="0.3">
      <c r="A97" t="s">
        <v>159</v>
      </c>
      <c r="B97" t="s">
        <v>55</v>
      </c>
      <c r="C97" t="s">
        <v>45</v>
      </c>
      <c r="D97" t="s">
        <v>26</v>
      </c>
      <c r="E97">
        <v>43</v>
      </c>
      <c r="F97" t="s">
        <v>46</v>
      </c>
      <c r="G97" t="s">
        <v>38</v>
      </c>
      <c r="H97" s="1">
        <v>41911</v>
      </c>
      <c r="I97" s="2">
        <v>11.3</v>
      </c>
      <c r="J97" t="s">
        <v>39</v>
      </c>
      <c r="K97" s="3">
        <v>9500</v>
      </c>
      <c r="L97" t="s">
        <v>30</v>
      </c>
      <c r="M97">
        <v>2</v>
      </c>
      <c r="N97">
        <v>3</v>
      </c>
      <c r="O97">
        <v>24</v>
      </c>
      <c r="P97" t="s">
        <v>21</v>
      </c>
      <c r="Q97" s="1"/>
      <c r="U97">
        <v>1</v>
      </c>
      <c r="V97">
        <v>1</v>
      </c>
      <c r="W97">
        <v>0</v>
      </c>
    </row>
    <row r="98" spans="1:23" ht="16.5" x14ac:dyDescent="0.3">
      <c r="A98" t="s">
        <v>160</v>
      </c>
      <c r="B98" t="s">
        <v>44</v>
      </c>
      <c r="C98" t="s">
        <v>36</v>
      </c>
      <c r="D98" t="s">
        <v>37</v>
      </c>
      <c r="E98">
        <v>25</v>
      </c>
      <c r="F98" t="s">
        <v>57</v>
      </c>
      <c r="G98" t="s">
        <v>38</v>
      </c>
      <c r="H98" s="1">
        <v>45759</v>
      </c>
      <c r="I98" s="2">
        <v>0.7</v>
      </c>
      <c r="J98" t="s">
        <v>64</v>
      </c>
      <c r="K98" s="3">
        <v>7750</v>
      </c>
      <c r="L98" t="s">
        <v>30</v>
      </c>
      <c r="M98">
        <v>4</v>
      </c>
      <c r="N98">
        <v>3</v>
      </c>
      <c r="O98">
        <v>22</v>
      </c>
      <c r="P98" t="s">
        <v>21</v>
      </c>
      <c r="Q98" s="1"/>
      <c r="U98">
        <v>1</v>
      </c>
      <c r="V98">
        <v>1</v>
      </c>
      <c r="W98">
        <v>0</v>
      </c>
    </row>
    <row r="99" spans="1:23" ht="16.5" x14ac:dyDescent="0.3">
      <c r="A99" t="s">
        <v>161</v>
      </c>
      <c r="B99" t="s">
        <v>35</v>
      </c>
      <c r="C99" t="s">
        <v>25</v>
      </c>
      <c r="D99" t="s">
        <v>37</v>
      </c>
      <c r="E99">
        <v>27</v>
      </c>
      <c r="F99" t="s">
        <v>27</v>
      </c>
      <c r="G99" t="s">
        <v>28</v>
      </c>
      <c r="H99" s="1">
        <v>44803</v>
      </c>
      <c r="I99" s="2">
        <v>3.3</v>
      </c>
      <c r="J99" t="s">
        <v>50</v>
      </c>
      <c r="K99" s="3">
        <v>4000</v>
      </c>
      <c r="L99" t="s">
        <v>30</v>
      </c>
      <c r="M99">
        <v>3</v>
      </c>
      <c r="N99">
        <v>4</v>
      </c>
      <c r="O99">
        <v>20</v>
      </c>
      <c r="P99" t="s">
        <v>21</v>
      </c>
      <c r="Q99" s="1"/>
      <c r="U99">
        <v>1</v>
      </c>
      <c r="V99">
        <v>1</v>
      </c>
      <c r="W99">
        <v>0</v>
      </c>
    </row>
    <row r="100" spans="1:23" ht="16.5" x14ac:dyDescent="0.3">
      <c r="A100" t="s">
        <v>162</v>
      </c>
      <c r="B100" t="s">
        <v>70</v>
      </c>
      <c r="C100" t="s">
        <v>36</v>
      </c>
      <c r="D100" t="s">
        <v>37</v>
      </c>
      <c r="E100">
        <v>29</v>
      </c>
      <c r="F100" t="s">
        <v>27</v>
      </c>
      <c r="G100" t="s">
        <v>52</v>
      </c>
      <c r="H100" s="1">
        <v>44754</v>
      </c>
      <c r="I100" s="2">
        <v>3.5</v>
      </c>
      <c r="J100" t="s">
        <v>50</v>
      </c>
      <c r="K100" s="3">
        <v>4750</v>
      </c>
      <c r="L100" t="s">
        <v>30</v>
      </c>
      <c r="M100">
        <v>3</v>
      </c>
      <c r="N100">
        <v>5</v>
      </c>
      <c r="O100">
        <v>25</v>
      </c>
      <c r="P100" t="s">
        <v>21</v>
      </c>
      <c r="Q100" s="1"/>
      <c r="U100">
        <v>1</v>
      </c>
      <c r="V100">
        <v>1</v>
      </c>
      <c r="W100">
        <v>0</v>
      </c>
    </row>
    <row r="101" spans="1:23" ht="16.5" x14ac:dyDescent="0.3">
      <c r="A101" t="s">
        <v>163</v>
      </c>
      <c r="B101" t="s">
        <v>44</v>
      </c>
      <c r="C101" t="s">
        <v>25</v>
      </c>
      <c r="D101" t="s">
        <v>37</v>
      </c>
      <c r="E101">
        <v>25</v>
      </c>
      <c r="F101" t="s">
        <v>57</v>
      </c>
      <c r="G101" t="s">
        <v>38</v>
      </c>
      <c r="H101" s="1">
        <v>45263</v>
      </c>
      <c r="I101" s="2">
        <v>2.1</v>
      </c>
      <c r="J101" t="s">
        <v>29</v>
      </c>
      <c r="K101" s="3">
        <v>4750</v>
      </c>
      <c r="L101" t="s">
        <v>30</v>
      </c>
      <c r="M101">
        <v>3</v>
      </c>
      <c r="N101">
        <v>3</v>
      </c>
      <c r="O101">
        <v>22</v>
      </c>
      <c r="P101" t="s">
        <v>21</v>
      </c>
      <c r="Q101" s="1"/>
      <c r="U101">
        <v>1</v>
      </c>
      <c r="V101">
        <v>1</v>
      </c>
      <c r="W101">
        <v>0</v>
      </c>
    </row>
    <row r="102" spans="1:23" ht="16.5" x14ac:dyDescent="0.3">
      <c r="A102" t="s">
        <v>164</v>
      </c>
      <c r="B102" t="s">
        <v>73</v>
      </c>
      <c r="C102" t="s">
        <v>25</v>
      </c>
      <c r="D102" t="s">
        <v>37</v>
      </c>
      <c r="E102">
        <v>22</v>
      </c>
      <c r="F102" t="s">
        <v>57</v>
      </c>
      <c r="G102" t="s">
        <v>28</v>
      </c>
      <c r="H102" s="1">
        <v>45919</v>
      </c>
      <c r="I102" s="2">
        <v>0.3</v>
      </c>
      <c r="J102" t="s">
        <v>64</v>
      </c>
      <c r="K102" s="3">
        <v>4100</v>
      </c>
      <c r="L102" t="s">
        <v>30</v>
      </c>
      <c r="M102">
        <v>5</v>
      </c>
      <c r="N102">
        <v>4</v>
      </c>
      <c r="O102">
        <v>31</v>
      </c>
      <c r="P102" t="s">
        <v>21</v>
      </c>
      <c r="Q102" s="1"/>
      <c r="U102">
        <v>1</v>
      </c>
      <c r="V102">
        <v>1</v>
      </c>
      <c r="W102">
        <v>0</v>
      </c>
    </row>
    <row r="103" spans="1:23" ht="16.5" x14ac:dyDescent="0.3">
      <c r="A103" t="s">
        <v>165</v>
      </c>
      <c r="B103" t="s">
        <v>35</v>
      </c>
      <c r="C103" t="s">
        <v>25</v>
      </c>
      <c r="D103" t="s">
        <v>37</v>
      </c>
      <c r="E103">
        <v>21</v>
      </c>
      <c r="F103" t="s">
        <v>57</v>
      </c>
      <c r="G103" t="s">
        <v>38</v>
      </c>
      <c r="H103" s="1">
        <v>45959</v>
      </c>
      <c r="I103" s="2">
        <v>0.2</v>
      </c>
      <c r="J103" t="s">
        <v>64</v>
      </c>
      <c r="K103" s="3">
        <v>3550</v>
      </c>
      <c r="L103" t="s">
        <v>30</v>
      </c>
      <c r="M103">
        <v>4</v>
      </c>
      <c r="N103">
        <v>3</v>
      </c>
      <c r="O103">
        <v>33</v>
      </c>
      <c r="P103" t="s">
        <v>21</v>
      </c>
      <c r="Q103" s="1"/>
      <c r="U103">
        <v>1</v>
      </c>
      <c r="V103">
        <v>1</v>
      </c>
      <c r="W103">
        <v>0</v>
      </c>
    </row>
    <row r="104" spans="1:23" ht="16.5" x14ac:dyDescent="0.3">
      <c r="A104" t="s">
        <v>166</v>
      </c>
      <c r="B104" t="s">
        <v>24</v>
      </c>
      <c r="C104" t="s">
        <v>36</v>
      </c>
      <c r="D104" t="s">
        <v>37</v>
      </c>
      <c r="E104">
        <v>34</v>
      </c>
      <c r="F104" t="s">
        <v>27</v>
      </c>
      <c r="G104" t="s">
        <v>28</v>
      </c>
      <c r="H104" s="1">
        <v>45134</v>
      </c>
      <c r="I104" s="2">
        <v>2.4</v>
      </c>
      <c r="J104" t="s">
        <v>29</v>
      </c>
      <c r="K104" s="3">
        <v>3650</v>
      </c>
      <c r="L104" t="s">
        <v>58</v>
      </c>
      <c r="M104">
        <v>4</v>
      </c>
      <c r="N104">
        <v>3</v>
      </c>
      <c r="O104">
        <v>32</v>
      </c>
      <c r="P104" t="s">
        <v>21</v>
      </c>
      <c r="Q104" s="1"/>
      <c r="U104">
        <v>1</v>
      </c>
      <c r="V104">
        <v>1</v>
      </c>
      <c r="W104">
        <v>0</v>
      </c>
    </row>
    <row r="105" spans="1:23" ht="16.5" x14ac:dyDescent="0.3">
      <c r="A105" t="s">
        <v>167</v>
      </c>
      <c r="B105" t="s">
        <v>35</v>
      </c>
      <c r="C105" t="s">
        <v>36</v>
      </c>
      <c r="D105" t="s">
        <v>37</v>
      </c>
      <c r="E105">
        <v>30</v>
      </c>
      <c r="F105" t="s">
        <v>27</v>
      </c>
      <c r="G105" t="s">
        <v>38</v>
      </c>
      <c r="H105" s="1">
        <v>45016</v>
      </c>
      <c r="I105" s="2">
        <v>2.8</v>
      </c>
      <c r="J105" t="s">
        <v>29</v>
      </c>
      <c r="K105" s="3">
        <v>3900</v>
      </c>
      <c r="L105" t="s">
        <v>30</v>
      </c>
      <c r="M105">
        <v>1</v>
      </c>
      <c r="N105">
        <v>4</v>
      </c>
      <c r="O105">
        <v>10</v>
      </c>
      <c r="P105" t="s">
        <v>21</v>
      </c>
      <c r="Q105" s="1"/>
      <c r="U105">
        <v>1</v>
      </c>
      <c r="V105">
        <v>1</v>
      </c>
      <c r="W105">
        <v>0</v>
      </c>
    </row>
    <row r="106" spans="1:23" ht="16.5" x14ac:dyDescent="0.3">
      <c r="A106" t="s">
        <v>168</v>
      </c>
      <c r="B106" t="s">
        <v>44</v>
      </c>
      <c r="C106" t="s">
        <v>25</v>
      </c>
      <c r="D106" t="s">
        <v>37</v>
      </c>
      <c r="E106">
        <v>39</v>
      </c>
      <c r="F106" t="s">
        <v>46</v>
      </c>
      <c r="G106" t="s">
        <v>38</v>
      </c>
      <c r="H106" s="1">
        <v>44542</v>
      </c>
      <c r="I106" s="2">
        <v>3.4</v>
      </c>
      <c r="J106" t="s">
        <v>50</v>
      </c>
      <c r="K106" s="3">
        <v>5550</v>
      </c>
      <c r="L106" t="s">
        <v>58</v>
      </c>
      <c r="M106">
        <v>3</v>
      </c>
      <c r="N106">
        <v>3</v>
      </c>
      <c r="O106">
        <v>3</v>
      </c>
      <c r="P106" t="s">
        <v>22</v>
      </c>
      <c r="Q106" s="1">
        <v>45792</v>
      </c>
      <c r="R106" t="s">
        <v>40</v>
      </c>
      <c r="S106" t="s">
        <v>169</v>
      </c>
      <c r="T106" t="s">
        <v>60</v>
      </c>
      <c r="U106">
        <v>1</v>
      </c>
      <c r="V106">
        <v>0</v>
      </c>
      <c r="W106">
        <v>1</v>
      </c>
    </row>
    <row r="107" spans="1:23" ht="16.5" x14ac:dyDescent="0.3">
      <c r="A107" t="s">
        <v>170</v>
      </c>
      <c r="B107" t="s">
        <v>70</v>
      </c>
      <c r="C107" t="s">
        <v>36</v>
      </c>
      <c r="D107" t="s">
        <v>26</v>
      </c>
      <c r="E107">
        <v>37</v>
      </c>
      <c r="F107" t="s">
        <v>46</v>
      </c>
      <c r="G107" t="s">
        <v>28</v>
      </c>
      <c r="H107" s="1">
        <v>44034</v>
      </c>
      <c r="I107" s="2">
        <v>5.4</v>
      </c>
      <c r="J107" t="s">
        <v>39</v>
      </c>
      <c r="K107" s="3">
        <v>5500</v>
      </c>
      <c r="L107" t="s">
        <v>30</v>
      </c>
      <c r="M107">
        <v>5</v>
      </c>
      <c r="N107">
        <v>4</v>
      </c>
      <c r="O107">
        <v>24</v>
      </c>
      <c r="P107" t="s">
        <v>21</v>
      </c>
      <c r="Q107" s="1"/>
      <c r="U107">
        <v>1</v>
      </c>
      <c r="V107">
        <v>1</v>
      </c>
      <c r="W107">
        <v>0</v>
      </c>
    </row>
    <row r="108" spans="1:23" ht="16.5" x14ac:dyDescent="0.3">
      <c r="A108" t="s">
        <v>171</v>
      </c>
      <c r="B108" t="s">
        <v>70</v>
      </c>
      <c r="C108" t="s">
        <v>87</v>
      </c>
      <c r="D108" t="s">
        <v>37</v>
      </c>
      <c r="E108">
        <v>35</v>
      </c>
      <c r="F108" t="s">
        <v>27</v>
      </c>
      <c r="G108" t="s">
        <v>38</v>
      </c>
      <c r="H108" s="1">
        <v>42964</v>
      </c>
      <c r="I108" s="2">
        <v>8.4</v>
      </c>
      <c r="J108" t="s">
        <v>39</v>
      </c>
      <c r="K108" s="3">
        <v>11100</v>
      </c>
      <c r="L108" t="s">
        <v>30</v>
      </c>
      <c r="M108">
        <v>4</v>
      </c>
      <c r="N108">
        <v>3</v>
      </c>
      <c r="O108">
        <v>36</v>
      </c>
      <c r="P108" t="s">
        <v>21</v>
      </c>
      <c r="Q108" s="1"/>
      <c r="U108">
        <v>1</v>
      </c>
      <c r="V108">
        <v>1</v>
      </c>
      <c r="W108">
        <v>0</v>
      </c>
    </row>
    <row r="109" spans="1:23" ht="16.5" x14ac:dyDescent="0.3">
      <c r="A109" t="s">
        <v>172</v>
      </c>
      <c r="B109" t="s">
        <v>24</v>
      </c>
      <c r="C109" t="s">
        <v>87</v>
      </c>
      <c r="D109" t="s">
        <v>26</v>
      </c>
      <c r="E109">
        <v>38</v>
      </c>
      <c r="F109" t="s">
        <v>46</v>
      </c>
      <c r="G109" t="s">
        <v>38</v>
      </c>
      <c r="H109" s="1">
        <v>42878</v>
      </c>
      <c r="I109" s="2">
        <v>8.6</v>
      </c>
      <c r="J109" t="s">
        <v>39</v>
      </c>
      <c r="K109" s="3">
        <v>7250</v>
      </c>
      <c r="L109" t="s">
        <v>30</v>
      </c>
      <c r="M109">
        <v>4</v>
      </c>
      <c r="N109">
        <v>3</v>
      </c>
      <c r="O109">
        <v>8</v>
      </c>
      <c r="P109" t="s">
        <v>21</v>
      </c>
      <c r="Q109" s="1"/>
      <c r="U109">
        <v>1</v>
      </c>
      <c r="V109">
        <v>1</v>
      </c>
      <c r="W109">
        <v>0</v>
      </c>
    </row>
    <row r="110" spans="1:23" ht="16.5" x14ac:dyDescent="0.3">
      <c r="A110" t="s">
        <v>173</v>
      </c>
      <c r="B110" t="s">
        <v>55</v>
      </c>
      <c r="C110" t="s">
        <v>87</v>
      </c>
      <c r="D110" t="s">
        <v>26</v>
      </c>
      <c r="E110">
        <v>48</v>
      </c>
      <c r="F110" t="s">
        <v>88</v>
      </c>
      <c r="G110" t="s">
        <v>28</v>
      </c>
      <c r="H110" s="1">
        <v>44790</v>
      </c>
      <c r="I110" s="2">
        <v>3.4</v>
      </c>
      <c r="J110" t="s">
        <v>50</v>
      </c>
      <c r="K110" s="3">
        <v>10300</v>
      </c>
      <c r="L110" t="s">
        <v>30</v>
      </c>
      <c r="M110">
        <v>5</v>
      </c>
      <c r="N110">
        <v>3</v>
      </c>
      <c r="O110">
        <v>21</v>
      </c>
      <c r="P110" t="s">
        <v>21</v>
      </c>
      <c r="Q110" s="1"/>
      <c r="U110">
        <v>1</v>
      </c>
      <c r="V110">
        <v>1</v>
      </c>
      <c r="W110">
        <v>0</v>
      </c>
    </row>
    <row r="111" spans="1:23" ht="16.5" x14ac:dyDescent="0.3">
      <c r="A111" t="s">
        <v>174</v>
      </c>
      <c r="B111" t="s">
        <v>48</v>
      </c>
      <c r="C111" t="s">
        <v>25</v>
      </c>
      <c r="D111" t="s">
        <v>26</v>
      </c>
      <c r="E111">
        <v>28</v>
      </c>
      <c r="F111" t="s">
        <v>27</v>
      </c>
      <c r="G111" t="s">
        <v>38</v>
      </c>
      <c r="H111" s="1">
        <v>45390</v>
      </c>
      <c r="I111" s="2">
        <v>1.7</v>
      </c>
      <c r="J111" t="s">
        <v>29</v>
      </c>
      <c r="K111" s="3">
        <v>8250</v>
      </c>
      <c r="L111" t="s">
        <v>30</v>
      </c>
      <c r="M111">
        <v>5</v>
      </c>
      <c r="N111">
        <v>2</v>
      </c>
      <c r="O111">
        <v>23</v>
      </c>
      <c r="P111" t="s">
        <v>21</v>
      </c>
      <c r="Q111" s="1"/>
      <c r="U111">
        <v>1</v>
      </c>
      <c r="V111">
        <v>1</v>
      </c>
      <c r="W111">
        <v>0</v>
      </c>
    </row>
    <row r="112" spans="1:23" ht="16.5" x14ac:dyDescent="0.3">
      <c r="A112" t="s">
        <v>175</v>
      </c>
      <c r="B112" t="s">
        <v>73</v>
      </c>
      <c r="C112" t="s">
        <v>45</v>
      </c>
      <c r="D112" t="s">
        <v>37</v>
      </c>
      <c r="E112">
        <v>30</v>
      </c>
      <c r="F112" t="s">
        <v>27</v>
      </c>
      <c r="G112" t="s">
        <v>38</v>
      </c>
      <c r="H112" s="1">
        <v>44148</v>
      </c>
      <c r="I112" s="2">
        <v>5.0999999999999996</v>
      </c>
      <c r="J112" t="s">
        <v>39</v>
      </c>
      <c r="K112" s="3">
        <v>7800</v>
      </c>
      <c r="L112" t="s">
        <v>30</v>
      </c>
      <c r="M112">
        <v>5</v>
      </c>
      <c r="N112">
        <v>3</v>
      </c>
      <c r="O112">
        <v>42</v>
      </c>
      <c r="P112" t="s">
        <v>21</v>
      </c>
      <c r="Q112" s="1"/>
      <c r="U112">
        <v>1</v>
      </c>
      <c r="V112">
        <v>1</v>
      </c>
      <c r="W112">
        <v>0</v>
      </c>
    </row>
    <row r="113" spans="1:23" ht="16.5" x14ac:dyDescent="0.3">
      <c r="A113" t="s">
        <v>176</v>
      </c>
      <c r="B113" t="s">
        <v>73</v>
      </c>
      <c r="C113" t="s">
        <v>25</v>
      </c>
      <c r="D113" t="s">
        <v>26</v>
      </c>
      <c r="E113">
        <v>21</v>
      </c>
      <c r="F113" t="s">
        <v>57</v>
      </c>
      <c r="G113" t="s">
        <v>52</v>
      </c>
      <c r="H113" s="1">
        <v>45914</v>
      </c>
      <c r="I113" s="2">
        <v>0.3</v>
      </c>
      <c r="J113" t="s">
        <v>64</v>
      </c>
      <c r="K113" s="3">
        <v>3800</v>
      </c>
      <c r="L113" t="s">
        <v>58</v>
      </c>
      <c r="M113">
        <v>3</v>
      </c>
      <c r="N113">
        <v>3</v>
      </c>
      <c r="O113">
        <v>34</v>
      </c>
      <c r="P113" t="s">
        <v>21</v>
      </c>
      <c r="Q113" s="1"/>
      <c r="U113">
        <v>1</v>
      </c>
      <c r="V113">
        <v>1</v>
      </c>
      <c r="W113">
        <v>0</v>
      </c>
    </row>
    <row r="114" spans="1:23" ht="16.5" x14ac:dyDescent="0.3">
      <c r="A114" t="s">
        <v>177</v>
      </c>
      <c r="B114" t="s">
        <v>35</v>
      </c>
      <c r="C114" t="s">
        <v>36</v>
      </c>
      <c r="D114" t="s">
        <v>37</v>
      </c>
      <c r="E114">
        <v>32</v>
      </c>
      <c r="F114" t="s">
        <v>27</v>
      </c>
      <c r="G114" t="s">
        <v>38</v>
      </c>
      <c r="H114" s="1">
        <v>43017</v>
      </c>
      <c r="I114" s="2">
        <v>8.1999999999999993</v>
      </c>
      <c r="J114" t="s">
        <v>39</v>
      </c>
      <c r="K114" s="3">
        <v>4200</v>
      </c>
      <c r="L114" t="s">
        <v>30</v>
      </c>
      <c r="M114">
        <v>4</v>
      </c>
      <c r="N114">
        <v>3</v>
      </c>
      <c r="O114">
        <v>12</v>
      </c>
      <c r="P114" t="s">
        <v>21</v>
      </c>
      <c r="Q114" s="1"/>
      <c r="U114">
        <v>1</v>
      </c>
      <c r="V114">
        <v>1</v>
      </c>
      <c r="W114">
        <v>0</v>
      </c>
    </row>
    <row r="115" spans="1:23" ht="16.5" x14ac:dyDescent="0.3">
      <c r="A115" t="s">
        <v>178</v>
      </c>
      <c r="B115" t="s">
        <v>24</v>
      </c>
      <c r="C115" t="s">
        <v>45</v>
      </c>
      <c r="D115" t="s">
        <v>26</v>
      </c>
      <c r="E115">
        <v>34</v>
      </c>
      <c r="F115" t="s">
        <v>27</v>
      </c>
      <c r="G115" t="s">
        <v>28</v>
      </c>
      <c r="H115" s="1">
        <v>44195</v>
      </c>
      <c r="I115" s="2">
        <v>5</v>
      </c>
      <c r="J115" t="s">
        <v>50</v>
      </c>
      <c r="K115" s="3">
        <v>4950</v>
      </c>
      <c r="L115" t="s">
        <v>58</v>
      </c>
      <c r="M115">
        <v>2</v>
      </c>
      <c r="N115">
        <v>3</v>
      </c>
      <c r="O115">
        <v>36</v>
      </c>
      <c r="P115" t="s">
        <v>21</v>
      </c>
      <c r="Q115" s="1"/>
      <c r="U115">
        <v>1</v>
      </c>
      <c r="V115">
        <v>1</v>
      </c>
      <c r="W115">
        <v>0</v>
      </c>
    </row>
    <row r="116" spans="1:23" ht="16.5" x14ac:dyDescent="0.3">
      <c r="A116" t="s">
        <v>179</v>
      </c>
      <c r="B116" t="s">
        <v>48</v>
      </c>
      <c r="C116" t="s">
        <v>45</v>
      </c>
      <c r="D116" t="s">
        <v>37</v>
      </c>
      <c r="E116">
        <v>28</v>
      </c>
      <c r="F116" t="s">
        <v>27</v>
      </c>
      <c r="G116" t="s">
        <v>38</v>
      </c>
      <c r="H116" s="1">
        <v>44788</v>
      </c>
      <c r="I116" s="2">
        <v>3.4</v>
      </c>
      <c r="J116" t="s">
        <v>50</v>
      </c>
      <c r="K116" s="3">
        <v>10450</v>
      </c>
      <c r="L116" t="s">
        <v>30</v>
      </c>
      <c r="M116">
        <v>4</v>
      </c>
      <c r="N116">
        <v>3</v>
      </c>
      <c r="O116">
        <v>18</v>
      </c>
      <c r="P116" t="s">
        <v>21</v>
      </c>
      <c r="Q116" s="1"/>
      <c r="U116">
        <v>1</v>
      </c>
      <c r="V116">
        <v>1</v>
      </c>
      <c r="W116">
        <v>0</v>
      </c>
    </row>
    <row r="117" spans="1:23" ht="16.5" x14ac:dyDescent="0.3">
      <c r="A117" t="s">
        <v>180</v>
      </c>
      <c r="B117" t="s">
        <v>55</v>
      </c>
      <c r="C117" t="s">
        <v>87</v>
      </c>
      <c r="D117" t="s">
        <v>26</v>
      </c>
      <c r="E117">
        <v>42</v>
      </c>
      <c r="F117" t="s">
        <v>46</v>
      </c>
      <c r="G117" t="s">
        <v>28</v>
      </c>
      <c r="H117" s="1">
        <v>44819</v>
      </c>
      <c r="I117" s="2">
        <v>3.3</v>
      </c>
      <c r="J117" t="s">
        <v>50</v>
      </c>
      <c r="K117" s="3">
        <v>13400</v>
      </c>
      <c r="L117" t="s">
        <v>30</v>
      </c>
      <c r="M117">
        <v>3</v>
      </c>
      <c r="N117">
        <v>3</v>
      </c>
      <c r="O117">
        <v>38</v>
      </c>
      <c r="P117" t="s">
        <v>21</v>
      </c>
      <c r="Q117" s="1"/>
      <c r="U117">
        <v>1</v>
      </c>
      <c r="V117">
        <v>1</v>
      </c>
      <c r="W117">
        <v>0</v>
      </c>
    </row>
    <row r="118" spans="1:23" ht="16.5" x14ac:dyDescent="0.3">
      <c r="A118" t="s">
        <v>181</v>
      </c>
      <c r="B118" t="s">
        <v>55</v>
      </c>
      <c r="C118" t="s">
        <v>36</v>
      </c>
      <c r="D118" t="s">
        <v>37</v>
      </c>
      <c r="E118">
        <v>38</v>
      </c>
      <c r="F118" t="s">
        <v>46</v>
      </c>
      <c r="G118" t="s">
        <v>52</v>
      </c>
      <c r="H118" s="1">
        <v>41959</v>
      </c>
      <c r="I118" s="2">
        <v>10</v>
      </c>
      <c r="J118" t="s">
        <v>39</v>
      </c>
      <c r="K118" s="3">
        <v>5100</v>
      </c>
      <c r="L118" t="s">
        <v>58</v>
      </c>
      <c r="M118">
        <v>3</v>
      </c>
      <c r="N118">
        <v>3</v>
      </c>
      <c r="O118">
        <v>31</v>
      </c>
      <c r="P118" t="s">
        <v>22</v>
      </c>
      <c r="Q118" s="1">
        <v>45612</v>
      </c>
      <c r="R118" t="s">
        <v>31</v>
      </c>
      <c r="S118" t="s">
        <v>182</v>
      </c>
      <c r="T118" t="s">
        <v>151</v>
      </c>
      <c r="U118">
        <v>1</v>
      </c>
      <c r="V118">
        <v>0</v>
      </c>
      <c r="W118">
        <v>1</v>
      </c>
    </row>
    <row r="119" spans="1:23" ht="16.5" x14ac:dyDescent="0.3">
      <c r="A119" t="s">
        <v>183</v>
      </c>
      <c r="B119" t="s">
        <v>70</v>
      </c>
      <c r="C119" t="s">
        <v>25</v>
      </c>
      <c r="D119" t="s">
        <v>26</v>
      </c>
      <c r="E119">
        <v>23</v>
      </c>
      <c r="F119" t="s">
        <v>57</v>
      </c>
      <c r="G119" t="s">
        <v>28</v>
      </c>
      <c r="H119" s="1">
        <v>45487</v>
      </c>
      <c r="I119" s="2">
        <v>1.5</v>
      </c>
      <c r="J119" t="s">
        <v>29</v>
      </c>
      <c r="K119" s="3">
        <v>4350</v>
      </c>
      <c r="L119" t="s">
        <v>30</v>
      </c>
      <c r="M119">
        <v>4</v>
      </c>
      <c r="N119">
        <v>3</v>
      </c>
      <c r="O119">
        <v>16</v>
      </c>
      <c r="P119" t="s">
        <v>21</v>
      </c>
      <c r="Q119" s="1"/>
      <c r="U119">
        <v>1</v>
      </c>
      <c r="V119">
        <v>1</v>
      </c>
      <c r="W119">
        <v>0</v>
      </c>
    </row>
    <row r="120" spans="1:23" ht="16.5" x14ac:dyDescent="0.3">
      <c r="A120" t="s">
        <v>184</v>
      </c>
      <c r="B120" t="s">
        <v>73</v>
      </c>
      <c r="C120" t="s">
        <v>25</v>
      </c>
      <c r="D120" t="s">
        <v>37</v>
      </c>
      <c r="E120">
        <v>26</v>
      </c>
      <c r="F120" t="s">
        <v>27</v>
      </c>
      <c r="G120" t="s">
        <v>52</v>
      </c>
      <c r="H120" s="1">
        <v>45406</v>
      </c>
      <c r="I120" s="2">
        <v>1.7</v>
      </c>
      <c r="J120" t="s">
        <v>29</v>
      </c>
      <c r="K120" s="3">
        <v>3600</v>
      </c>
      <c r="L120" t="s">
        <v>30</v>
      </c>
      <c r="M120">
        <v>3</v>
      </c>
      <c r="N120">
        <v>4</v>
      </c>
      <c r="O120">
        <v>29</v>
      </c>
      <c r="P120" t="s">
        <v>21</v>
      </c>
      <c r="Q120" s="1"/>
      <c r="U120">
        <v>1</v>
      </c>
      <c r="V120">
        <v>1</v>
      </c>
      <c r="W120">
        <v>0</v>
      </c>
    </row>
    <row r="121" spans="1:23" ht="16.5" x14ac:dyDescent="0.3">
      <c r="A121" t="s">
        <v>185</v>
      </c>
      <c r="B121" t="s">
        <v>35</v>
      </c>
      <c r="C121" t="s">
        <v>87</v>
      </c>
      <c r="D121" t="s">
        <v>26</v>
      </c>
      <c r="E121">
        <v>41</v>
      </c>
      <c r="F121" t="s">
        <v>46</v>
      </c>
      <c r="G121" t="s">
        <v>38</v>
      </c>
      <c r="H121" s="1">
        <v>42526</v>
      </c>
      <c r="I121" s="2">
        <v>9.6</v>
      </c>
      <c r="J121" t="s">
        <v>39</v>
      </c>
      <c r="K121" s="3">
        <v>8950</v>
      </c>
      <c r="L121" t="s">
        <v>58</v>
      </c>
      <c r="M121">
        <v>2</v>
      </c>
      <c r="N121">
        <v>4</v>
      </c>
      <c r="O121">
        <v>36</v>
      </c>
      <c r="P121" t="s">
        <v>21</v>
      </c>
      <c r="Q121" s="1"/>
      <c r="U121">
        <v>1</v>
      </c>
      <c r="V121">
        <v>1</v>
      </c>
      <c r="W121">
        <v>0</v>
      </c>
    </row>
    <row r="122" spans="1:23" ht="16.5" x14ac:dyDescent="0.3">
      <c r="A122" t="s">
        <v>186</v>
      </c>
      <c r="B122" t="s">
        <v>24</v>
      </c>
      <c r="C122" t="s">
        <v>25</v>
      </c>
      <c r="D122" t="s">
        <v>26</v>
      </c>
      <c r="E122">
        <v>32</v>
      </c>
      <c r="F122" t="s">
        <v>27</v>
      </c>
      <c r="G122" t="s">
        <v>28</v>
      </c>
      <c r="H122" s="1">
        <v>43328</v>
      </c>
      <c r="I122" s="2">
        <v>6.7</v>
      </c>
      <c r="J122" t="s">
        <v>39</v>
      </c>
      <c r="K122" s="3">
        <v>2350</v>
      </c>
      <c r="L122" t="s">
        <v>58</v>
      </c>
      <c r="M122">
        <v>4</v>
      </c>
      <c r="N122">
        <v>3</v>
      </c>
      <c r="O122">
        <v>22</v>
      </c>
      <c r="P122" t="s">
        <v>22</v>
      </c>
      <c r="Q122" s="1">
        <v>45774</v>
      </c>
      <c r="R122" t="s">
        <v>40</v>
      </c>
      <c r="S122" t="s">
        <v>153</v>
      </c>
      <c r="T122" t="s">
        <v>33</v>
      </c>
      <c r="U122">
        <v>1</v>
      </c>
      <c r="V122">
        <v>0</v>
      </c>
      <c r="W122">
        <v>1</v>
      </c>
    </row>
    <row r="123" spans="1:23" ht="16.5" x14ac:dyDescent="0.3">
      <c r="A123" t="s">
        <v>187</v>
      </c>
      <c r="B123" t="s">
        <v>24</v>
      </c>
      <c r="C123" t="s">
        <v>25</v>
      </c>
      <c r="D123" t="s">
        <v>37</v>
      </c>
      <c r="E123">
        <v>34</v>
      </c>
      <c r="F123" t="s">
        <v>27</v>
      </c>
      <c r="G123" t="s">
        <v>28</v>
      </c>
      <c r="H123" s="1">
        <v>44417</v>
      </c>
      <c r="I123" s="2">
        <v>3.7</v>
      </c>
      <c r="J123" t="s">
        <v>50</v>
      </c>
      <c r="K123" s="3">
        <v>2350</v>
      </c>
      <c r="L123" t="s">
        <v>58</v>
      </c>
      <c r="M123">
        <v>1</v>
      </c>
      <c r="N123">
        <v>3</v>
      </c>
      <c r="O123">
        <v>29</v>
      </c>
      <c r="P123" t="s">
        <v>22</v>
      </c>
      <c r="Q123" s="1">
        <v>45760</v>
      </c>
      <c r="R123" t="s">
        <v>40</v>
      </c>
      <c r="S123" t="s">
        <v>153</v>
      </c>
      <c r="T123" t="s">
        <v>33</v>
      </c>
      <c r="U123">
        <v>1</v>
      </c>
      <c r="V123">
        <v>0</v>
      </c>
      <c r="W123">
        <v>1</v>
      </c>
    </row>
    <row r="124" spans="1:23" ht="16.5" x14ac:dyDescent="0.3">
      <c r="A124" t="s">
        <v>188</v>
      </c>
      <c r="B124" t="s">
        <v>73</v>
      </c>
      <c r="C124" t="s">
        <v>45</v>
      </c>
      <c r="D124" t="s">
        <v>37</v>
      </c>
      <c r="E124">
        <v>36</v>
      </c>
      <c r="F124" t="s">
        <v>46</v>
      </c>
      <c r="G124" t="s">
        <v>38</v>
      </c>
      <c r="H124" s="1">
        <v>42002</v>
      </c>
      <c r="I124" s="2">
        <v>11</v>
      </c>
      <c r="J124" t="s">
        <v>39</v>
      </c>
      <c r="K124" s="3">
        <v>7700</v>
      </c>
      <c r="L124" t="s">
        <v>30</v>
      </c>
      <c r="M124">
        <v>2</v>
      </c>
      <c r="N124">
        <v>3</v>
      </c>
      <c r="O124">
        <v>34</v>
      </c>
      <c r="P124" t="s">
        <v>21</v>
      </c>
      <c r="Q124" s="1"/>
      <c r="U124">
        <v>1</v>
      </c>
      <c r="V124">
        <v>1</v>
      </c>
      <c r="W124">
        <v>0</v>
      </c>
    </row>
    <row r="125" spans="1:23" ht="16.5" x14ac:dyDescent="0.3">
      <c r="A125" t="s">
        <v>189</v>
      </c>
      <c r="B125" t="s">
        <v>24</v>
      </c>
      <c r="C125" t="s">
        <v>36</v>
      </c>
      <c r="D125" t="s">
        <v>26</v>
      </c>
      <c r="E125">
        <v>34</v>
      </c>
      <c r="F125" t="s">
        <v>27</v>
      </c>
      <c r="G125" t="s">
        <v>28</v>
      </c>
      <c r="H125" s="1">
        <v>44301</v>
      </c>
      <c r="I125" s="2">
        <v>4.7</v>
      </c>
      <c r="J125" t="s">
        <v>50</v>
      </c>
      <c r="K125" s="3">
        <v>2650</v>
      </c>
      <c r="L125" t="s">
        <v>30</v>
      </c>
      <c r="M125">
        <v>4</v>
      </c>
      <c r="N125">
        <v>3</v>
      </c>
      <c r="O125">
        <v>11</v>
      </c>
      <c r="P125" t="s">
        <v>21</v>
      </c>
      <c r="Q125" s="1"/>
      <c r="U125">
        <v>1</v>
      </c>
      <c r="V125">
        <v>1</v>
      </c>
      <c r="W125">
        <v>0</v>
      </c>
    </row>
    <row r="126" spans="1:23" ht="16.5" x14ac:dyDescent="0.3">
      <c r="A126" t="s">
        <v>190</v>
      </c>
      <c r="B126" t="s">
        <v>35</v>
      </c>
      <c r="C126" t="s">
        <v>25</v>
      </c>
      <c r="D126" t="s">
        <v>37</v>
      </c>
      <c r="E126">
        <v>25</v>
      </c>
      <c r="F126" t="s">
        <v>57</v>
      </c>
      <c r="G126" t="s">
        <v>38</v>
      </c>
      <c r="H126" s="1">
        <v>44949</v>
      </c>
      <c r="I126" s="2">
        <v>2.9</v>
      </c>
      <c r="J126" t="s">
        <v>29</v>
      </c>
      <c r="K126" s="3">
        <v>3700</v>
      </c>
      <c r="L126" t="s">
        <v>30</v>
      </c>
      <c r="M126">
        <v>2</v>
      </c>
      <c r="N126">
        <v>3</v>
      </c>
      <c r="O126">
        <v>10</v>
      </c>
      <c r="P126" t="s">
        <v>21</v>
      </c>
      <c r="Q126" s="1"/>
      <c r="U126">
        <v>1</v>
      </c>
      <c r="V126">
        <v>1</v>
      </c>
      <c r="W126">
        <v>0</v>
      </c>
    </row>
    <row r="127" spans="1:23" ht="16.5" x14ac:dyDescent="0.3">
      <c r="A127" t="s">
        <v>191</v>
      </c>
      <c r="B127" t="s">
        <v>70</v>
      </c>
      <c r="C127" t="s">
        <v>25</v>
      </c>
      <c r="D127" t="s">
        <v>26</v>
      </c>
      <c r="E127">
        <v>25</v>
      </c>
      <c r="F127" t="s">
        <v>57</v>
      </c>
      <c r="G127" t="s">
        <v>38</v>
      </c>
      <c r="H127" s="1">
        <v>45564</v>
      </c>
      <c r="I127" s="2">
        <v>1.3</v>
      </c>
      <c r="J127" t="s">
        <v>29</v>
      </c>
      <c r="K127" s="3">
        <v>4050</v>
      </c>
      <c r="L127" t="s">
        <v>30</v>
      </c>
      <c r="M127">
        <v>2</v>
      </c>
      <c r="N127">
        <v>4</v>
      </c>
      <c r="O127">
        <v>26</v>
      </c>
      <c r="P127" t="s">
        <v>21</v>
      </c>
      <c r="Q127" s="1"/>
      <c r="U127">
        <v>1</v>
      </c>
      <c r="V127">
        <v>1</v>
      </c>
      <c r="W127">
        <v>0</v>
      </c>
    </row>
    <row r="128" spans="1:23" ht="16.5" x14ac:dyDescent="0.3">
      <c r="A128" t="s">
        <v>192</v>
      </c>
      <c r="B128" t="s">
        <v>35</v>
      </c>
      <c r="C128" t="s">
        <v>36</v>
      </c>
      <c r="D128" t="s">
        <v>37</v>
      </c>
      <c r="E128">
        <v>33</v>
      </c>
      <c r="F128" t="s">
        <v>27</v>
      </c>
      <c r="G128" t="s">
        <v>38</v>
      </c>
      <c r="H128" s="1">
        <v>44268</v>
      </c>
      <c r="I128" s="2">
        <v>2.8</v>
      </c>
      <c r="J128" t="s">
        <v>29</v>
      </c>
      <c r="K128" s="3">
        <v>3950</v>
      </c>
      <c r="L128" t="s">
        <v>58</v>
      </c>
      <c r="M128">
        <v>3</v>
      </c>
      <c r="N128">
        <v>5</v>
      </c>
      <c r="O128">
        <v>13</v>
      </c>
      <c r="P128" t="s">
        <v>22</v>
      </c>
      <c r="Q128" s="1">
        <v>45304</v>
      </c>
      <c r="R128" t="s">
        <v>31</v>
      </c>
      <c r="S128" t="s">
        <v>107</v>
      </c>
      <c r="T128" t="s">
        <v>60</v>
      </c>
      <c r="U128">
        <v>1</v>
      </c>
      <c r="V128">
        <v>0</v>
      </c>
      <c r="W128">
        <v>1</v>
      </c>
    </row>
    <row r="129" spans="1:23" ht="16.5" x14ac:dyDescent="0.3">
      <c r="A129" t="s">
        <v>193</v>
      </c>
      <c r="B129" t="s">
        <v>48</v>
      </c>
      <c r="C129" t="s">
        <v>25</v>
      </c>
      <c r="D129" t="s">
        <v>26</v>
      </c>
      <c r="E129">
        <v>24</v>
      </c>
      <c r="F129" t="s">
        <v>57</v>
      </c>
      <c r="G129" t="s">
        <v>38</v>
      </c>
      <c r="H129" s="1">
        <v>45766</v>
      </c>
      <c r="I129" s="2">
        <v>0.7</v>
      </c>
      <c r="J129" t="s">
        <v>64</v>
      </c>
      <c r="K129" s="3">
        <v>5800</v>
      </c>
      <c r="L129" t="s">
        <v>30</v>
      </c>
      <c r="M129">
        <v>3</v>
      </c>
      <c r="N129">
        <v>5</v>
      </c>
      <c r="O129">
        <v>25</v>
      </c>
      <c r="P129" t="s">
        <v>21</v>
      </c>
      <c r="Q129" s="1"/>
      <c r="U129">
        <v>1</v>
      </c>
      <c r="V129">
        <v>1</v>
      </c>
      <c r="W129">
        <v>0</v>
      </c>
    </row>
    <row r="130" spans="1:23" ht="16.5" x14ac:dyDescent="0.3">
      <c r="A130" t="s">
        <v>194</v>
      </c>
      <c r="B130" t="s">
        <v>35</v>
      </c>
      <c r="C130" t="s">
        <v>45</v>
      </c>
      <c r="D130" t="s">
        <v>26</v>
      </c>
      <c r="E130">
        <v>40</v>
      </c>
      <c r="F130" t="s">
        <v>46</v>
      </c>
      <c r="G130" t="s">
        <v>28</v>
      </c>
      <c r="H130" s="1">
        <v>43930</v>
      </c>
      <c r="I130" s="2">
        <v>5.7</v>
      </c>
      <c r="J130" t="s">
        <v>39</v>
      </c>
      <c r="K130" s="3">
        <v>6200</v>
      </c>
      <c r="L130" t="s">
        <v>58</v>
      </c>
      <c r="M130">
        <v>2</v>
      </c>
      <c r="N130">
        <v>2</v>
      </c>
      <c r="O130">
        <v>30</v>
      </c>
      <c r="P130" t="s">
        <v>21</v>
      </c>
      <c r="Q130" s="1"/>
      <c r="U130">
        <v>1</v>
      </c>
      <c r="V130">
        <v>1</v>
      </c>
      <c r="W130">
        <v>0</v>
      </c>
    </row>
    <row r="131" spans="1:23" ht="16.5" x14ac:dyDescent="0.3">
      <c r="A131" t="s">
        <v>195</v>
      </c>
      <c r="B131" t="s">
        <v>24</v>
      </c>
      <c r="C131" t="s">
        <v>25</v>
      </c>
      <c r="D131" t="s">
        <v>37</v>
      </c>
      <c r="E131">
        <v>29</v>
      </c>
      <c r="F131" t="s">
        <v>27</v>
      </c>
      <c r="G131" t="s">
        <v>28</v>
      </c>
      <c r="H131" s="1">
        <v>44555</v>
      </c>
      <c r="I131" s="2">
        <v>4</v>
      </c>
      <c r="J131" t="s">
        <v>50</v>
      </c>
      <c r="K131" s="3">
        <v>3100</v>
      </c>
      <c r="L131" t="s">
        <v>30</v>
      </c>
      <c r="M131">
        <v>2</v>
      </c>
      <c r="N131">
        <v>2</v>
      </c>
      <c r="O131">
        <v>20</v>
      </c>
      <c r="P131" t="s">
        <v>21</v>
      </c>
      <c r="Q131" s="1"/>
      <c r="U131">
        <v>1</v>
      </c>
      <c r="V131">
        <v>1</v>
      </c>
      <c r="W131">
        <v>0</v>
      </c>
    </row>
    <row r="132" spans="1:23" ht="16.5" x14ac:dyDescent="0.3">
      <c r="A132" t="s">
        <v>196</v>
      </c>
      <c r="B132" t="s">
        <v>48</v>
      </c>
      <c r="C132" t="s">
        <v>45</v>
      </c>
      <c r="D132" t="s">
        <v>37</v>
      </c>
      <c r="E132">
        <v>43</v>
      </c>
      <c r="F132" t="s">
        <v>46</v>
      </c>
      <c r="G132" t="s">
        <v>38</v>
      </c>
      <c r="H132" s="1">
        <v>43760</v>
      </c>
      <c r="I132" s="2">
        <v>6.2</v>
      </c>
      <c r="J132" t="s">
        <v>39</v>
      </c>
      <c r="K132" s="3">
        <v>12500</v>
      </c>
      <c r="L132" t="s">
        <v>58</v>
      </c>
      <c r="M132">
        <v>4</v>
      </c>
      <c r="N132">
        <v>3</v>
      </c>
      <c r="O132">
        <v>40</v>
      </c>
      <c r="P132" t="s">
        <v>21</v>
      </c>
      <c r="Q132" s="1"/>
      <c r="U132">
        <v>1</v>
      </c>
      <c r="V132">
        <v>1</v>
      </c>
      <c r="W132">
        <v>0</v>
      </c>
    </row>
    <row r="133" spans="1:23" ht="16.5" x14ac:dyDescent="0.3">
      <c r="A133" t="s">
        <v>197</v>
      </c>
      <c r="B133" t="s">
        <v>35</v>
      </c>
      <c r="C133" t="s">
        <v>25</v>
      </c>
      <c r="D133" t="s">
        <v>26</v>
      </c>
      <c r="E133">
        <v>21</v>
      </c>
      <c r="F133" t="s">
        <v>57</v>
      </c>
      <c r="G133" t="s">
        <v>38</v>
      </c>
      <c r="H133" s="1">
        <v>45971</v>
      </c>
      <c r="I133" s="2">
        <v>0.1</v>
      </c>
      <c r="J133" t="s">
        <v>64</v>
      </c>
      <c r="K133" s="3">
        <v>3400</v>
      </c>
      <c r="L133" t="s">
        <v>58</v>
      </c>
      <c r="M133">
        <v>3</v>
      </c>
      <c r="N133">
        <v>3</v>
      </c>
      <c r="O133">
        <v>36</v>
      </c>
      <c r="P133" t="s">
        <v>21</v>
      </c>
      <c r="Q133" s="1"/>
      <c r="U133">
        <v>1</v>
      </c>
      <c r="V133">
        <v>1</v>
      </c>
      <c r="W133">
        <v>0</v>
      </c>
    </row>
    <row r="134" spans="1:23" ht="16.5" x14ac:dyDescent="0.3">
      <c r="A134" t="s">
        <v>198</v>
      </c>
      <c r="B134" t="s">
        <v>24</v>
      </c>
      <c r="C134" t="s">
        <v>25</v>
      </c>
      <c r="D134" t="s">
        <v>37</v>
      </c>
      <c r="E134">
        <v>26</v>
      </c>
      <c r="F134" t="s">
        <v>27</v>
      </c>
      <c r="G134" t="s">
        <v>28</v>
      </c>
      <c r="H134" s="1">
        <v>45764</v>
      </c>
      <c r="I134" s="2">
        <v>0.7</v>
      </c>
      <c r="J134" t="s">
        <v>64</v>
      </c>
      <c r="K134" s="3">
        <v>2800</v>
      </c>
      <c r="L134" t="s">
        <v>30</v>
      </c>
      <c r="M134">
        <v>5</v>
      </c>
      <c r="N134">
        <v>3</v>
      </c>
      <c r="O134">
        <v>31</v>
      </c>
      <c r="P134" t="s">
        <v>21</v>
      </c>
      <c r="Q134" s="1"/>
      <c r="U134">
        <v>1</v>
      </c>
      <c r="V134">
        <v>1</v>
      </c>
      <c r="W134">
        <v>0</v>
      </c>
    </row>
    <row r="135" spans="1:23" ht="16.5" x14ac:dyDescent="0.3">
      <c r="A135" t="s">
        <v>199</v>
      </c>
      <c r="B135" t="s">
        <v>24</v>
      </c>
      <c r="C135" t="s">
        <v>36</v>
      </c>
      <c r="D135" t="s">
        <v>37</v>
      </c>
      <c r="E135">
        <v>25</v>
      </c>
      <c r="F135" t="s">
        <v>57</v>
      </c>
      <c r="G135" t="s">
        <v>38</v>
      </c>
      <c r="H135" s="1">
        <v>45443</v>
      </c>
      <c r="I135" s="2">
        <v>1.6</v>
      </c>
      <c r="J135" t="s">
        <v>29</v>
      </c>
      <c r="K135" s="3">
        <v>3600</v>
      </c>
      <c r="L135" t="s">
        <v>30</v>
      </c>
      <c r="M135">
        <v>4</v>
      </c>
      <c r="N135">
        <v>4</v>
      </c>
      <c r="O135">
        <v>7</v>
      </c>
      <c r="P135" t="s">
        <v>21</v>
      </c>
      <c r="Q135" s="1"/>
      <c r="U135">
        <v>1</v>
      </c>
      <c r="V135">
        <v>1</v>
      </c>
      <c r="W135">
        <v>0</v>
      </c>
    </row>
    <row r="136" spans="1:23" ht="16.5" x14ac:dyDescent="0.3">
      <c r="A136" t="s">
        <v>200</v>
      </c>
      <c r="B136" t="s">
        <v>35</v>
      </c>
      <c r="C136" t="s">
        <v>87</v>
      </c>
      <c r="D136" t="s">
        <v>26</v>
      </c>
      <c r="E136">
        <v>41</v>
      </c>
      <c r="F136" t="s">
        <v>46</v>
      </c>
      <c r="G136" t="s">
        <v>38</v>
      </c>
      <c r="H136" s="1">
        <v>43955</v>
      </c>
      <c r="I136" s="2">
        <v>5.7</v>
      </c>
      <c r="J136" t="s">
        <v>39</v>
      </c>
      <c r="K136" s="3">
        <v>8400</v>
      </c>
      <c r="L136" t="s">
        <v>30</v>
      </c>
      <c r="M136">
        <v>3</v>
      </c>
      <c r="N136">
        <v>3</v>
      </c>
      <c r="O136">
        <v>1</v>
      </c>
      <c r="P136" t="s">
        <v>21</v>
      </c>
      <c r="Q136" s="1"/>
      <c r="U136">
        <v>1</v>
      </c>
      <c r="V136">
        <v>1</v>
      </c>
      <c r="W136">
        <v>0</v>
      </c>
    </row>
    <row r="137" spans="1:23" ht="16.5" x14ac:dyDescent="0.3">
      <c r="A137" t="s">
        <v>201</v>
      </c>
      <c r="B137" t="s">
        <v>35</v>
      </c>
      <c r="C137" t="s">
        <v>25</v>
      </c>
      <c r="D137" t="s">
        <v>37</v>
      </c>
      <c r="E137">
        <v>27</v>
      </c>
      <c r="F137" t="s">
        <v>27</v>
      </c>
      <c r="G137" t="s">
        <v>38</v>
      </c>
      <c r="H137" s="1">
        <v>45093</v>
      </c>
      <c r="I137" s="2">
        <v>2.5</v>
      </c>
      <c r="J137" t="s">
        <v>29</v>
      </c>
      <c r="K137" s="3">
        <v>2950</v>
      </c>
      <c r="L137" t="s">
        <v>30</v>
      </c>
      <c r="M137">
        <v>4</v>
      </c>
      <c r="N137">
        <v>3</v>
      </c>
      <c r="O137">
        <v>16</v>
      </c>
      <c r="P137" t="s">
        <v>21</v>
      </c>
      <c r="Q137" s="1"/>
      <c r="U137">
        <v>1</v>
      </c>
      <c r="V137">
        <v>1</v>
      </c>
      <c r="W137">
        <v>0</v>
      </c>
    </row>
    <row r="138" spans="1:23" ht="16.5" x14ac:dyDescent="0.3">
      <c r="A138" t="s">
        <v>202</v>
      </c>
      <c r="B138" t="s">
        <v>73</v>
      </c>
      <c r="C138" t="s">
        <v>45</v>
      </c>
      <c r="D138" t="s">
        <v>37</v>
      </c>
      <c r="E138">
        <v>32</v>
      </c>
      <c r="F138" t="s">
        <v>27</v>
      </c>
      <c r="G138" t="s">
        <v>38</v>
      </c>
      <c r="H138" s="1">
        <v>43588</v>
      </c>
      <c r="I138" s="2">
        <v>6.7</v>
      </c>
      <c r="J138" t="s">
        <v>39</v>
      </c>
      <c r="K138" s="3">
        <v>6450</v>
      </c>
      <c r="L138" t="s">
        <v>30</v>
      </c>
      <c r="M138">
        <v>4</v>
      </c>
      <c r="N138">
        <v>3</v>
      </c>
      <c r="O138">
        <v>36</v>
      </c>
      <c r="P138" t="s">
        <v>21</v>
      </c>
      <c r="Q138" s="1"/>
      <c r="U138">
        <v>1</v>
      </c>
      <c r="V138">
        <v>1</v>
      </c>
      <c r="W138">
        <v>0</v>
      </c>
    </row>
    <row r="139" spans="1:23" ht="16.5" x14ac:dyDescent="0.3">
      <c r="A139" t="s">
        <v>203</v>
      </c>
      <c r="B139" t="s">
        <v>70</v>
      </c>
      <c r="C139" t="s">
        <v>45</v>
      </c>
      <c r="D139" t="s">
        <v>26</v>
      </c>
      <c r="E139">
        <v>44</v>
      </c>
      <c r="F139" t="s">
        <v>46</v>
      </c>
      <c r="G139" t="s">
        <v>38</v>
      </c>
      <c r="H139" s="1">
        <v>43961</v>
      </c>
      <c r="I139" s="2">
        <v>5.6</v>
      </c>
      <c r="J139" t="s">
        <v>39</v>
      </c>
      <c r="K139" s="3">
        <v>7700</v>
      </c>
      <c r="L139" t="s">
        <v>30</v>
      </c>
      <c r="M139">
        <v>3</v>
      </c>
      <c r="N139">
        <v>3</v>
      </c>
      <c r="O139">
        <v>22</v>
      </c>
      <c r="P139" t="s">
        <v>21</v>
      </c>
      <c r="Q139" s="1"/>
      <c r="U139">
        <v>1</v>
      </c>
      <c r="V139">
        <v>1</v>
      </c>
      <c r="W139">
        <v>0</v>
      </c>
    </row>
    <row r="140" spans="1:23" ht="16.5" x14ac:dyDescent="0.3">
      <c r="A140" t="s">
        <v>204</v>
      </c>
      <c r="B140" t="s">
        <v>55</v>
      </c>
      <c r="C140" t="s">
        <v>36</v>
      </c>
      <c r="D140" t="s">
        <v>37</v>
      </c>
      <c r="E140">
        <v>36</v>
      </c>
      <c r="F140" t="s">
        <v>46</v>
      </c>
      <c r="G140" t="s">
        <v>38</v>
      </c>
      <c r="H140" s="1">
        <v>44289</v>
      </c>
      <c r="I140" s="2">
        <v>4.7</v>
      </c>
      <c r="J140" t="s">
        <v>50</v>
      </c>
      <c r="K140" s="3">
        <v>5500</v>
      </c>
      <c r="L140" t="s">
        <v>30</v>
      </c>
      <c r="M140">
        <v>4</v>
      </c>
      <c r="N140">
        <v>3</v>
      </c>
      <c r="O140">
        <v>36</v>
      </c>
      <c r="P140" t="s">
        <v>21</v>
      </c>
      <c r="Q140" s="1"/>
      <c r="U140">
        <v>1</v>
      </c>
      <c r="V140">
        <v>1</v>
      </c>
      <c r="W140">
        <v>0</v>
      </c>
    </row>
    <row r="141" spans="1:23" ht="16.5" x14ac:dyDescent="0.3">
      <c r="A141" t="s">
        <v>205</v>
      </c>
      <c r="B141" t="s">
        <v>44</v>
      </c>
      <c r="C141" t="s">
        <v>36</v>
      </c>
      <c r="D141" t="s">
        <v>37</v>
      </c>
      <c r="E141">
        <v>33</v>
      </c>
      <c r="F141" t="s">
        <v>27</v>
      </c>
      <c r="G141" t="s">
        <v>38</v>
      </c>
      <c r="H141" s="1">
        <v>43854</v>
      </c>
      <c r="I141" s="2">
        <v>5.7</v>
      </c>
      <c r="J141" t="s">
        <v>39</v>
      </c>
      <c r="K141" s="3">
        <v>6550</v>
      </c>
      <c r="L141" t="s">
        <v>30</v>
      </c>
      <c r="M141">
        <v>5</v>
      </c>
      <c r="N141">
        <v>2</v>
      </c>
      <c r="O141">
        <v>14</v>
      </c>
      <c r="P141" t="s">
        <v>22</v>
      </c>
      <c r="Q141" s="1">
        <v>45951</v>
      </c>
      <c r="R141" t="s">
        <v>40</v>
      </c>
      <c r="S141" t="s">
        <v>206</v>
      </c>
      <c r="T141" t="s">
        <v>42</v>
      </c>
      <c r="U141">
        <v>1</v>
      </c>
      <c r="V141">
        <v>0</v>
      </c>
      <c r="W141">
        <v>1</v>
      </c>
    </row>
    <row r="142" spans="1:23" ht="16.5" x14ac:dyDescent="0.3">
      <c r="A142" t="s">
        <v>207</v>
      </c>
      <c r="B142" t="s">
        <v>44</v>
      </c>
      <c r="C142" t="s">
        <v>36</v>
      </c>
      <c r="D142" t="s">
        <v>26</v>
      </c>
      <c r="E142">
        <v>32</v>
      </c>
      <c r="F142" t="s">
        <v>27</v>
      </c>
      <c r="G142" t="s">
        <v>38</v>
      </c>
      <c r="H142" s="1">
        <v>43476</v>
      </c>
      <c r="I142" s="2">
        <v>7</v>
      </c>
      <c r="J142" t="s">
        <v>39</v>
      </c>
      <c r="K142" s="3">
        <v>6500</v>
      </c>
      <c r="L142" t="s">
        <v>58</v>
      </c>
      <c r="M142">
        <v>3</v>
      </c>
      <c r="N142">
        <v>2</v>
      </c>
      <c r="O142">
        <v>15</v>
      </c>
      <c r="P142" t="s">
        <v>21</v>
      </c>
      <c r="Q142" s="1"/>
      <c r="U142">
        <v>1</v>
      </c>
      <c r="V142">
        <v>1</v>
      </c>
      <c r="W142">
        <v>0</v>
      </c>
    </row>
    <row r="143" spans="1:23" ht="16.5" x14ac:dyDescent="0.3">
      <c r="A143" t="s">
        <v>208</v>
      </c>
      <c r="B143" t="s">
        <v>73</v>
      </c>
      <c r="C143" t="s">
        <v>25</v>
      </c>
      <c r="D143" t="s">
        <v>26</v>
      </c>
      <c r="E143">
        <v>27</v>
      </c>
      <c r="F143" t="s">
        <v>27</v>
      </c>
      <c r="G143" t="s">
        <v>52</v>
      </c>
      <c r="H143" s="1">
        <v>45054</v>
      </c>
      <c r="I143" s="2">
        <v>1.5</v>
      </c>
      <c r="J143" t="s">
        <v>29</v>
      </c>
      <c r="K143" s="3">
        <v>4050</v>
      </c>
      <c r="L143" t="s">
        <v>30</v>
      </c>
      <c r="M143">
        <v>4</v>
      </c>
      <c r="N143">
        <v>3</v>
      </c>
      <c r="O143">
        <v>38</v>
      </c>
      <c r="P143" t="s">
        <v>22</v>
      </c>
      <c r="Q143" s="1">
        <v>45615</v>
      </c>
      <c r="R143" t="s">
        <v>31</v>
      </c>
      <c r="S143" t="s">
        <v>182</v>
      </c>
      <c r="T143" t="s">
        <v>151</v>
      </c>
      <c r="U143">
        <v>1</v>
      </c>
      <c r="V143">
        <v>0</v>
      </c>
      <c r="W143">
        <v>1</v>
      </c>
    </row>
    <row r="144" spans="1:23" ht="16.5" x14ac:dyDescent="0.3">
      <c r="A144" t="s">
        <v>209</v>
      </c>
      <c r="B144" t="s">
        <v>24</v>
      </c>
      <c r="C144" t="s">
        <v>45</v>
      </c>
      <c r="D144" t="s">
        <v>37</v>
      </c>
      <c r="E144">
        <v>43</v>
      </c>
      <c r="F144" t="s">
        <v>46</v>
      </c>
      <c r="G144" t="s">
        <v>38</v>
      </c>
      <c r="H144" s="1">
        <v>42400</v>
      </c>
      <c r="I144" s="2">
        <v>9.9</v>
      </c>
      <c r="J144" t="s">
        <v>39</v>
      </c>
      <c r="K144" s="3">
        <v>5400</v>
      </c>
      <c r="L144" t="s">
        <v>30</v>
      </c>
      <c r="M144">
        <v>4</v>
      </c>
      <c r="N144">
        <v>3</v>
      </c>
      <c r="O144">
        <v>24</v>
      </c>
      <c r="P144" t="s">
        <v>21</v>
      </c>
      <c r="Q144" s="1"/>
      <c r="U144">
        <v>1</v>
      </c>
      <c r="V144">
        <v>1</v>
      </c>
      <c r="W144">
        <v>0</v>
      </c>
    </row>
    <row r="145" spans="1:23" ht="16.5" x14ac:dyDescent="0.3">
      <c r="A145" t="s">
        <v>210</v>
      </c>
      <c r="B145" t="s">
        <v>73</v>
      </c>
      <c r="C145" t="s">
        <v>36</v>
      </c>
      <c r="D145" t="s">
        <v>37</v>
      </c>
      <c r="E145">
        <v>25</v>
      </c>
      <c r="F145" t="s">
        <v>57</v>
      </c>
      <c r="G145" t="s">
        <v>28</v>
      </c>
      <c r="H145" s="1">
        <v>45036</v>
      </c>
      <c r="I145" s="2">
        <v>2.7</v>
      </c>
      <c r="J145" t="s">
        <v>29</v>
      </c>
      <c r="K145" s="3">
        <v>5400</v>
      </c>
      <c r="L145" t="s">
        <v>30</v>
      </c>
      <c r="M145">
        <v>3</v>
      </c>
      <c r="N145">
        <v>2</v>
      </c>
      <c r="O145">
        <v>22</v>
      </c>
      <c r="P145" t="s">
        <v>21</v>
      </c>
      <c r="Q145" s="1"/>
      <c r="U145">
        <v>1</v>
      </c>
      <c r="V145">
        <v>1</v>
      </c>
      <c r="W145">
        <v>0</v>
      </c>
    </row>
    <row r="146" spans="1:23" ht="16.5" x14ac:dyDescent="0.3">
      <c r="A146" t="s">
        <v>211</v>
      </c>
      <c r="B146" t="s">
        <v>24</v>
      </c>
      <c r="C146" t="s">
        <v>36</v>
      </c>
      <c r="D146" t="s">
        <v>37</v>
      </c>
      <c r="E146">
        <v>30</v>
      </c>
      <c r="F146" t="s">
        <v>27</v>
      </c>
      <c r="G146" t="s">
        <v>28</v>
      </c>
      <c r="H146" s="1">
        <v>44419</v>
      </c>
      <c r="I146" s="2">
        <v>4.4000000000000004</v>
      </c>
      <c r="J146" t="s">
        <v>50</v>
      </c>
      <c r="K146" s="3">
        <v>3250</v>
      </c>
      <c r="L146" t="s">
        <v>30</v>
      </c>
      <c r="M146">
        <v>3</v>
      </c>
      <c r="N146">
        <v>3</v>
      </c>
      <c r="O146">
        <v>39</v>
      </c>
      <c r="P146" t="s">
        <v>21</v>
      </c>
      <c r="Q146" s="1"/>
      <c r="U146">
        <v>1</v>
      </c>
      <c r="V146">
        <v>1</v>
      </c>
      <c r="W146">
        <v>0</v>
      </c>
    </row>
    <row r="147" spans="1:23" ht="16.5" x14ac:dyDescent="0.3">
      <c r="A147" t="s">
        <v>212</v>
      </c>
      <c r="B147" t="s">
        <v>73</v>
      </c>
      <c r="C147" t="s">
        <v>36</v>
      </c>
      <c r="D147" t="s">
        <v>26</v>
      </c>
      <c r="E147">
        <v>37</v>
      </c>
      <c r="F147" t="s">
        <v>46</v>
      </c>
      <c r="G147" t="s">
        <v>38</v>
      </c>
      <c r="H147" s="1">
        <v>42900</v>
      </c>
      <c r="I147" s="2">
        <v>8.5</v>
      </c>
      <c r="J147" t="s">
        <v>39</v>
      </c>
      <c r="K147" s="3">
        <v>4600</v>
      </c>
      <c r="L147" t="s">
        <v>30</v>
      </c>
      <c r="M147">
        <v>3</v>
      </c>
      <c r="N147">
        <v>3</v>
      </c>
      <c r="O147">
        <v>21</v>
      </c>
      <c r="P147" t="s">
        <v>21</v>
      </c>
      <c r="Q147" s="1"/>
      <c r="U147">
        <v>1</v>
      </c>
      <c r="V147">
        <v>1</v>
      </c>
      <c r="W147">
        <v>0</v>
      </c>
    </row>
    <row r="148" spans="1:23" ht="16.5" x14ac:dyDescent="0.3">
      <c r="A148" t="s">
        <v>213</v>
      </c>
      <c r="B148" t="s">
        <v>24</v>
      </c>
      <c r="C148" t="s">
        <v>45</v>
      </c>
      <c r="D148" t="s">
        <v>26</v>
      </c>
      <c r="E148">
        <v>49</v>
      </c>
      <c r="F148" t="s">
        <v>88</v>
      </c>
      <c r="G148" t="s">
        <v>38</v>
      </c>
      <c r="H148" s="1">
        <v>44011</v>
      </c>
      <c r="I148" s="2">
        <v>5.5</v>
      </c>
      <c r="J148" t="s">
        <v>39</v>
      </c>
      <c r="K148" s="3">
        <v>5200</v>
      </c>
      <c r="L148" t="s">
        <v>30</v>
      </c>
      <c r="M148">
        <v>5</v>
      </c>
      <c r="N148">
        <v>3</v>
      </c>
      <c r="O148">
        <v>15</v>
      </c>
      <c r="P148" t="s">
        <v>21</v>
      </c>
      <c r="Q148" s="1"/>
      <c r="U148">
        <v>1</v>
      </c>
      <c r="V148">
        <v>1</v>
      </c>
      <c r="W148">
        <v>0</v>
      </c>
    </row>
    <row r="149" spans="1:23" ht="16.5" x14ac:dyDescent="0.3">
      <c r="A149" t="s">
        <v>214</v>
      </c>
      <c r="B149" t="s">
        <v>24</v>
      </c>
      <c r="C149" t="s">
        <v>36</v>
      </c>
      <c r="D149" t="s">
        <v>26</v>
      </c>
      <c r="E149">
        <v>34</v>
      </c>
      <c r="F149" t="s">
        <v>27</v>
      </c>
      <c r="G149" t="s">
        <v>28</v>
      </c>
      <c r="H149" s="1">
        <v>43334</v>
      </c>
      <c r="I149" s="2">
        <v>7.4</v>
      </c>
      <c r="J149" t="s">
        <v>39</v>
      </c>
      <c r="K149" s="3">
        <v>3250</v>
      </c>
      <c r="L149" t="s">
        <v>30</v>
      </c>
      <c r="M149">
        <v>4</v>
      </c>
      <c r="N149">
        <v>3</v>
      </c>
      <c r="O149">
        <v>18</v>
      </c>
      <c r="P149" t="s">
        <v>21</v>
      </c>
      <c r="Q149" s="1"/>
      <c r="U149">
        <v>1</v>
      </c>
      <c r="V149">
        <v>1</v>
      </c>
      <c r="W149">
        <v>0</v>
      </c>
    </row>
    <row r="150" spans="1:23" ht="16.5" x14ac:dyDescent="0.3">
      <c r="A150" t="s">
        <v>215</v>
      </c>
      <c r="B150" t="s">
        <v>35</v>
      </c>
      <c r="C150" t="s">
        <v>25</v>
      </c>
      <c r="D150" t="s">
        <v>37</v>
      </c>
      <c r="E150">
        <v>22</v>
      </c>
      <c r="F150" t="s">
        <v>57</v>
      </c>
      <c r="G150" t="s">
        <v>28</v>
      </c>
      <c r="H150" s="1">
        <v>45799</v>
      </c>
      <c r="I150" s="2">
        <v>0.6</v>
      </c>
      <c r="J150" t="s">
        <v>64</v>
      </c>
      <c r="K150" s="3">
        <v>3250</v>
      </c>
      <c r="L150" t="s">
        <v>30</v>
      </c>
      <c r="M150">
        <v>3</v>
      </c>
      <c r="N150">
        <v>2</v>
      </c>
      <c r="O150">
        <v>20</v>
      </c>
      <c r="P150" t="s">
        <v>21</v>
      </c>
      <c r="Q150" s="1"/>
      <c r="U150">
        <v>1</v>
      </c>
      <c r="V150">
        <v>1</v>
      </c>
      <c r="W150">
        <v>0</v>
      </c>
    </row>
    <row r="151" spans="1:23" ht="16.5" x14ac:dyDescent="0.3">
      <c r="A151" t="s">
        <v>216</v>
      </c>
      <c r="B151" t="s">
        <v>48</v>
      </c>
      <c r="C151" t="s">
        <v>25</v>
      </c>
      <c r="D151" t="s">
        <v>37</v>
      </c>
      <c r="E151">
        <v>21</v>
      </c>
      <c r="F151" t="s">
        <v>57</v>
      </c>
      <c r="G151" t="s">
        <v>28</v>
      </c>
      <c r="H151" s="1">
        <v>45994</v>
      </c>
      <c r="I151" s="2">
        <v>0.1</v>
      </c>
      <c r="J151" t="s">
        <v>64</v>
      </c>
      <c r="K151" s="3">
        <v>4750</v>
      </c>
      <c r="L151" t="s">
        <v>30</v>
      </c>
      <c r="M151">
        <v>5</v>
      </c>
      <c r="N151">
        <v>3</v>
      </c>
      <c r="O151">
        <v>39</v>
      </c>
      <c r="P151" t="s">
        <v>21</v>
      </c>
      <c r="Q151" s="1"/>
      <c r="U151">
        <v>1</v>
      </c>
      <c r="V151">
        <v>1</v>
      </c>
      <c r="W151">
        <v>0</v>
      </c>
    </row>
    <row r="152" spans="1:23" ht="16.5" x14ac:dyDescent="0.3">
      <c r="A152" t="s">
        <v>217</v>
      </c>
      <c r="B152" t="s">
        <v>70</v>
      </c>
      <c r="C152" t="s">
        <v>36</v>
      </c>
      <c r="D152" t="s">
        <v>37</v>
      </c>
      <c r="E152">
        <v>38</v>
      </c>
      <c r="F152" t="s">
        <v>46</v>
      </c>
      <c r="G152" t="s">
        <v>38</v>
      </c>
      <c r="H152" s="1">
        <v>44897</v>
      </c>
      <c r="I152" s="2">
        <v>3.1</v>
      </c>
      <c r="J152" t="s">
        <v>50</v>
      </c>
      <c r="K152" s="3">
        <v>4750</v>
      </c>
      <c r="L152" t="s">
        <v>30</v>
      </c>
      <c r="M152">
        <v>3</v>
      </c>
      <c r="N152">
        <v>4</v>
      </c>
      <c r="O152">
        <v>43</v>
      </c>
      <c r="P152" t="s">
        <v>21</v>
      </c>
      <c r="Q152" s="1"/>
      <c r="U152">
        <v>1</v>
      </c>
      <c r="V152">
        <v>1</v>
      </c>
      <c r="W152">
        <v>0</v>
      </c>
    </row>
    <row r="153" spans="1:23" ht="16.5" x14ac:dyDescent="0.3">
      <c r="A153" t="s">
        <v>218</v>
      </c>
      <c r="B153" t="s">
        <v>24</v>
      </c>
      <c r="C153" t="s">
        <v>25</v>
      </c>
      <c r="D153" t="s">
        <v>26</v>
      </c>
      <c r="E153">
        <v>25</v>
      </c>
      <c r="F153" t="s">
        <v>57</v>
      </c>
      <c r="G153" t="s">
        <v>52</v>
      </c>
      <c r="H153" s="1">
        <v>45261</v>
      </c>
      <c r="I153" s="2">
        <v>1.1000000000000001</v>
      </c>
      <c r="J153" t="s">
        <v>29</v>
      </c>
      <c r="K153" s="3">
        <v>2550</v>
      </c>
      <c r="L153" t="s">
        <v>30</v>
      </c>
      <c r="M153">
        <v>3</v>
      </c>
      <c r="N153">
        <v>3</v>
      </c>
      <c r="O153">
        <v>21</v>
      </c>
      <c r="P153" t="s">
        <v>22</v>
      </c>
      <c r="Q153" s="1">
        <v>45672</v>
      </c>
      <c r="R153" t="s">
        <v>40</v>
      </c>
      <c r="S153" t="s">
        <v>107</v>
      </c>
      <c r="T153" t="s">
        <v>33</v>
      </c>
      <c r="U153">
        <v>1</v>
      </c>
      <c r="V153">
        <v>0</v>
      </c>
      <c r="W153">
        <v>1</v>
      </c>
    </row>
    <row r="154" spans="1:23" ht="16.5" x14ac:dyDescent="0.3">
      <c r="A154" t="s">
        <v>219</v>
      </c>
      <c r="B154" t="s">
        <v>48</v>
      </c>
      <c r="C154" t="s">
        <v>25</v>
      </c>
      <c r="D154" t="s">
        <v>37</v>
      </c>
      <c r="E154">
        <v>28</v>
      </c>
      <c r="F154" t="s">
        <v>27</v>
      </c>
      <c r="G154" t="s">
        <v>38</v>
      </c>
      <c r="H154" s="1">
        <v>45244</v>
      </c>
      <c r="I154" s="2">
        <v>2.1</v>
      </c>
      <c r="J154" t="s">
        <v>29</v>
      </c>
      <c r="K154" s="3">
        <v>7150</v>
      </c>
      <c r="L154" t="s">
        <v>30</v>
      </c>
      <c r="M154">
        <v>5</v>
      </c>
      <c r="N154">
        <v>3</v>
      </c>
      <c r="O154">
        <v>20</v>
      </c>
      <c r="P154" t="s">
        <v>21</v>
      </c>
      <c r="Q154" s="1"/>
      <c r="U154">
        <v>1</v>
      </c>
      <c r="V154">
        <v>1</v>
      </c>
      <c r="W154">
        <v>0</v>
      </c>
    </row>
    <row r="155" spans="1:23" ht="16.5" x14ac:dyDescent="0.3">
      <c r="A155" t="s">
        <v>220</v>
      </c>
      <c r="B155" t="s">
        <v>48</v>
      </c>
      <c r="C155" t="s">
        <v>36</v>
      </c>
      <c r="D155" t="s">
        <v>37</v>
      </c>
      <c r="E155">
        <v>37</v>
      </c>
      <c r="F155" t="s">
        <v>46</v>
      </c>
      <c r="G155" t="s">
        <v>38</v>
      </c>
      <c r="H155" s="1">
        <v>43959</v>
      </c>
      <c r="I155" s="2">
        <v>5.6</v>
      </c>
      <c r="J155" t="s">
        <v>39</v>
      </c>
      <c r="K155" s="3">
        <v>7550</v>
      </c>
      <c r="L155" t="s">
        <v>30</v>
      </c>
      <c r="M155">
        <v>4</v>
      </c>
      <c r="N155">
        <v>3</v>
      </c>
      <c r="O155">
        <v>23</v>
      </c>
      <c r="P155" t="s">
        <v>21</v>
      </c>
      <c r="Q155" s="1"/>
      <c r="U155">
        <v>1</v>
      </c>
      <c r="V155">
        <v>1</v>
      </c>
      <c r="W155">
        <v>0</v>
      </c>
    </row>
    <row r="156" spans="1:23" ht="16.5" x14ac:dyDescent="0.3">
      <c r="A156" t="s">
        <v>221</v>
      </c>
      <c r="B156" t="s">
        <v>35</v>
      </c>
      <c r="C156" t="s">
        <v>36</v>
      </c>
      <c r="D156" t="s">
        <v>37</v>
      </c>
      <c r="E156">
        <v>36</v>
      </c>
      <c r="F156" t="s">
        <v>46</v>
      </c>
      <c r="G156" t="s">
        <v>28</v>
      </c>
      <c r="H156" s="1">
        <v>44774</v>
      </c>
      <c r="I156" s="2">
        <v>3.4</v>
      </c>
      <c r="J156" t="s">
        <v>50</v>
      </c>
      <c r="K156" s="3">
        <v>4700</v>
      </c>
      <c r="L156" t="s">
        <v>30</v>
      </c>
      <c r="M156">
        <v>3</v>
      </c>
      <c r="N156">
        <v>4</v>
      </c>
      <c r="O156">
        <v>7</v>
      </c>
      <c r="P156" t="s">
        <v>21</v>
      </c>
      <c r="Q156" s="1"/>
      <c r="U156">
        <v>1</v>
      </c>
      <c r="V156">
        <v>1</v>
      </c>
      <c r="W156">
        <v>0</v>
      </c>
    </row>
    <row r="157" spans="1:23" ht="16.5" x14ac:dyDescent="0.3">
      <c r="A157" t="s">
        <v>222</v>
      </c>
      <c r="B157" t="s">
        <v>35</v>
      </c>
      <c r="C157" t="s">
        <v>87</v>
      </c>
      <c r="D157" t="s">
        <v>37</v>
      </c>
      <c r="E157">
        <v>46</v>
      </c>
      <c r="F157" t="s">
        <v>88</v>
      </c>
      <c r="G157" t="s">
        <v>38</v>
      </c>
      <c r="H157" s="1">
        <v>41104</v>
      </c>
      <c r="I157" s="2">
        <v>13.5</v>
      </c>
      <c r="J157" t="s">
        <v>39</v>
      </c>
      <c r="K157" s="3">
        <v>7950</v>
      </c>
      <c r="L157" t="s">
        <v>30</v>
      </c>
      <c r="M157">
        <v>4</v>
      </c>
      <c r="N157">
        <v>3</v>
      </c>
      <c r="O157">
        <v>31</v>
      </c>
      <c r="P157" t="s">
        <v>21</v>
      </c>
      <c r="Q157" s="1"/>
      <c r="U157">
        <v>1</v>
      </c>
      <c r="V157">
        <v>1</v>
      </c>
      <c r="W157">
        <v>0</v>
      </c>
    </row>
    <row r="158" spans="1:23" ht="16.5" x14ac:dyDescent="0.3">
      <c r="A158" t="s">
        <v>223</v>
      </c>
      <c r="B158" t="s">
        <v>48</v>
      </c>
      <c r="C158" t="s">
        <v>36</v>
      </c>
      <c r="D158" t="s">
        <v>37</v>
      </c>
      <c r="E158">
        <v>35</v>
      </c>
      <c r="F158" t="s">
        <v>27</v>
      </c>
      <c r="G158" t="s">
        <v>28</v>
      </c>
      <c r="H158" s="1">
        <v>41987</v>
      </c>
      <c r="I158" s="2">
        <v>11</v>
      </c>
      <c r="J158" t="s">
        <v>39</v>
      </c>
      <c r="K158" s="3">
        <v>9150</v>
      </c>
      <c r="L158" t="s">
        <v>30</v>
      </c>
      <c r="M158">
        <v>3</v>
      </c>
      <c r="N158">
        <v>2</v>
      </c>
      <c r="O158">
        <v>34</v>
      </c>
      <c r="P158" t="s">
        <v>21</v>
      </c>
      <c r="Q158" s="1"/>
      <c r="U158">
        <v>1</v>
      </c>
      <c r="V158">
        <v>1</v>
      </c>
      <c r="W158">
        <v>0</v>
      </c>
    </row>
    <row r="159" spans="1:23" ht="16.5" x14ac:dyDescent="0.3">
      <c r="A159" t="s">
        <v>224</v>
      </c>
      <c r="B159" t="s">
        <v>55</v>
      </c>
      <c r="C159" t="s">
        <v>45</v>
      </c>
      <c r="D159" t="s">
        <v>37</v>
      </c>
      <c r="E159">
        <v>33</v>
      </c>
      <c r="F159" t="s">
        <v>27</v>
      </c>
      <c r="G159" t="s">
        <v>28</v>
      </c>
      <c r="H159" s="1">
        <v>42687</v>
      </c>
      <c r="I159" s="2">
        <v>9.1</v>
      </c>
      <c r="J159" t="s">
        <v>39</v>
      </c>
      <c r="K159" s="3">
        <v>7600</v>
      </c>
      <c r="L159" t="s">
        <v>30</v>
      </c>
      <c r="M159">
        <v>4</v>
      </c>
      <c r="N159">
        <v>5</v>
      </c>
      <c r="O159">
        <v>35</v>
      </c>
      <c r="P159" t="s">
        <v>21</v>
      </c>
      <c r="Q159" s="1"/>
      <c r="U159">
        <v>1</v>
      </c>
      <c r="V159">
        <v>1</v>
      </c>
      <c r="W159">
        <v>0</v>
      </c>
    </row>
    <row r="160" spans="1:23" ht="16.5" x14ac:dyDescent="0.3">
      <c r="A160" t="s">
        <v>225</v>
      </c>
      <c r="B160" t="s">
        <v>24</v>
      </c>
      <c r="C160" t="s">
        <v>25</v>
      </c>
      <c r="D160" t="s">
        <v>26</v>
      </c>
      <c r="E160">
        <v>25</v>
      </c>
      <c r="F160" t="s">
        <v>57</v>
      </c>
      <c r="G160" t="s">
        <v>52</v>
      </c>
      <c r="H160" s="1">
        <v>45661</v>
      </c>
      <c r="I160" s="2">
        <v>0.1</v>
      </c>
      <c r="J160" t="s">
        <v>64</v>
      </c>
      <c r="K160" s="3">
        <v>3450</v>
      </c>
      <c r="L160" t="s">
        <v>30</v>
      </c>
      <c r="M160">
        <v>3</v>
      </c>
      <c r="N160">
        <v>4</v>
      </c>
      <c r="O160">
        <v>23</v>
      </c>
      <c r="P160" t="s">
        <v>22</v>
      </c>
      <c r="Q160" s="1">
        <v>45684</v>
      </c>
      <c r="R160" t="s">
        <v>40</v>
      </c>
      <c r="S160" t="s">
        <v>107</v>
      </c>
      <c r="T160" t="s">
        <v>33</v>
      </c>
      <c r="U160">
        <v>1</v>
      </c>
      <c r="V160">
        <v>0</v>
      </c>
      <c r="W160">
        <v>1</v>
      </c>
    </row>
    <row r="161" spans="1:23" ht="16.5" x14ac:dyDescent="0.3">
      <c r="A161" t="s">
        <v>226</v>
      </c>
      <c r="B161" t="s">
        <v>35</v>
      </c>
      <c r="C161" t="s">
        <v>36</v>
      </c>
      <c r="D161" t="s">
        <v>37</v>
      </c>
      <c r="E161">
        <v>28</v>
      </c>
      <c r="F161" t="s">
        <v>27</v>
      </c>
      <c r="G161" t="s">
        <v>28</v>
      </c>
      <c r="H161" s="1">
        <v>44253</v>
      </c>
      <c r="I161" s="2">
        <v>4.8</v>
      </c>
      <c r="J161" t="s">
        <v>50</v>
      </c>
      <c r="K161" s="3">
        <v>3900</v>
      </c>
      <c r="L161" t="s">
        <v>30</v>
      </c>
      <c r="M161">
        <v>2</v>
      </c>
      <c r="N161">
        <v>5</v>
      </c>
      <c r="O161">
        <v>17</v>
      </c>
      <c r="P161" t="s">
        <v>21</v>
      </c>
      <c r="Q161" s="1"/>
      <c r="U161">
        <v>1</v>
      </c>
      <c r="V161">
        <v>1</v>
      </c>
      <c r="W161">
        <v>0</v>
      </c>
    </row>
    <row r="162" spans="1:23" ht="16.5" x14ac:dyDescent="0.3">
      <c r="A162" t="s">
        <v>227</v>
      </c>
      <c r="B162" t="s">
        <v>35</v>
      </c>
      <c r="C162" t="s">
        <v>36</v>
      </c>
      <c r="D162" t="s">
        <v>26</v>
      </c>
      <c r="E162">
        <v>33</v>
      </c>
      <c r="F162" t="s">
        <v>27</v>
      </c>
      <c r="G162" t="s">
        <v>38</v>
      </c>
      <c r="H162" s="1">
        <v>44156</v>
      </c>
      <c r="I162" s="2">
        <v>5.0999999999999996</v>
      </c>
      <c r="J162" t="s">
        <v>39</v>
      </c>
      <c r="K162" s="3">
        <v>3700</v>
      </c>
      <c r="L162" t="s">
        <v>58</v>
      </c>
      <c r="M162">
        <v>3</v>
      </c>
      <c r="N162">
        <v>4</v>
      </c>
      <c r="O162">
        <v>21</v>
      </c>
      <c r="P162" t="s">
        <v>21</v>
      </c>
      <c r="Q162" s="1"/>
      <c r="U162">
        <v>1</v>
      </c>
      <c r="V162">
        <v>1</v>
      </c>
      <c r="W162">
        <v>0</v>
      </c>
    </row>
    <row r="163" spans="1:23" ht="16.5" x14ac:dyDescent="0.3">
      <c r="A163" t="s">
        <v>228</v>
      </c>
      <c r="B163" t="s">
        <v>55</v>
      </c>
      <c r="C163" t="s">
        <v>36</v>
      </c>
      <c r="D163" t="s">
        <v>37</v>
      </c>
      <c r="E163">
        <v>35</v>
      </c>
      <c r="F163" t="s">
        <v>27</v>
      </c>
      <c r="G163" t="s">
        <v>38</v>
      </c>
      <c r="H163" s="1">
        <v>43862</v>
      </c>
      <c r="I163" s="2">
        <v>5.9</v>
      </c>
      <c r="J163" t="s">
        <v>39</v>
      </c>
      <c r="K163" s="3">
        <v>4900</v>
      </c>
      <c r="L163" t="s">
        <v>30</v>
      </c>
      <c r="M163">
        <v>5</v>
      </c>
      <c r="N163">
        <v>3</v>
      </c>
      <c r="O163">
        <v>23</v>
      </c>
      <c r="P163" t="s">
        <v>21</v>
      </c>
      <c r="Q163" s="1"/>
      <c r="U163">
        <v>1</v>
      </c>
      <c r="V163">
        <v>1</v>
      </c>
      <c r="W163">
        <v>0</v>
      </c>
    </row>
    <row r="164" spans="1:23" ht="16.5" x14ac:dyDescent="0.3">
      <c r="A164" t="s">
        <v>229</v>
      </c>
      <c r="B164" t="s">
        <v>35</v>
      </c>
      <c r="C164" t="s">
        <v>45</v>
      </c>
      <c r="D164" t="s">
        <v>37</v>
      </c>
      <c r="E164">
        <v>31</v>
      </c>
      <c r="F164" t="s">
        <v>27</v>
      </c>
      <c r="G164" t="s">
        <v>28</v>
      </c>
      <c r="H164" s="1">
        <v>44649</v>
      </c>
      <c r="I164" s="2">
        <v>3.8</v>
      </c>
      <c r="J164" t="s">
        <v>50</v>
      </c>
      <c r="K164" s="3">
        <v>7400</v>
      </c>
      <c r="L164" t="s">
        <v>30</v>
      </c>
      <c r="M164">
        <v>2</v>
      </c>
      <c r="N164">
        <v>4</v>
      </c>
      <c r="O164">
        <v>16</v>
      </c>
      <c r="P164" t="s">
        <v>21</v>
      </c>
      <c r="Q164" s="1"/>
      <c r="U164">
        <v>1</v>
      </c>
      <c r="V164">
        <v>1</v>
      </c>
      <c r="W164">
        <v>0</v>
      </c>
    </row>
    <row r="165" spans="1:23" ht="16.5" x14ac:dyDescent="0.3">
      <c r="A165" t="s">
        <v>230</v>
      </c>
      <c r="B165" t="s">
        <v>44</v>
      </c>
      <c r="C165" t="s">
        <v>25</v>
      </c>
      <c r="D165" t="s">
        <v>26</v>
      </c>
      <c r="E165">
        <v>21</v>
      </c>
      <c r="F165" t="s">
        <v>57</v>
      </c>
      <c r="G165" t="s">
        <v>38</v>
      </c>
      <c r="H165" s="1">
        <v>45923</v>
      </c>
      <c r="I165" s="2">
        <v>0.3</v>
      </c>
      <c r="J165" t="s">
        <v>64</v>
      </c>
      <c r="K165" s="3">
        <v>4400</v>
      </c>
      <c r="L165" t="s">
        <v>30</v>
      </c>
      <c r="M165">
        <v>3</v>
      </c>
      <c r="N165">
        <v>4</v>
      </c>
      <c r="O165">
        <v>20</v>
      </c>
      <c r="P165" t="s">
        <v>21</v>
      </c>
      <c r="Q165" s="1"/>
      <c r="U165">
        <v>1</v>
      </c>
      <c r="V165">
        <v>1</v>
      </c>
      <c r="W165">
        <v>0</v>
      </c>
    </row>
    <row r="166" spans="1:23" ht="16.5" x14ac:dyDescent="0.3">
      <c r="A166" t="s">
        <v>231</v>
      </c>
      <c r="B166" t="s">
        <v>55</v>
      </c>
      <c r="C166" t="s">
        <v>25</v>
      </c>
      <c r="D166" t="s">
        <v>37</v>
      </c>
      <c r="E166">
        <v>25</v>
      </c>
      <c r="F166" t="s">
        <v>57</v>
      </c>
      <c r="G166" t="s">
        <v>38</v>
      </c>
      <c r="H166" s="1">
        <v>45372</v>
      </c>
      <c r="I166" s="2">
        <v>1.8</v>
      </c>
      <c r="J166" t="s">
        <v>29</v>
      </c>
      <c r="K166" s="3">
        <v>3750</v>
      </c>
      <c r="L166" t="s">
        <v>30</v>
      </c>
      <c r="M166">
        <v>3</v>
      </c>
      <c r="N166">
        <v>3</v>
      </c>
      <c r="O166">
        <v>23</v>
      </c>
      <c r="P166" t="s">
        <v>21</v>
      </c>
      <c r="Q166" s="1"/>
      <c r="U166">
        <v>1</v>
      </c>
      <c r="V166">
        <v>1</v>
      </c>
      <c r="W166">
        <v>0</v>
      </c>
    </row>
    <row r="167" spans="1:23" ht="16.5" x14ac:dyDescent="0.3">
      <c r="A167" t="s">
        <v>232</v>
      </c>
      <c r="B167" t="s">
        <v>48</v>
      </c>
      <c r="C167" t="s">
        <v>36</v>
      </c>
      <c r="D167" t="s">
        <v>26</v>
      </c>
      <c r="E167">
        <v>35</v>
      </c>
      <c r="F167" t="s">
        <v>27</v>
      </c>
      <c r="G167" t="s">
        <v>28</v>
      </c>
      <c r="H167" s="1">
        <v>42530</v>
      </c>
      <c r="I167" s="2">
        <v>9.5</v>
      </c>
      <c r="J167" t="s">
        <v>39</v>
      </c>
      <c r="K167" s="3">
        <v>8600</v>
      </c>
      <c r="L167" t="s">
        <v>30</v>
      </c>
      <c r="M167">
        <v>4</v>
      </c>
      <c r="N167">
        <v>3</v>
      </c>
      <c r="O167">
        <v>41</v>
      </c>
      <c r="P167" t="s">
        <v>22</v>
      </c>
      <c r="Q167" s="1">
        <v>46013</v>
      </c>
      <c r="R167" t="s">
        <v>40</v>
      </c>
      <c r="S167" t="s">
        <v>92</v>
      </c>
      <c r="T167" t="s">
        <v>151</v>
      </c>
      <c r="U167">
        <v>1</v>
      </c>
      <c r="V167">
        <v>0</v>
      </c>
      <c r="W167">
        <v>1</v>
      </c>
    </row>
    <row r="168" spans="1:23" ht="16.5" x14ac:dyDescent="0.3">
      <c r="A168" t="s">
        <v>233</v>
      </c>
      <c r="B168" t="s">
        <v>55</v>
      </c>
      <c r="C168" t="s">
        <v>36</v>
      </c>
      <c r="D168" t="s">
        <v>37</v>
      </c>
      <c r="E168">
        <v>31</v>
      </c>
      <c r="F168" t="s">
        <v>27</v>
      </c>
      <c r="G168" t="s">
        <v>38</v>
      </c>
      <c r="H168" s="1">
        <v>45230</v>
      </c>
      <c r="I168" s="2">
        <v>1.7</v>
      </c>
      <c r="J168" t="s">
        <v>29</v>
      </c>
      <c r="K168" s="3">
        <v>4250</v>
      </c>
      <c r="L168" t="s">
        <v>30</v>
      </c>
      <c r="M168">
        <v>5</v>
      </c>
      <c r="N168">
        <v>3</v>
      </c>
      <c r="O168">
        <v>22</v>
      </c>
      <c r="P168" t="s">
        <v>22</v>
      </c>
      <c r="Q168" s="1">
        <v>45864</v>
      </c>
      <c r="R168" t="s">
        <v>40</v>
      </c>
      <c r="S168" t="s">
        <v>84</v>
      </c>
      <c r="T168" t="s">
        <v>33</v>
      </c>
      <c r="U168">
        <v>1</v>
      </c>
      <c r="V168">
        <v>0</v>
      </c>
      <c r="W168">
        <v>1</v>
      </c>
    </row>
    <row r="169" spans="1:23" ht="16.5" x14ac:dyDescent="0.3">
      <c r="A169" t="s">
        <v>234</v>
      </c>
      <c r="B169" t="s">
        <v>44</v>
      </c>
      <c r="C169" t="s">
        <v>25</v>
      </c>
      <c r="D169" t="s">
        <v>26</v>
      </c>
      <c r="E169">
        <v>24</v>
      </c>
      <c r="F169" t="s">
        <v>57</v>
      </c>
      <c r="G169" t="s">
        <v>28</v>
      </c>
      <c r="H169" s="1">
        <v>45632</v>
      </c>
      <c r="I169" s="2">
        <v>1.1000000000000001</v>
      </c>
      <c r="J169" t="s">
        <v>29</v>
      </c>
      <c r="K169" s="3">
        <v>4800</v>
      </c>
      <c r="L169" t="s">
        <v>30</v>
      </c>
      <c r="M169">
        <v>4</v>
      </c>
      <c r="N169">
        <v>3</v>
      </c>
      <c r="O169">
        <v>1</v>
      </c>
      <c r="P169" t="s">
        <v>21</v>
      </c>
      <c r="Q169" s="1"/>
      <c r="U169">
        <v>1</v>
      </c>
      <c r="V169">
        <v>1</v>
      </c>
      <c r="W169">
        <v>0</v>
      </c>
    </row>
    <row r="170" spans="1:23" ht="16.5" x14ac:dyDescent="0.3">
      <c r="A170" t="s">
        <v>235</v>
      </c>
      <c r="B170" t="s">
        <v>44</v>
      </c>
      <c r="C170" t="s">
        <v>45</v>
      </c>
      <c r="D170" t="s">
        <v>37</v>
      </c>
      <c r="E170">
        <v>36</v>
      </c>
      <c r="F170" t="s">
        <v>46</v>
      </c>
      <c r="G170" t="s">
        <v>38</v>
      </c>
      <c r="H170" s="1">
        <v>41812</v>
      </c>
      <c r="I170" s="2">
        <v>11.5</v>
      </c>
      <c r="J170" t="s">
        <v>39</v>
      </c>
      <c r="K170" s="3">
        <v>10800</v>
      </c>
      <c r="L170" t="s">
        <v>30</v>
      </c>
      <c r="M170">
        <v>4</v>
      </c>
      <c r="N170">
        <v>5</v>
      </c>
      <c r="O170">
        <v>15</v>
      </c>
      <c r="P170" t="s">
        <v>21</v>
      </c>
      <c r="Q170" s="1"/>
      <c r="U170">
        <v>1</v>
      </c>
      <c r="V170">
        <v>1</v>
      </c>
      <c r="W170">
        <v>0</v>
      </c>
    </row>
    <row r="171" spans="1:23" ht="16.5" x14ac:dyDescent="0.3">
      <c r="A171" t="s">
        <v>236</v>
      </c>
      <c r="B171" t="s">
        <v>70</v>
      </c>
      <c r="C171" t="s">
        <v>36</v>
      </c>
      <c r="D171" t="s">
        <v>26</v>
      </c>
      <c r="E171">
        <v>35</v>
      </c>
      <c r="F171" t="s">
        <v>27</v>
      </c>
      <c r="G171" t="s">
        <v>28</v>
      </c>
      <c r="H171" s="1">
        <v>44636</v>
      </c>
      <c r="I171" s="2">
        <v>3.8</v>
      </c>
      <c r="J171" t="s">
        <v>50</v>
      </c>
      <c r="K171" s="3">
        <v>5500</v>
      </c>
      <c r="L171" t="s">
        <v>58</v>
      </c>
      <c r="M171">
        <v>2</v>
      </c>
      <c r="N171">
        <v>3</v>
      </c>
      <c r="O171">
        <v>26</v>
      </c>
      <c r="P171" t="s">
        <v>21</v>
      </c>
      <c r="Q171" s="1"/>
      <c r="U171">
        <v>1</v>
      </c>
      <c r="V171">
        <v>1</v>
      </c>
      <c r="W171">
        <v>0</v>
      </c>
    </row>
    <row r="172" spans="1:23" ht="16.5" x14ac:dyDescent="0.3">
      <c r="A172" t="s">
        <v>237</v>
      </c>
      <c r="B172" t="s">
        <v>70</v>
      </c>
      <c r="C172" t="s">
        <v>25</v>
      </c>
      <c r="D172" t="s">
        <v>37</v>
      </c>
      <c r="E172">
        <v>29</v>
      </c>
      <c r="F172" t="s">
        <v>27</v>
      </c>
      <c r="G172" t="s">
        <v>38</v>
      </c>
      <c r="H172" s="1">
        <v>44261</v>
      </c>
      <c r="I172" s="2">
        <v>4.8</v>
      </c>
      <c r="J172" t="s">
        <v>50</v>
      </c>
      <c r="K172" s="3">
        <v>4200</v>
      </c>
      <c r="L172" t="s">
        <v>58</v>
      </c>
      <c r="M172">
        <v>3</v>
      </c>
      <c r="N172">
        <v>4</v>
      </c>
      <c r="O172">
        <v>33</v>
      </c>
      <c r="P172" t="s">
        <v>21</v>
      </c>
      <c r="Q172" s="1"/>
      <c r="U172">
        <v>1</v>
      </c>
      <c r="V172">
        <v>1</v>
      </c>
      <c r="W172">
        <v>0</v>
      </c>
    </row>
    <row r="173" spans="1:23" ht="16.5" x14ac:dyDescent="0.3">
      <c r="A173" t="s">
        <v>238</v>
      </c>
      <c r="B173" t="s">
        <v>24</v>
      </c>
      <c r="C173" t="s">
        <v>25</v>
      </c>
      <c r="D173" t="s">
        <v>37</v>
      </c>
      <c r="E173">
        <v>29</v>
      </c>
      <c r="F173" t="s">
        <v>27</v>
      </c>
      <c r="G173" t="s">
        <v>38</v>
      </c>
      <c r="H173" s="1">
        <v>44219</v>
      </c>
      <c r="I173" s="2">
        <v>4.3</v>
      </c>
      <c r="J173" t="s">
        <v>50</v>
      </c>
      <c r="K173" s="3">
        <v>2550</v>
      </c>
      <c r="L173" t="s">
        <v>30</v>
      </c>
      <c r="M173">
        <v>2</v>
      </c>
      <c r="N173">
        <v>3</v>
      </c>
      <c r="O173">
        <v>28</v>
      </c>
      <c r="P173" t="s">
        <v>22</v>
      </c>
      <c r="Q173" s="1">
        <v>45788</v>
      </c>
      <c r="R173" t="s">
        <v>40</v>
      </c>
      <c r="S173" t="s">
        <v>169</v>
      </c>
      <c r="T173" t="s">
        <v>33</v>
      </c>
      <c r="U173">
        <v>1</v>
      </c>
      <c r="V173">
        <v>0</v>
      </c>
      <c r="W173">
        <v>1</v>
      </c>
    </row>
    <row r="174" spans="1:23" ht="16.5" x14ac:dyDescent="0.3">
      <c r="A174" t="s">
        <v>239</v>
      </c>
      <c r="B174" t="s">
        <v>35</v>
      </c>
      <c r="C174" t="s">
        <v>36</v>
      </c>
      <c r="D174" t="s">
        <v>26</v>
      </c>
      <c r="E174">
        <v>37</v>
      </c>
      <c r="F174" t="s">
        <v>46</v>
      </c>
      <c r="G174" t="s">
        <v>38</v>
      </c>
      <c r="H174" s="1">
        <v>45240</v>
      </c>
      <c r="I174" s="2">
        <v>2.1</v>
      </c>
      <c r="J174" t="s">
        <v>29</v>
      </c>
      <c r="K174" s="3">
        <v>4100</v>
      </c>
      <c r="L174" t="s">
        <v>30</v>
      </c>
      <c r="M174">
        <v>3</v>
      </c>
      <c r="N174">
        <v>5</v>
      </c>
      <c r="O174">
        <v>24</v>
      </c>
      <c r="P174" t="s">
        <v>21</v>
      </c>
      <c r="Q174" s="1"/>
      <c r="U174">
        <v>1</v>
      </c>
      <c r="V174">
        <v>1</v>
      </c>
      <c r="W174">
        <v>0</v>
      </c>
    </row>
    <row r="175" spans="1:23" ht="16.5" x14ac:dyDescent="0.3">
      <c r="A175" t="s">
        <v>240</v>
      </c>
      <c r="B175" t="s">
        <v>35</v>
      </c>
      <c r="C175" t="s">
        <v>45</v>
      </c>
      <c r="D175" t="s">
        <v>26</v>
      </c>
      <c r="E175">
        <v>46</v>
      </c>
      <c r="F175" t="s">
        <v>88</v>
      </c>
      <c r="G175" t="s">
        <v>38</v>
      </c>
      <c r="H175" s="1">
        <v>41699</v>
      </c>
      <c r="I175" s="2">
        <v>11.8</v>
      </c>
      <c r="J175" t="s">
        <v>39</v>
      </c>
      <c r="K175" s="3">
        <v>7050</v>
      </c>
      <c r="L175" t="s">
        <v>30</v>
      </c>
      <c r="M175">
        <v>2</v>
      </c>
      <c r="N175">
        <v>5</v>
      </c>
      <c r="O175">
        <v>14</v>
      </c>
      <c r="P175" t="s">
        <v>21</v>
      </c>
      <c r="Q175" s="1"/>
      <c r="U175">
        <v>1</v>
      </c>
      <c r="V175">
        <v>1</v>
      </c>
      <c r="W175">
        <v>0</v>
      </c>
    </row>
    <row r="176" spans="1:23" ht="16.5" x14ac:dyDescent="0.3">
      <c r="A176" t="s">
        <v>241</v>
      </c>
      <c r="B176" t="s">
        <v>70</v>
      </c>
      <c r="C176" t="s">
        <v>36</v>
      </c>
      <c r="D176" t="s">
        <v>37</v>
      </c>
      <c r="E176">
        <v>34</v>
      </c>
      <c r="F176" t="s">
        <v>27</v>
      </c>
      <c r="G176" t="s">
        <v>38</v>
      </c>
      <c r="H176" s="1">
        <v>43523</v>
      </c>
      <c r="I176" s="2">
        <v>6.8</v>
      </c>
      <c r="J176" t="s">
        <v>39</v>
      </c>
      <c r="K176" s="3">
        <v>4400</v>
      </c>
      <c r="L176" t="s">
        <v>30</v>
      </c>
      <c r="M176">
        <v>5</v>
      </c>
      <c r="N176">
        <v>4</v>
      </c>
      <c r="O176">
        <v>16</v>
      </c>
      <c r="P176" t="s">
        <v>21</v>
      </c>
      <c r="Q176" s="1"/>
      <c r="U176">
        <v>1</v>
      </c>
      <c r="V176">
        <v>1</v>
      </c>
      <c r="W176">
        <v>0</v>
      </c>
    </row>
    <row r="177" spans="1:23" ht="16.5" x14ac:dyDescent="0.3">
      <c r="A177" t="s">
        <v>242</v>
      </c>
      <c r="B177" t="s">
        <v>35</v>
      </c>
      <c r="C177" t="s">
        <v>25</v>
      </c>
      <c r="D177" t="s">
        <v>37</v>
      </c>
      <c r="E177">
        <v>26</v>
      </c>
      <c r="F177" t="s">
        <v>27</v>
      </c>
      <c r="G177" t="s">
        <v>28</v>
      </c>
      <c r="H177" s="1">
        <v>45703</v>
      </c>
      <c r="I177" s="2">
        <v>0.9</v>
      </c>
      <c r="J177" t="s">
        <v>64</v>
      </c>
      <c r="K177" s="3">
        <v>3900</v>
      </c>
      <c r="L177" t="s">
        <v>58</v>
      </c>
      <c r="M177">
        <v>2</v>
      </c>
      <c r="N177">
        <v>4</v>
      </c>
      <c r="O177">
        <v>46</v>
      </c>
      <c r="P177" t="s">
        <v>21</v>
      </c>
      <c r="Q177" s="1"/>
      <c r="U177">
        <v>1</v>
      </c>
      <c r="V177">
        <v>1</v>
      </c>
      <c r="W177">
        <v>0</v>
      </c>
    </row>
    <row r="178" spans="1:23" ht="16.5" x14ac:dyDescent="0.3">
      <c r="A178" t="s">
        <v>243</v>
      </c>
      <c r="B178" t="s">
        <v>35</v>
      </c>
      <c r="C178" t="s">
        <v>45</v>
      </c>
      <c r="D178" t="s">
        <v>26</v>
      </c>
      <c r="E178">
        <v>48</v>
      </c>
      <c r="F178" t="s">
        <v>88</v>
      </c>
      <c r="G178" t="s">
        <v>28</v>
      </c>
      <c r="H178" s="1">
        <v>40828</v>
      </c>
      <c r="I178" s="2">
        <v>14.2</v>
      </c>
      <c r="J178" t="s">
        <v>39</v>
      </c>
      <c r="K178" s="3">
        <v>6100</v>
      </c>
      <c r="L178" t="s">
        <v>30</v>
      </c>
      <c r="M178">
        <v>4</v>
      </c>
      <c r="N178">
        <v>3</v>
      </c>
      <c r="O178">
        <v>28</v>
      </c>
      <c r="P178" t="s">
        <v>21</v>
      </c>
      <c r="Q178" s="1"/>
      <c r="U178">
        <v>1</v>
      </c>
      <c r="V178">
        <v>1</v>
      </c>
      <c r="W178">
        <v>0</v>
      </c>
    </row>
    <row r="179" spans="1:23" ht="16.5" x14ac:dyDescent="0.3">
      <c r="A179" t="s">
        <v>244</v>
      </c>
      <c r="B179" t="s">
        <v>70</v>
      </c>
      <c r="C179" t="s">
        <v>25</v>
      </c>
      <c r="D179" t="s">
        <v>37</v>
      </c>
      <c r="E179">
        <v>31</v>
      </c>
      <c r="F179" t="s">
        <v>27</v>
      </c>
      <c r="G179" t="s">
        <v>28</v>
      </c>
      <c r="H179" s="1">
        <v>43785</v>
      </c>
      <c r="I179" s="2">
        <v>6.1</v>
      </c>
      <c r="J179" t="s">
        <v>39</v>
      </c>
      <c r="K179" s="3">
        <v>3900</v>
      </c>
      <c r="L179" t="s">
        <v>58</v>
      </c>
      <c r="M179">
        <v>3</v>
      </c>
      <c r="N179">
        <v>3</v>
      </c>
      <c r="O179">
        <v>26</v>
      </c>
      <c r="P179" t="s">
        <v>21</v>
      </c>
      <c r="Q179" s="1"/>
      <c r="U179">
        <v>1</v>
      </c>
      <c r="V179">
        <v>1</v>
      </c>
      <c r="W179">
        <v>0</v>
      </c>
    </row>
    <row r="180" spans="1:23" ht="16.5" x14ac:dyDescent="0.3">
      <c r="A180" t="s">
        <v>245</v>
      </c>
      <c r="B180" t="s">
        <v>70</v>
      </c>
      <c r="C180" t="s">
        <v>45</v>
      </c>
      <c r="D180" t="s">
        <v>37</v>
      </c>
      <c r="E180">
        <v>36</v>
      </c>
      <c r="F180" t="s">
        <v>46</v>
      </c>
      <c r="G180" t="s">
        <v>28</v>
      </c>
      <c r="H180" s="1">
        <v>43603</v>
      </c>
      <c r="I180" s="2">
        <v>6.6</v>
      </c>
      <c r="J180" t="s">
        <v>39</v>
      </c>
      <c r="K180" s="3">
        <v>8900</v>
      </c>
      <c r="L180" t="s">
        <v>58</v>
      </c>
      <c r="M180">
        <v>2</v>
      </c>
      <c r="N180">
        <v>5</v>
      </c>
      <c r="O180">
        <v>21</v>
      </c>
      <c r="P180" t="s">
        <v>21</v>
      </c>
      <c r="Q180" s="1"/>
      <c r="U180">
        <v>1</v>
      </c>
      <c r="V180">
        <v>1</v>
      </c>
      <c r="W180">
        <v>0</v>
      </c>
    </row>
    <row r="181" spans="1:23" ht="16.5" x14ac:dyDescent="0.3">
      <c r="A181" t="s">
        <v>246</v>
      </c>
      <c r="B181" t="s">
        <v>44</v>
      </c>
      <c r="C181" t="s">
        <v>36</v>
      </c>
      <c r="D181" t="s">
        <v>26</v>
      </c>
      <c r="E181">
        <v>27</v>
      </c>
      <c r="F181" t="s">
        <v>27</v>
      </c>
      <c r="G181" t="s">
        <v>38</v>
      </c>
      <c r="H181" s="1">
        <v>44897</v>
      </c>
      <c r="I181" s="2">
        <v>3.1</v>
      </c>
      <c r="J181" t="s">
        <v>50</v>
      </c>
      <c r="K181" s="3">
        <v>6050</v>
      </c>
      <c r="L181" t="s">
        <v>30</v>
      </c>
      <c r="M181">
        <v>5</v>
      </c>
      <c r="N181">
        <v>4</v>
      </c>
      <c r="O181">
        <v>39</v>
      </c>
      <c r="P181" t="s">
        <v>21</v>
      </c>
      <c r="Q181" s="1"/>
      <c r="U181">
        <v>1</v>
      </c>
      <c r="V181">
        <v>1</v>
      </c>
      <c r="W181">
        <v>0</v>
      </c>
    </row>
    <row r="182" spans="1:23" ht="16.5" x14ac:dyDescent="0.3">
      <c r="A182" t="s">
        <v>247</v>
      </c>
      <c r="B182" t="s">
        <v>24</v>
      </c>
      <c r="C182" t="s">
        <v>36</v>
      </c>
      <c r="D182" t="s">
        <v>37</v>
      </c>
      <c r="E182">
        <v>28</v>
      </c>
      <c r="F182" t="s">
        <v>27</v>
      </c>
      <c r="G182" t="s">
        <v>38</v>
      </c>
      <c r="H182" s="1">
        <v>44219</v>
      </c>
      <c r="I182" s="2">
        <v>4.9000000000000004</v>
      </c>
      <c r="J182" t="s">
        <v>50</v>
      </c>
      <c r="K182" s="3">
        <v>3450</v>
      </c>
      <c r="L182" t="s">
        <v>30</v>
      </c>
      <c r="M182">
        <v>4</v>
      </c>
      <c r="N182">
        <v>4</v>
      </c>
      <c r="O182">
        <v>18</v>
      </c>
      <c r="P182" t="s">
        <v>21</v>
      </c>
      <c r="Q182" s="1"/>
      <c r="U182">
        <v>1</v>
      </c>
      <c r="V182">
        <v>1</v>
      </c>
      <c r="W182">
        <v>0</v>
      </c>
    </row>
    <row r="183" spans="1:23" ht="16.5" x14ac:dyDescent="0.3">
      <c r="A183" t="s">
        <v>248</v>
      </c>
      <c r="B183" t="s">
        <v>48</v>
      </c>
      <c r="C183" t="s">
        <v>25</v>
      </c>
      <c r="D183" t="s">
        <v>26</v>
      </c>
      <c r="E183">
        <v>26</v>
      </c>
      <c r="F183" t="s">
        <v>27</v>
      </c>
      <c r="G183" t="s">
        <v>28</v>
      </c>
      <c r="H183" s="1">
        <v>45557</v>
      </c>
      <c r="I183" s="2">
        <v>1.3</v>
      </c>
      <c r="J183" t="s">
        <v>29</v>
      </c>
      <c r="K183" s="3">
        <v>6100</v>
      </c>
      <c r="L183" t="s">
        <v>58</v>
      </c>
      <c r="M183">
        <v>4</v>
      </c>
      <c r="N183">
        <v>5</v>
      </c>
      <c r="O183">
        <v>33</v>
      </c>
      <c r="P183" t="s">
        <v>21</v>
      </c>
      <c r="Q183" s="1"/>
      <c r="U183">
        <v>1</v>
      </c>
      <c r="V183">
        <v>1</v>
      </c>
      <c r="W183">
        <v>0</v>
      </c>
    </row>
    <row r="184" spans="1:23" ht="16.5" x14ac:dyDescent="0.3">
      <c r="A184" t="s">
        <v>249</v>
      </c>
      <c r="B184" t="s">
        <v>44</v>
      </c>
      <c r="C184" t="s">
        <v>45</v>
      </c>
      <c r="D184" t="s">
        <v>26</v>
      </c>
      <c r="E184">
        <v>30</v>
      </c>
      <c r="F184" t="s">
        <v>27</v>
      </c>
      <c r="G184" t="s">
        <v>28</v>
      </c>
      <c r="H184" s="1">
        <v>45077</v>
      </c>
      <c r="I184" s="2">
        <v>2.6</v>
      </c>
      <c r="J184" t="s">
        <v>29</v>
      </c>
      <c r="K184" s="3">
        <v>10700</v>
      </c>
      <c r="L184" t="s">
        <v>58</v>
      </c>
      <c r="M184">
        <v>2</v>
      </c>
      <c r="N184">
        <v>3</v>
      </c>
      <c r="O184">
        <v>10</v>
      </c>
      <c r="P184" t="s">
        <v>21</v>
      </c>
      <c r="Q184" s="1"/>
      <c r="U184">
        <v>1</v>
      </c>
      <c r="V184">
        <v>1</v>
      </c>
      <c r="W184">
        <v>0</v>
      </c>
    </row>
    <row r="185" spans="1:23" ht="16.5" x14ac:dyDescent="0.3">
      <c r="A185" t="s">
        <v>250</v>
      </c>
      <c r="B185" t="s">
        <v>24</v>
      </c>
      <c r="C185" t="s">
        <v>25</v>
      </c>
      <c r="D185" t="s">
        <v>26</v>
      </c>
      <c r="E185">
        <v>24</v>
      </c>
      <c r="F185" t="s">
        <v>57</v>
      </c>
      <c r="G185" t="s">
        <v>28</v>
      </c>
      <c r="H185" s="1">
        <v>45222</v>
      </c>
      <c r="I185" s="2">
        <v>2</v>
      </c>
      <c r="J185" t="s">
        <v>29</v>
      </c>
      <c r="K185" s="3">
        <v>2600</v>
      </c>
      <c r="L185" t="s">
        <v>58</v>
      </c>
      <c r="M185">
        <v>3</v>
      </c>
      <c r="N185">
        <v>3</v>
      </c>
      <c r="O185">
        <v>26</v>
      </c>
      <c r="P185" t="s">
        <v>22</v>
      </c>
      <c r="Q185" s="1">
        <v>45970</v>
      </c>
      <c r="R185" t="s">
        <v>40</v>
      </c>
      <c r="S185" t="s">
        <v>182</v>
      </c>
      <c r="T185" t="s">
        <v>42</v>
      </c>
      <c r="U185">
        <v>1</v>
      </c>
      <c r="V185">
        <v>0</v>
      </c>
      <c r="W185">
        <v>1</v>
      </c>
    </row>
    <row r="186" spans="1:23" ht="16.5" x14ac:dyDescent="0.3">
      <c r="A186" t="s">
        <v>251</v>
      </c>
      <c r="B186" t="s">
        <v>70</v>
      </c>
      <c r="C186" t="s">
        <v>36</v>
      </c>
      <c r="D186" t="s">
        <v>26</v>
      </c>
      <c r="E186">
        <v>35</v>
      </c>
      <c r="F186" t="s">
        <v>27</v>
      </c>
      <c r="G186" t="s">
        <v>38</v>
      </c>
      <c r="H186" s="1">
        <v>43694</v>
      </c>
      <c r="I186" s="2">
        <v>6.4</v>
      </c>
      <c r="J186" t="s">
        <v>39</v>
      </c>
      <c r="K186" s="3">
        <v>5600</v>
      </c>
      <c r="L186" t="s">
        <v>30</v>
      </c>
      <c r="M186">
        <v>4</v>
      </c>
      <c r="N186">
        <v>3</v>
      </c>
      <c r="O186">
        <v>8</v>
      </c>
      <c r="P186" t="s">
        <v>21</v>
      </c>
      <c r="Q186" s="1"/>
      <c r="U186">
        <v>1</v>
      </c>
      <c r="V186">
        <v>1</v>
      </c>
      <c r="W186">
        <v>0</v>
      </c>
    </row>
    <row r="187" spans="1:23" ht="16.5" x14ac:dyDescent="0.3">
      <c r="A187" t="s">
        <v>252</v>
      </c>
      <c r="B187" t="s">
        <v>55</v>
      </c>
      <c r="C187" t="s">
        <v>45</v>
      </c>
      <c r="D187" t="s">
        <v>37</v>
      </c>
      <c r="E187">
        <v>41</v>
      </c>
      <c r="F187" t="s">
        <v>46</v>
      </c>
      <c r="G187" t="s">
        <v>28</v>
      </c>
      <c r="H187" s="1">
        <v>41689</v>
      </c>
      <c r="I187" s="2">
        <v>11.9</v>
      </c>
      <c r="J187" t="s">
        <v>39</v>
      </c>
      <c r="K187" s="3">
        <v>8400</v>
      </c>
      <c r="L187" t="s">
        <v>30</v>
      </c>
      <c r="M187">
        <v>3</v>
      </c>
      <c r="N187">
        <v>4</v>
      </c>
      <c r="O187">
        <v>30</v>
      </c>
      <c r="P187" t="s">
        <v>21</v>
      </c>
      <c r="Q187" s="1"/>
      <c r="U187">
        <v>1</v>
      </c>
      <c r="V187">
        <v>1</v>
      </c>
      <c r="W187">
        <v>0</v>
      </c>
    </row>
    <row r="188" spans="1:23" ht="16.5" x14ac:dyDescent="0.3">
      <c r="A188" t="s">
        <v>253</v>
      </c>
      <c r="B188" t="s">
        <v>55</v>
      </c>
      <c r="C188" t="s">
        <v>36</v>
      </c>
      <c r="D188" t="s">
        <v>26</v>
      </c>
      <c r="E188">
        <v>27</v>
      </c>
      <c r="F188" t="s">
        <v>27</v>
      </c>
      <c r="G188" t="s">
        <v>52</v>
      </c>
      <c r="H188" s="1">
        <v>44910</v>
      </c>
      <c r="I188" s="2">
        <v>3</v>
      </c>
      <c r="J188" t="s">
        <v>29</v>
      </c>
      <c r="K188" s="3">
        <v>5750</v>
      </c>
      <c r="L188" t="s">
        <v>30</v>
      </c>
      <c r="M188">
        <v>4</v>
      </c>
      <c r="N188">
        <v>4</v>
      </c>
      <c r="O188">
        <v>17</v>
      </c>
      <c r="P188" t="s">
        <v>21</v>
      </c>
      <c r="Q188" s="1"/>
      <c r="U188">
        <v>1</v>
      </c>
      <c r="V188">
        <v>1</v>
      </c>
      <c r="W188">
        <v>0</v>
      </c>
    </row>
    <row r="189" spans="1:23" ht="16.5" x14ac:dyDescent="0.3">
      <c r="A189" t="s">
        <v>254</v>
      </c>
      <c r="B189" t="s">
        <v>70</v>
      </c>
      <c r="C189" t="s">
        <v>36</v>
      </c>
      <c r="D189" t="s">
        <v>26</v>
      </c>
      <c r="E189">
        <v>35</v>
      </c>
      <c r="F189" t="s">
        <v>27</v>
      </c>
      <c r="G189" t="s">
        <v>28</v>
      </c>
      <c r="H189" s="1">
        <v>42659</v>
      </c>
      <c r="I189" s="2">
        <v>9.1999999999999993</v>
      </c>
      <c r="J189" t="s">
        <v>39</v>
      </c>
      <c r="K189" s="3">
        <v>5000</v>
      </c>
      <c r="L189" t="s">
        <v>30</v>
      </c>
      <c r="M189">
        <v>3</v>
      </c>
      <c r="N189">
        <v>3</v>
      </c>
      <c r="O189">
        <v>18</v>
      </c>
      <c r="P189" t="s">
        <v>21</v>
      </c>
      <c r="Q189" s="1"/>
      <c r="U189">
        <v>1</v>
      </c>
      <c r="V189">
        <v>1</v>
      </c>
      <c r="W189">
        <v>0</v>
      </c>
    </row>
    <row r="190" spans="1:23" ht="16.5" x14ac:dyDescent="0.3">
      <c r="A190" t="s">
        <v>255</v>
      </c>
      <c r="B190" t="s">
        <v>73</v>
      </c>
      <c r="C190" t="s">
        <v>25</v>
      </c>
      <c r="D190" t="s">
        <v>37</v>
      </c>
      <c r="E190">
        <v>31</v>
      </c>
      <c r="F190" t="s">
        <v>27</v>
      </c>
      <c r="G190" t="s">
        <v>38</v>
      </c>
      <c r="H190" s="1">
        <v>43781</v>
      </c>
      <c r="I190" s="2">
        <v>4.2</v>
      </c>
      <c r="J190" t="s">
        <v>50</v>
      </c>
      <c r="K190" s="3">
        <v>3250</v>
      </c>
      <c r="L190" t="s">
        <v>30</v>
      </c>
      <c r="M190">
        <v>2</v>
      </c>
      <c r="N190">
        <v>2</v>
      </c>
      <c r="O190">
        <v>23</v>
      </c>
      <c r="P190" t="s">
        <v>22</v>
      </c>
      <c r="Q190" s="1">
        <v>45306</v>
      </c>
      <c r="R190" t="s">
        <v>31</v>
      </c>
      <c r="S190" t="s">
        <v>107</v>
      </c>
      <c r="T190" t="s">
        <v>33</v>
      </c>
      <c r="U190">
        <v>1</v>
      </c>
      <c r="V190">
        <v>0</v>
      </c>
      <c r="W190">
        <v>1</v>
      </c>
    </row>
    <row r="191" spans="1:23" ht="16.5" x14ac:dyDescent="0.3">
      <c r="A191" t="s">
        <v>256</v>
      </c>
      <c r="B191" t="s">
        <v>44</v>
      </c>
      <c r="C191" t="s">
        <v>36</v>
      </c>
      <c r="D191" t="s">
        <v>26</v>
      </c>
      <c r="E191">
        <v>32</v>
      </c>
      <c r="F191" t="s">
        <v>27</v>
      </c>
      <c r="G191" t="s">
        <v>38</v>
      </c>
      <c r="H191" s="1">
        <v>45277</v>
      </c>
      <c r="I191" s="2">
        <v>2</v>
      </c>
      <c r="J191" t="s">
        <v>29</v>
      </c>
      <c r="K191" s="3">
        <v>6650</v>
      </c>
      <c r="L191" t="s">
        <v>30</v>
      </c>
      <c r="M191">
        <v>3</v>
      </c>
      <c r="N191">
        <v>3</v>
      </c>
      <c r="O191">
        <v>19</v>
      </c>
      <c r="P191" t="s">
        <v>21</v>
      </c>
      <c r="Q191" s="1"/>
      <c r="U191">
        <v>1</v>
      </c>
      <c r="V191">
        <v>1</v>
      </c>
      <c r="W191">
        <v>0</v>
      </c>
    </row>
    <row r="192" spans="1:23" ht="16.5" x14ac:dyDescent="0.3">
      <c r="A192" t="s">
        <v>257</v>
      </c>
      <c r="B192" t="s">
        <v>48</v>
      </c>
      <c r="C192" t="s">
        <v>36</v>
      </c>
      <c r="D192" t="s">
        <v>37</v>
      </c>
      <c r="E192">
        <v>28</v>
      </c>
      <c r="F192" t="s">
        <v>27</v>
      </c>
      <c r="G192" t="s">
        <v>28</v>
      </c>
      <c r="H192" s="1">
        <v>44946</v>
      </c>
      <c r="I192" s="2">
        <v>2.9</v>
      </c>
      <c r="J192" t="s">
        <v>29</v>
      </c>
      <c r="K192" s="3">
        <v>7450</v>
      </c>
      <c r="L192" t="s">
        <v>30</v>
      </c>
      <c r="M192">
        <v>5</v>
      </c>
      <c r="N192">
        <v>5</v>
      </c>
      <c r="O192">
        <v>31</v>
      </c>
      <c r="P192" t="s">
        <v>21</v>
      </c>
      <c r="Q192" s="1"/>
      <c r="U192">
        <v>1</v>
      </c>
      <c r="V192">
        <v>1</v>
      </c>
      <c r="W192">
        <v>0</v>
      </c>
    </row>
    <row r="193" spans="1:23" ht="16.5" x14ac:dyDescent="0.3">
      <c r="A193" t="s">
        <v>258</v>
      </c>
      <c r="B193" t="s">
        <v>24</v>
      </c>
      <c r="C193" t="s">
        <v>25</v>
      </c>
      <c r="D193" t="s">
        <v>26</v>
      </c>
      <c r="E193">
        <v>25</v>
      </c>
      <c r="F193" t="s">
        <v>57</v>
      </c>
      <c r="G193" t="s">
        <v>38</v>
      </c>
      <c r="H193" s="1">
        <v>45060</v>
      </c>
      <c r="I193" s="2">
        <v>2.2999999999999998</v>
      </c>
      <c r="J193" t="s">
        <v>29</v>
      </c>
      <c r="K193" s="3">
        <v>3200</v>
      </c>
      <c r="L193" t="s">
        <v>58</v>
      </c>
      <c r="M193">
        <v>3</v>
      </c>
      <c r="N193">
        <v>3</v>
      </c>
      <c r="O193">
        <v>35</v>
      </c>
      <c r="P193" t="s">
        <v>22</v>
      </c>
      <c r="Q193" s="1">
        <v>45911</v>
      </c>
      <c r="R193" t="s">
        <v>40</v>
      </c>
      <c r="S193" t="s">
        <v>259</v>
      </c>
      <c r="T193" t="s">
        <v>60</v>
      </c>
      <c r="U193">
        <v>1</v>
      </c>
      <c r="V193">
        <v>0</v>
      </c>
      <c r="W193">
        <v>1</v>
      </c>
    </row>
    <row r="194" spans="1:23" ht="16.5" x14ac:dyDescent="0.3">
      <c r="A194" t="s">
        <v>260</v>
      </c>
      <c r="B194" t="s">
        <v>24</v>
      </c>
      <c r="C194" t="s">
        <v>36</v>
      </c>
      <c r="D194" t="s">
        <v>37</v>
      </c>
      <c r="E194">
        <v>39</v>
      </c>
      <c r="F194" t="s">
        <v>46</v>
      </c>
      <c r="G194" t="s">
        <v>28</v>
      </c>
      <c r="H194" s="1">
        <v>41475</v>
      </c>
      <c r="I194" s="2">
        <v>11.5</v>
      </c>
      <c r="J194" t="s">
        <v>39</v>
      </c>
      <c r="K194" s="3">
        <v>3050</v>
      </c>
      <c r="L194" t="s">
        <v>30</v>
      </c>
      <c r="M194">
        <v>5</v>
      </c>
      <c r="N194">
        <v>5</v>
      </c>
      <c r="O194">
        <v>23</v>
      </c>
      <c r="P194" t="s">
        <v>22</v>
      </c>
      <c r="Q194" s="1">
        <v>45663</v>
      </c>
      <c r="R194" t="s">
        <v>40</v>
      </c>
      <c r="S194" t="s">
        <v>107</v>
      </c>
      <c r="T194" t="s">
        <v>33</v>
      </c>
      <c r="U194">
        <v>1</v>
      </c>
      <c r="V194">
        <v>0</v>
      </c>
      <c r="W194">
        <v>1</v>
      </c>
    </row>
    <row r="195" spans="1:23" ht="16.5" x14ac:dyDescent="0.3">
      <c r="A195" t="s">
        <v>261</v>
      </c>
      <c r="B195" t="s">
        <v>24</v>
      </c>
      <c r="C195" t="s">
        <v>36</v>
      </c>
      <c r="D195" t="s">
        <v>26</v>
      </c>
      <c r="E195">
        <v>35</v>
      </c>
      <c r="F195" t="s">
        <v>27</v>
      </c>
      <c r="G195" t="s">
        <v>52</v>
      </c>
      <c r="H195" s="1">
        <v>42214</v>
      </c>
      <c r="I195" s="2">
        <v>10.4</v>
      </c>
      <c r="J195" t="s">
        <v>39</v>
      </c>
      <c r="K195" s="3">
        <v>3400</v>
      </c>
      <c r="L195" t="s">
        <v>30</v>
      </c>
      <c r="M195">
        <v>3</v>
      </c>
      <c r="N195">
        <v>3</v>
      </c>
      <c r="O195">
        <v>26</v>
      </c>
      <c r="P195" t="s">
        <v>21</v>
      </c>
      <c r="Q195" s="1"/>
      <c r="U195">
        <v>1</v>
      </c>
      <c r="V195">
        <v>1</v>
      </c>
      <c r="W195">
        <v>0</v>
      </c>
    </row>
    <row r="196" spans="1:23" ht="16.5" x14ac:dyDescent="0.3">
      <c r="A196" t="s">
        <v>262</v>
      </c>
      <c r="B196" t="s">
        <v>24</v>
      </c>
      <c r="C196" t="s">
        <v>45</v>
      </c>
      <c r="D196" t="s">
        <v>26</v>
      </c>
      <c r="E196">
        <v>32</v>
      </c>
      <c r="F196" t="s">
        <v>27</v>
      </c>
      <c r="G196" t="s">
        <v>28</v>
      </c>
      <c r="H196" s="1">
        <v>44583</v>
      </c>
      <c r="I196" s="2">
        <v>3.9</v>
      </c>
      <c r="J196" t="s">
        <v>50</v>
      </c>
      <c r="K196" s="3">
        <v>6300</v>
      </c>
      <c r="L196" t="s">
        <v>30</v>
      </c>
      <c r="M196">
        <v>1</v>
      </c>
      <c r="N196">
        <v>3</v>
      </c>
      <c r="O196">
        <v>17</v>
      </c>
      <c r="P196" t="s">
        <v>21</v>
      </c>
      <c r="Q196" s="1"/>
      <c r="U196">
        <v>1</v>
      </c>
      <c r="V196">
        <v>1</v>
      </c>
      <c r="W196">
        <v>0</v>
      </c>
    </row>
    <row r="197" spans="1:23" ht="16.5" x14ac:dyDescent="0.3">
      <c r="A197" t="s">
        <v>263</v>
      </c>
      <c r="B197" t="s">
        <v>35</v>
      </c>
      <c r="C197" t="s">
        <v>45</v>
      </c>
      <c r="D197" t="s">
        <v>26</v>
      </c>
      <c r="E197">
        <v>29</v>
      </c>
      <c r="F197" t="s">
        <v>27</v>
      </c>
      <c r="G197" t="s">
        <v>38</v>
      </c>
      <c r="H197" s="1">
        <v>44500</v>
      </c>
      <c r="I197" s="2">
        <v>4.2</v>
      </c>
      <c r="J197" t="s">
        <v>50</v>
      </c>
      <c r="K197" s="3">
        <v>6850</v>
      </c>
      <c r="L197" t="s">
        <v>30</v>
      </c>
      <c r="M197">
        <v>3</v>
      </c>
      <c r="N197">
        <v>2</v>
      </c>
      <c r="O197">
        <v>10</v>
      </c>
      <c r="P197" t="s">
        <v>21</v>
      </c>
      <c r="Q197" s="1"/>
      <c r="U197">
        <v>1</v>
      </c>
      <c r="V197">
        <v>1</v>
      </c>
      <c r="W197">
        <v>0</v>
      </c>
    </row>
    <row r="198" spans="1:23" ht="16.5" x14ac:dyDescent="0.3">
      <c r="A198" t="s">
        <v>264</v>
      </c>
      <c r="B198" t="s">
        <v>44</v>
      </c>
      <c r="C198" t="s">
        <v>36</v>
      </c>
      <c r="D198" t="s">
        <v>37</v>
      </c>
      <c r="E198">
        <v>21</v>
      </c>
      <c r="F198" t="s">
        <v>57</v>
      </c>
      <c r="G198" t="s">
        <v>38</v>
      </c>
      <c r="H198" s="1">
        <v>45978</v>
      </c>
      <c r="I198" s="2">
        <v>0.1</v>
      </c>
      <c r="J198" t="s">
        <v>64</v>
      </c>
      <c r="K198" s="3">
        <v>6350</v>
      </c>
      <c r="L198" t="s">
        <v>30</v>
      </c>
      <c r="M198">
        <v>4</v>
      </c>
      <c r="N198">
        <v>4</v>
      </c>
      <c r="O198">
        <v>31</v>
      </c>
      <c r="P198" t="s">
        <v>21</v>
      </c>
      <c r="Q198" s="1"/>
      <c r="U198">
        <v>1</v>
      </c>
      <c r="V198">
        <v>1</v>
      </c>
      <c r="W198">
        <v>0</v>
      </c>
    </row>
    <row r="199" spans="1:23" ht="16.5" x14ac:dyDescent="0.3">
      <c r="A199" t="s">
        <v>265</v>
      </c>
      <c r="B199" t="s">
        <v>35</v>
      </c>
      <c r="C199" t="s">
        <v>25</v>
      </c>
      <c r="D199" t="s">
        <v>37</v>
      </c>
      <c r="E199">
        <v>31</v>
      </c>
      <c r="F199" t="s">
        <v>27</v>
      </c>
      <c r="G199" t="s">
        <v>38</v>
      </c>
      <c r="H199" s="1">
        <v>44611</v>
      </c>
      <c r="I199" s="2">
        <v>2.6</v>
      </c>
      <c r="J199" t="s">
        <v>29</v>
      </c>
      <c r="K199" s="3">
        <v>3700</v>
      </c>
      <c r="L199" t="s">
        <v>58</v>
      </c>
      <c r="M199">
        <v>3</v>
      </c>
      <c r="N199">
        <v>5</v>
      </c>
      <c r="O199">
        <v>16</v>
      </c>
      <c r="P199" t="s">
        <v>22</v>
      </c>
      <c r="Q199" s="1">
        <v>45550</v>
      </c>
      <c r="R199" t="s">
        <v>31</v>
      </c>
      <c r="S199" t="s">
        <v>259</v>
      </c>
      <c r="T199" t="s">
        <v>60</v>
      </c>
      <c r="U199">
        <v>1</v>
      </c>
      <c r="V199">
        <v>0</v>
      </c>
      <c r="W199">
        <v>1</v>
      </c>
    </row>
    <row r="200" spans="1:23" ht="16.5" x14ac:dyDescent="0.3">
      <c r="A200" t="s">
        <v>266</v>
      </c>
      <c r="B200" t="s">
        <v>24</v>
      </c>
      <c r="C200" t="s">
        <v>25</v>
      </c>
      <c r="D200" t="s">
        <v>37</v>
      </c>
      <c r="E200">
        <v>22</v>
      </c>
      <c r="F200" t="s">
        <v>57</v>
      </c>
      <c r="G200" t="s">
        <v>52</v>
      </c>
      <c r="H200" s="1">
        <v>45860</v>
      </c>
      <c r="I200" s="2">
        <v>0.4</v>
      </c>
      <c r="J200" t="s">
        <v>64</v>
      </c>
      <c r="K200" s="3">
        <v>3050</v>
      </c>
      <c r="L200" t="s">
        <v>30</v>
      </c>
      <c r="M200">
        <v>3</v>
      </c>
      <c r="N200">
        <v>3</v>
      </c>
      <c r="O200">
        <v>31</v>
      </c>
      <c r="P200" t="s">
        <v>22</v>
      </c>
      <c r="Q200" s="1">
        <v>45993</v>
      </c>
      <c r="R200" t="s">
        <v>40</v>
      </c>
      <c r="S200" t="s">
        <v>92</v>
      </c>
      <c r="T200" t="s">
        <v>42</v>
      </c>
      <c r="U200">
        <v>1</v>
      </c>
      <c r="V200">
        <v>0</v>
      </c>
      <c r="W200">
        <v>1</v>
      </c>
    </row>
    <row r="201" spans="1:23" ht="16.5" x14ac:dyDescent="0.3">
      <c r="A201" t="s">
        <v>267</v>
      </c>
      <c r="B201" t="s">
        <v>44</v>
      </c>
      <c r="C201" t="s">
        <v>87</v>
      </c>
      <c r="D201" t="s">
        <v>37</v>
      </c>
      <c r="E201">
        <v>48</v>
      </c>
      <c r="F201" t="s">
        <v>88</v>
      </c>
      <c r="G201" t="s">
        <v>38</v>
      </c>
      <c r="H201" s="1">
        <v>43032</v>
      </c>
      <c r="I201" s="2">
        <v>8.1999999999999993</v>
      </c>
      <c r="J201" t="s">
        <v>39</v>
      </c>
      <c r="K201" s="3">
        <v>13250</v>
      </c>
      <c r="L201" t="s">
        <v>30</v>
      </c>
      <c r="M201">
        <v>3</v>
      </c>
      <c r="N201">
        <v>3</v>
      </c>
      <c r="O201">
        <v>14</v>
      </c>
      <c r="P201" t="s">
        <v>21</v>
      </c>
      <c r="Q201" s="1"/>
      <c r="U201">
        <v>1</v>
      </c>
      <c r="V201">
        <v>1</v>
      </c>
      <c r="W201">
        <v>0</v>
      </c>
    </row>
    <row r="202" spans="1:23" ht="16.5" x14ac:dyDescent="0.3">
      <c r="A202" t="s">
        <v>268</v>
      </c>
      <c r="B202" t="s">
        <v>35</v>
      </c>
      <c r="C202" t="s">
        <v>25</v>
      </c>
      <c r="D202" t="s">
        <v>37</v>
      </c>
      <c r="E202">
        <v>28</v>
      </c>
      <c r="F202" t="s">
        <v>27</v>
      </c>
      <c r="G202" t="s">
        <v>28</v>
      </c>
      <c r="H202" s="1">
        <v>44714</v>
      </c>
      <c r="I202" s="2">
        <v>3.6</v>
      </c>
      <c r="J202" t="s">
        <v>50</v>
      </c>
      <c r="K202" s="3">
        <v>3750</v>
      </c>
      <c r="L202" t="s">
        <v>30</v>
      </c>
      <c r="M202">
        <v>4</v>
      </c>
      <c r="N202">
        <v>3</v>
      </c>
      <c r="O202">
        <v>26</v>
      </c>
      <c r="P202" t="s">
        <v>21</v>
      </c>
      <c r="Q202" s="1"/>
      <c r="U202">
        <v>1</v>
      </c>
      <c r="V202">
        <v>1</v>
      </c>
      <c r="W202">
        <v>0</v>
      </c>
    </row>
    <row r="203" spans="1:23" ht="16.5" x14ac:dyDescent="0.3">
      <c r="A203" t="s">
        <v>269</v>
      </c>
      <c r="B203" t="s">
        <v>24</v>
      </c>
      <c r="C203" t="s">
        <v>36</v>
      </c>
      <c r="D203" t="s">
        <v>26</v>
      </c>
      <c r="E203">
        <v>31</v>
      </c>
      <c r="F203" t="s">
        <v>27</v>
      </c>
      <c r="G203" t="s">
        <v>28</v>
      </c>
      <c r="H203" s="1">
        <v>44553</v>
      </c>
      <c r="I203" s="2">
        <v>4</v>
      </c>
      <c r="J203" t="s">
        <v>50</v>
      </c>
      <c r="K203" s="3">
        <v>3300</v>
      </c>
      <c r="L203" t="s">
        <v>30</v>
      </c>
      <c r="M203">
        <v>3</v>
      </c>
      <c r="N203">
        <v>3</v>
      </c>
      <c r="O203">
        <v>15</v>
      </c>
      <c r="P203" t="s">
        <v>21</v>
      </c>
      <c r="Q203" s="1"/>
      <c r="U203">
        <v>1</v>
      </c>
      <c r="V203">
        <v>1</v>
      </c>
      <c r="W203">
        <v>0</v>
      </c>
    </row>
    <row r="204" spans="1:23" ht="16.5" x14ac:dyDescent="0.3">
      <c r="A204" t="s">
        <v>270</v>
      </c>
      <c r="B204" t="s">
        <v>55</v>
      </c>
      <c r="C204" t="s">
        <v>36</v>
      </c>
      <c r="D204" t="s">
        <v>37</v>
      </c>
      <c r="E204">
        <v>42</v>
      </c>
      <c r="F204" t="s">
        <v>46</v>
      </c>
      <c r="G204" t="s">
        <v>38</v>
      </c>
      <c r="H204" s="1">
        <v>42965</v>
      </c>
      <c r="I204" s="2">
        <v>8.4</v>
      </c>
      <c r="J204" t="s">
        <v>39</v>
      </c>
      <c r="K204" s="3">
        <v>7150</v>
      </c>
      <c r="L204" t="s">
        <v>30</v>
      </c>
      <c r="M204">
        <v>4</v>
      </c>
      <c r="N204">
        <v>3</v>
      </c>
      <c r="O204">
        <v>30</v>
      </c>
      <c r="P204" t="s">
        <v>21</v>
      </c>
      <c r="Q204" s="1"/>
      <c r="U204">
        <v>1</v>
      </c>
      <c r="V204">
        <v>1</v>
      </c>
      <c r="W204">
        <v>0</v>
      </c>
    </row>
    <row r="205" spans="1:23" ht="16.5" x14ac:dyDescent="0.3">
      <c r="A205" t="s">
        <v>271</v>
      </c>
      <c r="B205" t="s">
        <v>73</v>
      </c>
      <c r="C205" t="s">
        <v>36</v>
      </c>
      <c r="D205" t="s">
        <v>37</v>
      </c>
      <c r="E205">
        <v>41</v>
      </c>
      <c r="F205" t="s">
        <v>46</v>
      </c>
      <c r="G205" t="s">
        <v>52</v>
      </c>
      <c r="H205" s="1">
        <v>43276</v>
      </c>
      <c r="I205" s="2">
        <v>7.5</v>
      </c>
      <c r="J205" t="s">
        <v>39</v>
      </c>
      <c r="K205" s="3">
        <v>4850</v>
      </c>
      <c r="L205" t="s">
        <v>58</v>
      </c>
      <c r="M205">
        <v>5</v>
      </c>
      <c r="N205">
        <v>3</v>
      </c>
      <c r="O205">
        <v>43</v>
      </c>
      <c r="P205" t="s">
        <v>21</v>
      </c>
      <c r="Q205" s="1"/>
      <c r="U205">
        <v>1</v>
      </c>
      <c r="V205">
        <v>1</v>
      </c>
      <c r="W205">
        <v>0</v>
      </c>
    </row>
    <row r="206" spans="1:23" ht="16.5" x14ac:dyDescent="0.3">
      <c r="A206" t="s">
        <v>272</v>
      </c>
      <c r="B206" t="s">
        <v>35</v>
      </c>
      <c r="C206" t="s">
        <v>45</v>
      </c>
      <c r="D206" t="s">
        <v>37</v>
      </c>
      <c r="E206">
        <v>40</v>
      </c>
      <c r="F206" t="s">
        <v>46</v>
      </c>
      <c r="G206" t="s">
        <v>28</v>
      </c>
      <c r="H206" s="1">
        <v>40769</v>
      </c>
      <c r="I206" s="2">
        <v>14.4</v>
      </c>
      <c r="J206" t="s">
        <v>39</v>
      </c>
      <c r="K206" s="3">
        <v>8150</v>
      </c>
      <c r="L206" t="s">
        <v>30</v>
      </c>
      <c r="M206">
        <v>4</v>
      </c>
      <c r="N206">
        <v>3</v>
      </c>
      <c r="O206">
        <v>13</v>
      </c>
      <c r="P206" t="s">
        <v>21</v>
      </c>
      <c r="Q206" s="1"/>
      <c r="U206">
        <v>1</v>
      </c>
      <c r="V206">
        <v>1</v>
      </c>
      <c r="W206">
        <v>0</v>
      </c>
    </row>
    <row r="207" spans="1:23" ht="16.5" x14ac:dyDescent="0.3">
      <c r="A207" t="s">
        <v>273</v>
      </c>
      <c r="B207" t="s">
        <v>35</v>
      </c>
      <c r="C207" t="s">
        <v>87</v>
      </c>
      <c r="D207" t="s">
        <v>37</v>
      </c>
      <c r="E207">
        <v>51</v>
      </c>
      <c r="F207" t="s">
        <v>88</v>
      </c>
      <c r="G207" t="s">
        <v>28</v>
      </c>
      <c r="H207" s="1">
        <v>45126</v>
      </c>
      <c r="I207" s="2">
        <v>2.5</v>
      </c>
      <c r="J207" t="s">
        <v>29</v>
      </c>
      <c r="K207" s="3">
        <v>8350</v>
      </c>
      <c r="L207" t="s">
        <v>58</v>
      </c>
      <c r="M207">
        <v>4</v>
      </c>
      <c r="N207">
        <v>5</v>
      </c>
      <c r="O207">
        <v>26</v>
      </c>
      <c r="P207" t="s">
        <v>21</v>
      </c>
      <c r="Q207" s="1"/>
      <c r="U207">
        <v>1</v>
      </c>
      <c r="V207">
        <v>1</v>
      </c>
      <c r="W207">
        <v>0</v>
      </c>
    </row>
    <row r="208" spans="1:23" ht="16.5" x14ac:dyDescent="0.3">
      <c r="A208" t="s">
        <v>274</v>
      </c>
      <c r="B208" t="s">
        <v>70</v>
      </c>
      <c r="C208" t="s">
        <v>87</v>
      </c>
      <c r="D208" t="s">
        <v>26</v>
      </c>
      <c r="E208">
        <v>48</v>
      </c>
      <c r="F208" t="s">
        <v>88</v>
      </c>
      <c r="G208" t="s">
        <v>52</v>
      </c>
      <c r="H208" s="1">
        <v>43687</v>
      </c>
      <c r="I208" s="2">
        <v>6.4</v>
      </c>
      <c r="J208" t="s">
        <v>39</v>
      </c>
      <c r="K208" s="3">
        <v>8600</v>
      </c>
      <c r="L208" t="s">
        <v>30</v>
      </c>
      <c r="M208">
        <v>3</v>
      </c>
      <c r="N208">
        <v>5</v>
      </c>
      <c r="O208">
        <v>12</v>
      </c>
      <c r="P208" t="s">
        <v>21</v>
      </c>
      <c r="Q208" s="1"/>
      <c r="U208">
        <v>1</v>
      </c>
      <c r="V208">
        <v>1</v>
      </c>
      <c r="W208">
        <v>0</v>
      </c>
    </row>
    <row r="209" spans="1:23" ht="16.5" x14ac:dyDescent="0.3">
      <c r="A209" t="s">
        <v>275</v>
      </c>
      <c r="B209" t="s">
        <v>48</v>
      </c>
      <c r="C209" t="s">
        <v>87</v>
      </c>
      <c r="D209" t="s">
        <v>26</v>
      </c>
      <c r="E209">
        <v>44</v>
      </c>
      <c r="F209" t="s">
        <v>46</v>
      </c>
      <c r="G209" t="s">
        <v>52</v>
      </c>
      <c r="H209" s="1">
        <v>43664</v>
      </c>
      <c r="I209" s="2">
        <v>6.5</v>
      </c>
      <c r="J209" t="s">
        <v>39</v>
      </c>
      <c r="K209" s="3">
        <v>14200</v>
      </c>
      <c r="L209" t="s">
        <v>30</v>
      </c>
      <c r="M209">
        <v>5</v>
      </c>
      <c r="N209">
        <v>4</v>
      </c>
      <c r="O209">
        <v>21</v>
      </c>
      <c r="P209" t="s">
        <v>21</v>
      </c>
      <c r="Q209" s="1"/>
      <c r="U209">
        <v>1</v>
      </c>
      <c r="V209">
        <v>1</v>
      </c>
      <c r="W209">
        <v>0</v>
      </c>
    </row>
    <row r="210" spans="1:23" ht="16.5" x14ac:dyDescent="0.3">
      <c r="A210" t="s">
        <v>276</v>
      </c>
      <c r="B210" t="s">
        <v>35</v>
      </c>
      <c r="C210" t="s">
        <v>25</v>
      </c>
      <c r="D210" t="s">
        <v>26</v>
      </c>
      <c r="E210">
        <v>30</v>
      </c>
      <c r="F210" t="s">
        <v>27</v>
      </c>
      <c r="G210" t="s">
        <v>38</v>
      </c>
      <c r="H210" s="1">
        <v>44035</v>
      </c>
      <c r="I210" s="2">
        <v>4</v>
      </c>
      <c r="J210" t="s">
        <v>50</v>
      </c>
      <c r="K210" s="3">
        <v>2850</v>
      </c>
      <c r="L210" t="s">
        <v>58</v>
      </c>
      <c r="M210">
        <v>2</v>
      </c>
      <c r="N210">
        <v>4</v>
      </c>
      <c r="O210">
        <v>8</v>
      </c>
      <c r="P210" t="s">
        <v>22</v>
      </c>
      <c r="Q210" s="1">
        <v>45514</v>
      </c>
      <c r="R210" t="s">
        <v>31</v>
      </c>
      <c r="S210" t="s">
        <v>41</v>
      </c>
      <c r="T210" t="s">
        <v>151</v>
      </c>
      <c r="U210">
        <v>1</v>
      </c>
      <c r="V210">
        <v>0</v>
      </c>
      <c r="W210">
        <v>1</v>
      </c>
    </row>
    <row r="211" spans="1:23" ht="16.5" x14ac:dyDescent="0.3">
      <c r="A211" t="s">
        <v>277</v>
      </c>
      <c r="B211" t="s">
        <v>70</v>
      </c>
      <c r="C211" t="s">
        <v>36</v>
      </c>
      <c r="D211" t="s">
        <v>37</v>
      </c>
      <c r="E211">
        <v>25</v>
      </c>
      <c r="F211" t="s">
        <v>57</v>
      </c>
      <c r="G211" t="s">
        <v>38</v>
      </c>
      <c r="H211" s="1">
        <v>45347</v>
      </c>
      <c r="I211" s="2">
        <v>1.8</v>
      </c>
      <c r="J211" t="s">
        <v>29</v>
      </c>
      <c r="K211" s="3">
        <v>4850</v>
      </c>
      <c r="L211" t="s">
        <v>58</v>
      </c>
      <c r="M211">
        <v>3</v>
      </c>
      <c r="N211">
        <v>3</v>
      </c>
      <c r="O211">
        <v>32</v>
      </c>
      <c r="P211" t="s">
        <v>21</v>
      </c>
      <c r="Q211" s="1"/>
      <c r="U211">
        <v>1</v>
      </c>
      <c r="V211">
        <v>1</v>
      </c>
      <c r="W211">
        <v>0</v>
      </c>
    </row>
    <row r="212" spans="1:23" ht="16.5" x14ac:dyDescent="0.3">
      <c r="A212" t="s">
        <v>278</v>
      </c>
      <c r="B212" t="s">
        <v>73</v>
      </c>
      <c r="C212" t="s">
        <v>36</v>
      </c>
      <c r="D212" t="s">
        <v>37</v>
      </c>
      <c r="E212">
        <v>35</v>
      </c>
      <c r="F212" t="s">
        <v>27</v>
      </c>
      <c r="G212" t="s">
        <v>38</v>
      </c>
      <c r="H212" s="1">
        <v>43485</v>
      </c>
      <c r="I212" s="2">
        <v>6.9</v>
      </c>
      <c r="J212" t="s">
        <v>39</v>
      </c>
      <c r="K212" s="3">
        <v>5650</v>
      </c>
      <c r="L212" t="s">
        <v>58</v>
      </c>
      <c r="M212">
        <v>2</v>
      </c>
      <c r="N212">
        <v>4</v>
      </c>
      <c r="O212">
        <v>18</v>
      </c>
      <c r="P212" t="s">
        <v>21</v>
      </c>
      <c r="Q212" s="1"/>
      <c r="U212">
        <v>1</v>
      </c>
      <c r="V212">
        <v>1</v>
      </c>
      <c r="W212">
        <v>0</v>
      </c>
    </row>
    <row r="213" spans="1:23" ht="16.5" x14ac:dyDescent="0.3">
      <c r="A213" t="s">
        <v>279</v>
      </c>
      <c r="B213" t="s">
        <v>70</v>
      </c>
      <c r="C213" t="s">
        <v>87</v>
      </c>
      <c r="D213" t="s">
        <v>37</v>
      </c>
      <c r="E213">
        <v>44</v>
      </c>
      <c r="F213" t="s">
        <v>46</v>
      </c>
      <c r="G213" t="s">
        <v>52</v>
      </c>
      <c r="H213" s="1">
        <v>43067</v>
      </c>
      <c r="I213" s="2">
        <v>6.1</v>
      </c>
      <c r="J213" t="s">
        <v>39</v>
      </c>
      <c r="K213" s="3">
        <v>9900</v>
      </c>
      <c r="L213" t="s">
        <v>58</v>
      </c>
      <c r="M213">
        <v>2</v>
      </c>
      <c r="N213">
        <v>3</v>
      </c>
      <c r="O213">
        <v>29</v>
      </c>
      <c r="P213" t="s">
        <v>22</v>
      </c>
      <c r="Q213" s="1">
        <v>45297</v>
      </c>
      <c r="R213" t="s">
        <v>31</v>
      </c>
      <c r="S213" t="s">
        <v>107</v>
      </c>
      <c r="T213" t="s">
        <v>151</v>
      </c>
      <c r="U213">
        <v>1</v>
      </c>
      <c r="V213">
        <v>0</v>
      </c>
      <c r="W213">
        <v>1</v>
      </c>
    </row>
    <row r="214" spans="1:23" ht="16.5" x14ac:dyDescent="0.3">
      <c r="A214" t="s">
        <v>280</v>
      </c>
      <c r="B214" t="s">
        <v>24</v>
      </c>
      <c r="C214" t="s">
        <v>87</v>
      </c>
      <c r="D214" t="s">
        <v>37</v>
      </c>
      <c r="E214">
        <v>44</v>
      </c>
      <c r="F214" t="s">
        <v>46</v>
      </c>
      <c r="G214" t="s">
        <v>28</v>
      </c>
      <c r="H214" s="1">
        <v>42269</v>
      </c>
      <c r="I214" s="2">
        <v>10.3</v>
      </c>
      <c r="J214" t="s">
        <v>39</v>
      </c>
      <c r="K214" s="3">
        <v>7850</v>
      </c>
      <c r="L214" t="s">
        <v>58</v>
      </c>
      <c r="M214">
        <v>3</v>
      </c>
      <c r="N214">
        <v>3</v>
      </c>
      <c r="O214">
        <v>32</v>
      </c>
      <c r="P214" t="s">
        <v>21</v>
      </c>
      <c r="Q214" s="1"/>
      <c r="U214">
        <v>1</v>
      </c>
      <c r="V214">
        <v>1</v>
      </c>
      <c r="W214">
        <v>0</v>
      </c>
    </row>
    <row r="215" spans="1:23" ht="16.5" x14ac:dyDescent="0.3">
      <c r="A215" t="s">
        <v>281</v>
      </c>
      <c r="B215" t="s">
        <v>35</v>
      </c>
      <c r="C215" t="s">
        <v>25</v>
      </c>
      <c r="D215" t="s">
        <v>37</v>
      </c>
      <c r="E215">
        <v>32</v>
      </c>
      <c r="F215" t="s">
        <v>27</v>
      </c>
      <c r="G215" t="s">
        <v>28</v>
      </c>
      <c r="H215" s="1">
        <v>43479</v>
      </c>
      <c r="I215" s="2">
        <v>5.4</v>
      </c>
      <c r="J215" t="s">
        <v>39</v>
      </c>
      <c r="K215" s="3">
        <v>3700</v>
      </c>
      <c r="L215" t="s">
        <v>58</v>
      </c>
      <c r="M215">
        <v>3</v>
      </c>
      <c r="N215">
        <v>5</v>
      </c>
      <c r="O215">
        <v>30</v>
      </c>
      <c r="P215" t="s">
        <v>22</v>
      </c>
      <c r="Q215" s="1">
        <v>45469</v>
      </c>
      <c r="R215" t="s">
        <v>31</v>
      </c>
      <c r="S215" t="s">
        <v>32</v>
      </c>
      <c r="T215" t="s">
        <v>85</v>
      </c>
      <c r="U215">
        <v>1</v>
      </c>
      <c r="V215">
        <v>0</v>
      </c>
      <c r="W215">
        <v>1</v>
      </c>
    </row>
    <row r="216" spans="1:23" ht="16.5" x14ac:dyDescent="0.3">
      <c r="A216" t="s">
        <v>282</v>
      </c>
      <c r="B216" t="s">
        <v>70</v>
      </c>
      <c r="C216" t="s">
        <v>36</v>
      </c>
      <c r="D216" t="s">
        <v>37</v>
      </c>
      <c r="E216">
        <v>29</v>
      </c>
      <c r="F216" t="s">
        <v>27</v>
      </c>
      <c r="G216" t="s">
        <v>38</v>
      </c>
      <c r="H216" s="1">
        <v>44885</v>
      </c>
      <c r="I216" s="2">
        <v>2.1</v>
      </c>
      <c r="J216" t="s">
        <v>29</v>
      </c>
      <c r="K216" s="3">
        <v>6350</v>
      </c>
      <c r="L216" t="s">
        <v>58</v>
      </c>
      <c r="M216">
        <v>2</v>
      </c>
      <c r="N216">
        <v>3</v>
      </c>
      <c r="O216">
        <v>21</v>
      </c>
      <c r="P216" t="s">
        <v>22</v>
      </c>
      <c r="Q216" s="1">
        <v>45663</v>
      </c>
      <c r="R216" t="s">
        <v>40</v>
      </c>
      <c r="S216" t="s">
        <v>107</v>
      </c>
      <c r="T216" t="s">
        <v>151</v>
      </c>
      <c r="U216">
        <v>1</v>
      </c>
      <c r="V216">
        <v>0</v>
      </c>
      <c r="W216">
        <v>1</v>
      </c>
    </row>
    <row r="217" spans="1:23" ht="16.5" x14ac:dyDescent="0.3">
      <c r="A217" t="s">
        <v>283</v>
      </c>
      <c r="B217" t="s">
        <v>73</v>
      </c>
      <c r="C217" t="s">
        <v>45</v>
      </c>
      <c r="D217" t="s">
        <v>37</v>
      </c>
      <c r="E217">
        <v>45</v>
      </c>
      <c r="F217" t="s">
        <v>46</v>
      </c>
      <c r="G217" t="s">
        <v>38</v>
      </c>
      <c r="H217" s="1">
        <v>42149</v>
      </c>
      <c r="I217" s="2">
        <v>10.6</v>
      </c>
      <c r="J217" t="s">
        <v>39</v>
      </c>
      <c r="K217" s="3">
        <v>7700</v>
      </c>
      <c r="L217" t="s">
        <v>58</v>
      </c>
      <c r="M217">
        <v>4</v>
      </c>
      <c r="N217">
        <v>2</v>
      </c>
      <c r="O217">
        <v>29</v>
      </c>
      <c r="P217" t="s">
        <v>21</v>
      </c>
      <c r="Q217" s="1"/>
      <c r="U217">
        <v>1</v>
      </c>
      <c r="V217">
        <v>1</v>
      </c>
      <c r="W217">
        <v>0</v>
      </c>
    </row>
    <row r="218" spans="1:23" ht="16.5" x14ac:dyDescent="0.3">
      <c r="A218" t="s">
        <v>284</v>
      </c>
      <c r="B218" t="s">
        <v>48</v>
      </c>
      <c r="C218" t="s">
        <v>45</v>
      </c>
      <c r="D218" t="s">
        <v>26</v>
      </c>
      <c r="E218">
        <v>31</v>
      </c>
      <c r="F218" t="s">
        <v>27</v>
      </c>
      <c r="G218" t="s">
        <v>28</v>
      </c>
      <c r="H218" s="1">
        <v>43790</v>
      </c>
      <c r="I218" s="2">
        <v>6.1</v>
      </c>
      <c r="J218" t="s">
        <v>39</v>
      </c>
      <c r="K218" s="3">
        <v>11050</v>
      </c>
      <c r="L218" t="s">
        <v>30</v>
      </c>
      <c r="M218">
        <v>3</v>
      </c>
      <c r="N218">
        <v>4</v>
      </c>
      <c r="O218">
        <v>11</v>
      </c>
      <c r="P218" t="s">
        <v>21</v>
      </c>
      <c r="Q218" s="1"/>
      <c r="U218">
        <v>1</v>
      </c>
      <c r="V218">
        <v>1</v>
      </c>
      <c r="W218">
        <v>0</v>
      </c>
    </row>
    <row r="219" spans="1:23" ht="16.5" x14ac:dyDescent="0.3">
      <c r="A219" t="s">
        <v>285</v>
      </c>
      <c r="B219" t="s">
        <v>48</v>
      </c>
      <c r="C219" t="s">
        <v>45</v>
      </c>
      <c r="D219" t="s">
        <v>37</v>
      </c>
      <c r="E219">
        <v>41</v>
      </c>
      <c r="F219" t="s">
        <v>46</v>
      </c>
      <c r="G219" t="s">
        <v>38</v>
      </c>
      <c r="H219" s="1">
        <v>44698</v>
      </c>
      <c r="I219" s="2">
        <v>3.6</v>
      </c>
      <c r="J219" t="s">
        <v>50</v>
      </c>
      <c r="K219" s="3">
        <v>12000</v>
      </c>
      <c r="L219" t="s">
        <v>30</v>
      </c>
      <c r="M219">
        <v>4</v>
      </c>
      <c r="N219">
        <v>5</v>
      </c>
      <c r="O219">
        <v>21</v>
      </c>
      <c r="P219" t="s">
        <v>21</v>
      </c>
      <c r="Q219" s="1"/>
      <c r="U219">
        <v>1</v>
      </c>
      <c r="V219">
        <v>1</v>
      </c>
      <c r="W219">
        <v>0</v>
      </c>
    </row>
    <row r="220" spans="1:23" ht="16.5" x14ac:dyDescent="0.3">
      <c r="A220" t="s">
        <v>286</v>
      </c>
      <c r="B220" t="s">
        <v>48</v>
      </c>
      <c r="C220" t="s">
        <v>36</v>
      </c>
      <c r="D220" t="s">
        <v>26</v>
      </c>
      <c r="E220">
        <v>36</v>
      </c>
      <c r="F220" t="s">
        <v>46</v>
      </c>
      <c r="G220" t="s">
        <v>38</v>
      </c>
      <c r="H220" s="1">
        <v>41832</v>
      </c>
      <c r="I220" s="2">
        <v>9.8000000000000007</v>
      </c>
      <c r="J220" t="s">
        <v>39</v>
      </c>
      <c r="K220" s="3">
        <v>8000</v>
      </c>
      <c r="L220" t="s">
        <v>58</v>
      </c>
      <c r="M220">
        <v>3</v>
      </c>
      <c r="N220">
        <v>3</v>
      </c>
      <c r="O220">
        <v>26</v>
      </c>
      <c r="P220" t="s">
        <v>22</v>
      </c>
      <c r="Q220" s="1">
        <v>45403</v>
      </c>
      <c r="R220" t="s">
        <v>31</v>
      </c>
      <c r="S220" t="s">
        <v>153</v>
      </c>
      <c r="T220" t="s">
        <v>60</v>
      </c>
      <c r="U220">
        <v>1</v>
      </c>
      <c r="V220">
        <v>0</v>
      </c>
      <c r="W220">
        <v>1</v>
      </c>
    </row>
    <row r="221" spans="1:23" ht="16.5" x14ac:dyDescent="0.3">
      <c r="A221" t="s">
        <v>287</v>
      </c>
      <c r="B221" t="s">
        <v>73</v>
      </c>
      <c r="C221" t="s">
        <v>45</v>
      </c>
      <c r="D221" t="s">
        <v>26</v>
      </c>
      <c r="E221">
        <v>30</v>
      </c>
      <c r="F221" t="s">
        <v>27</v>
      </c>
      <c r="G221" t="s">
        <v>38</v>
      </c>
      <c r="H221" s="1">
        <v>44767</v>
      </c>
      <c r="I221" s="2">
        <v>3.4</v>
      </c>
      <c r="J221" t="s">
        <v>50</v>
      </c>
      <c r="K221" s="3">
        <v>7600</v>
      </c>
      <c r="L221" t="s">
        <v>30</v>
      </c>
      <c r="M221">
        <v>5</v>
      </c>
      <c r="N221">
        <v>4</v>
      </c>
      <c r="O221">
        <v>15</v>
      </c>
      <c r="P221" t="s">
        <v>21</v>
      </c>
      <c r="Q221" s="1"/>
      <c r="U221">
        <v>1</v>
      </c>
      <c r="V221">
        <v>1</v>
      </c>
      <c r="W221">
        <v>0</v>
      </c>
    </row>
    <row r="222" spans="1:23" ht="16.5" x14ac:dyDescent="0.3">
      <c r="A222" t="s">
        <v>288</v>
      </c>
      <c r="B222" t="s">
        <v>55</v>
      </c>
      <c r="C222" t="s">
        <v>25</v>
      </c>
      <c r="D222" t="s">
        <v>26</v>
      </c>
      <c r="E222">
        <v>24</v>
      </c>
      <c r="F222" t="s">
        <v>57</v>
      </c>
      <c r="G222" t="s">
        <v>28</v>
      </c>
      <c r="H222" s="1">
        <v>45218</v>
      </c>
      <c r="I222" s="2">
        <v>2.2000000000000002</v>
      </c>
      <c r="J222" t="s">
        <v>29</v>
      </c>
      <c r="K222" s="3">
        <v>4400</v>
      </c>
      <c r="L222" t="s">
        <v>30</v>
      </c>
      <c r="M222">
        <v>3</v>
      </c>
      <c r="N222">
        <v>3</v>
      </c>
      <c r="O222">
        <v>18</v>
      </c>
      <c r="P222" t="s">
        <v>21</v>
      </c>
      <c r="Q222" s="1"/>
      <c r="U222">
        <v>1</v>
      </c>
      <c r="V222">
        <v>1</v>
      </c>
      <c r="W222">
        <v>0</v>
      </c>
    </row>
    <row r="223" spans="1:23" ht="16.5" x14ac:dyDescent="0.3">
      <c r="A223" t="s">
        <v>289</v>
      </c>
      <c r="B223" t="s">
        <v>70</v>
      </c>
      <c r="C223" t="s">
        <v>25</v>
      </c>
      <c r="D223" t="s">
        <v>37</v>
      </c>
      <c r="E223">
        <v>23</v>
      </c>
      <c r="F223" t="s">
        <v>57</v>
      </c>
      <c r="G223" t="s">
        <v>38</v>
      </c>
      <c r="H223" s="1">
        <v>45881</v>
      </c>
      <c r="I223" s="2">
        <v>0.4</v>
      </c>
      <c r="J223" t="s">
        <v>64</v>
      </c>
      <c r="K223" s="3">
        <v>4400</v>
      </c>
      <c r="L223" t="s">
        <v>58</v>
      </c>
      <c r="M223">
        <v>4</v>
      </c>
      <c r="N223">
        <v>3</v>
      </c>
      <c r="O223">
        <v>7</v>
      </c>
      <c r="P223" t="s">
        <v>21</v>
      </c>
      <c r="Q223" s="1"/>
      <c r="U223">
        <v>1</v>
      </c>
      <c r="V223">
        <v>1</v>
      </c>
      <c r="W223">
        <v>0</v>
      </c>
    </row>
    <row r="224" spans="1:23" ht="16.5" x14ac:dyDescent="0.3">
      <c r="A224" t="s">
        <v>290</v>
      </c>
      <c r="B224" t="s">
        <v>70</v>
      </c>
      <c r="C224" t="s">
        <v>25</v>
      </c>
      <c r="D224" t="s">
        <v>26</v>
      </c>
      <c r="E224">
        <v>21</v>
      </c>
      <c r="F224" t="s">
        <v>57</v>
      </c>
      <c r="G224" t="s">
        <v>28</v>
      </c>
      <c r="H224" s="1">
        <v>45933</v>
      </c>
      <c r="I224" s="2">
        <v>0.2</v>
      </c>
      <c r="J224" t="s">
        <v>64</v>
      </c>
      <c r="K224" s="3">
        <v>3850</v>
      </c>
      <c r="L224" t="s">
        <v>58</v>
      </c>
      <c r="M224">
        <v>3</v>
      </c>
      <c r="N224">
        <v>4</v>
      </c>
      <c r="O224">
        <v>30</v>
      </c>
      <c r="P224" t="s">
        <v>21</v>
      </c>
      <c r="Q224" s="1"/>
      <c r="U224">
        <v>1</v>
      </c>
      <c r="V224">
        <v>1</v>
      </c>
      <c r="W224">
        <v>0</v>
      </c>
    </row>
    <row r="225" spans="1:23" ht="16.5" x14ac:dyDescent="0.3">
      <c r="A225" t="s">
        <v>291</v>
      </c>
      <c r="B225" t="s">
        <v>70</v>
      </c>
      <c r="C225" t="s">
        <v>25</v>
      </c>
      <c r="D225" t="s">
        <v>37</v>
      </c>
      <c r="E225">
        <v>23</v>
      </c>
      <c r="F225" t="s">
        <v>57</v>
      </c>
      <c r="G225" t="s">
        <v>38</v>
      </c>
      <c r="H225" s="1">
        <v>45520</v>
      </c>
      <c r="I225" s="2">
        <v>0.5</v>
      </c>
      <c r="J225" t="s">
        <v>64</v>
      </c>
      <c r="K225" s="3">
        <v>4450</v>
      </c>
      <c r="L225" t="s">
        <v>30</v>
      </c>
      <c r="M225">
        <v>3</v>
      </c>
      <c r="N225">
        <v>4</v>
      </c>
      <c r="O225">
        <v>33</v>
      </c>
      <c r="P225" t="s">
        <v>22</v>
      </c>
      <c r="Q225" s="1">
        <v>45695</v>
      </c>
      <c r="R225" t="s">
        <v>40</v>
      </c>
      <c r="S225" t="s">
        <v>103</v>
      </c>
      <c r="T225" t="s">
        <v>151</v>
      </c>
      <c r="U225">
        <v>1</v>
      </c>
      <c r="V225">
        <v>0</v>
      </c>
      <c r="W225">
        <v>1</v>
      </c>
    </row>
    <row r="226" spans="1:23" ht="16.5" x14ac:dyDescent="0.3">
      <c r="A226" t="s">
        <v>292</v>
      </c>
      <c r="B226" t="s">
        <v>24</v>
      </c>
      <c r="C226" t="s">
        <v>25</v>
      </c>
      <c r="D226" t="s">
        <v>26</v>
      </c>
      <c r="E226">
        <v>31</v>
      </c>
      <c r="F226" t="s">
        <v>27</v>
      </c>
      <c r="G226" t="s">
        <v>38</v>
      </c>
      <c r="H226" s="1">
        <v>44203</v>
      </c>
      <c r="I226" s="2">
        <v>3.2</v>
      </c>
      <c r="J226" t="s">
        <v>50</v>
      </c>
      <c r="K226" s="3">
        <v>2800</v>
      </c>
      <c r="L226" t="s">
        <v>58</v>
      </c>
      <c r="M226">
        <v>4</v>
      </c>
      <c r="N226">
        <v>2</v>
      </c>
      <c r="O226">
        <v>30</v>
      </c>
      <c r="P226" t="s">
        <v>22</v>
      </c>
      <c r="Q226" s="1">
        <v>45388</v>
      </c>
      <c r="R226" t="s">
        <v>31</v>
      </c>
      <c r="S226" t="s">
        <v>153</v>
      </c>
      <c r="T226" t="s">
        <v>42</v>
      </c>
      <c r="U226">
        <v>1</v>
      </c>
      <c r="V226">
        <v>0</v>
      </c>
      <c r="W226">
        <v>1</v>
      </c>
    </row>
    <row r="227" spans="1:23" ht="16.5" x14ac:dyDescent="0.3">
      <c r="A227" t="s">
        <v>293</v>
      </c>
      <c r="B227" t="s">
        <v>48</v>
      </c>
      <c r="C227" t="s">
        <v>25</v>
      </c>
      <c r="D227" t="s">
        <v>26</v>
      </c>
      <c r="E227">
        <v>24</v>
      </c>
      <c r="F227" t="s">
        <v>57</v>
      </c>
      <c r="G227" t="s">
        <v>38</v>
      </c>
      <c r="H227" s="1">
        <v>45440</v>
      </c>
      <c r="I227" s="2">
        <v>1.6</v>
      </c>
      <c r="J227" t="s">
        <v>29</v>
      </c>
      <c r="K227" s="3">
        <v>7000</v>
      </c>
      <c r="L227" t="s">
        <v>58</v>
      </c>
      <c r="M227">
        <v>3</v>
      </c>
      <c r="N227">
        <v>3</v>
      </c>
      <c r="O227">
        <v>20</v>
      </c>
      <c r="P227" t="s">
        <v>21</v>
      </c>
      <c r="Q227" s="1"/>
      <c r="U227">
        <v>1</v>
      </c>
      <c r="V227">
        <v>1</v>
      </c>
      <c r="W227">
        <v>0</v>
      </c>
    </row>
    <row r="228" spans="1:23" ht="16.5" x14ac:dyDescent="0.3">
      <c r="A228" t="s">
        <v>294</v>
      </c>
      <c r="B228" t="s">
        <v>24</v>
      </c>
      <c r="C228" t="s">
        <v>25</v>
      </c>
      <c r="D228" t="s">
        <v>37</v>
      </c>
      <c r="E228">
        <v>29</v>
      </c>
      <c r="F228" t="s">
        <v>27</v>
      </c>
      <c r="G228" t="s">
        <v>52</v>
      </c>
      <c r="H228" s="1">
        <v>44597</v>
      </c>
      <c r="I228" s="2">
        <v>3.9</v>
      </c>
      <c r="J228" t="s">
        <v>50</v>
      </c>
      <c r="K228" s="3">
        <v>2550</v>
      </c>
      <c r="L228" t="s">
        <v>58</v>
      </c>
      <c r="M228">
        <v>2</v>
      </c>
      <c r="N228">
        <v>3</v>
      </c>
      <c r="O228">
        <v>45</v>
      </c>
      <c r="P228" t="s">
        <v>21</v>
      </c>
      <c r="Q228" s="1"/>
      <c r="U228">
        <v>1</v>
      </c>
      <c r="V228">
        <v>1</v>
      </c>
      <c r="W228">
        <v>0</v>
      </c>
    </row>
    <row r="229" spans="1:23" ht="16.5" x14ac:dyDescent="0.3">
      <c r="A229" t="s">
        <v>295</v>
      </c>
      <c r="B229" t="s">
        <v>48</v>
      </c>
      <c r="C229" t="s">
        <v>25</v>
      </c>
      <c r="D229" t="s">
        <v>37</v>
      </c>
      <c r="E229">
        <v>24</v>
      </c>
      <c r="F229" t="s">
        <v>57</v>
      </c>
      <c r="G229" t="s">
        <v>28</v>
      </c>
      <c r="H229" s="1">
        <v>45542</v>
      </c>
      <c r="I229" s="2">
        <v>1.3</v>
      </c>
      <c r="J229" t="s">
        <v>29</v>
      </c>
      <c r="K229" s="3">
        <v>7450</v>
      </c>
      <c r="L229" t="s">
        <v>30</v>
      </c>
      <c r="M229">
        <v>2</v>
      </c>
      <c r="N229">
        <v>3</v>
      </c>
      <c r="O229">
        <v>20</v>
      </c>
      <c r="P229" t="s">
        <v>21</v>
      </c>
      <c r="Q229" s="1"/>
      <c r="U229">
        <v>1</v>
      </c>
      <c r="V229">
        <v>1</v>
      </c>
      <c r="W229">
        <v>0</v>
      </c>
    </row>
    <row r="230" spans="1:23" ht="16.5" x14ac:dyDescent="0.3">
      <c r="A230" t="s">
        <v>296</v>
      </c>
      <c r="B230" t="s">
        <v>48</v>
      </c>
      <c r="C230" t="s">
        <v>36</v>
      </c>
      <c r="D230" t="s">
        <v>37</v>
      </c>
      <c r="E230">
        <v>31</v>
      </c>
      <c r="F230" t="s">
        <v>27</v>
      </c>
      <c r="G230" t="s">
        <v>38</v>
      </c>
      <c r="H230" s="1">
        <v>44834</v>
      </c>
      <c r="I230" s="2">
        <v>3.3</v>
      </c>
      <c r="J230" t="s">
        <v>50</v>
      </c>
      <c r="K230" s="3">
        <v>7700</v>
      </c>
      <c r="L230" t="s">
        <v>30</v>
      </c>
      <c r="M230">
        <v>5</v>
      </c>
      <c r="N230">
        <v>4</v>
      </c>
      <c r="O230">
        <v>20</v>
      </c>
      <c r="P230" t="s">
        <v>21</v>
      </c>
      <c r="Q230" s="1"/>
      <c r="U230">
        <v>1</v>
      </c>
      <c r="V230">
        <v>1</v>
      </c>
      <c r="W230">
        <v>0</v>
      </c>
    </row>
    <row r="231" spans="1:23" ht="16.5" x14ac:dyDescent="0.3">
      <c r="A231" t="s">
        <v>297</v>
      </c>
      <c r="B231" t="s">
        <v>35</v>
      </c>
      <c r="C231" t="s">
        <v>45</v>
      </c>
      <c r="D231" t="s">
        <v>37</v>
      </c>
      <c r="E231">
        <v>47</v>
      </c>
      <c r="F231" t="s">
        <v>88</v>
      </c>
      <c r="G231" t="s">
        <v>38</v>
      </c>
      <c r="H231" s="1">
        <v>44274</v>
      </c>
      <c r="I231" s="2">
        <v>4.8</v>
      </c>
      <c r="J231" t="s">
        <v>50</v>
      </c>
      <c r="K231" s="3">
        <v>6950</v>
      </c>
      <c r="L231" t="s">
        <v>30</v>
      </c>
      <c r="M231">
        <v>4</v>
      </c>
      <c r="N231">
        <v>4</v>
      </c>
      <c r="O231">
        <v>29</v>
      </c>
      <c r="P231" t="s">
        <v>21</v>
      </c>
      <c r="Q231" s="1"/>
      <c r="U231">
        <v>1</v>
      </c>
      <c r="V231">
        <v>1</v>
      </c>
      <c r="W231">
        <v>0</v>
      </c>
    </row>
    <row r="232" spans="1:23" ht="16.5" x14ac:dyDescent="0.3">
      <c r="A232" t="s">
        <v>298</v>
      </c>
      <c r="B232" t="s">
        <v>35</v>
      </c>
      <c r="C232" t="s">
        <v>25</v>
      </c>
      <c r="D232" t="s">
        <v>37</v>
      </c>
      <c r="E232">
        <v>21</v>
      </c>
      <c r="F232" t="s">
        <v>57</v>
      </c>
      <c r="G232" t="s">
        <v>38</v>
      </c>
      <c r="H232" s="1">
        <v>45991</v>
      </c>
      <c r="I232" s="2">
        <v>0.1</v>
      </c>
      <c r="J232" t="s">
        <v>64</v>
      </c>
      <c r="K232" s="3">
        <v>3950</v>
      </c>
      <c r="L232" t="s">
        <v>58</v>
      </c>
      <c r="M232">
        <v>3</v>
      </c>
      <c r="N232">
        <v>3</v>
      </c>
      <c r="O232">
        <v>15</v>
      </c>
      <c r="P232" t="s">
        <v>21</v>
      </c>
      <c r="Q232" s="1"/>
      <c r="U232">
        <v>1</v>
      </c>
      <c r="V232">
        <v>1</v>
      </c>
      <c r="W232">
        <v>0</v>
      </c>
    </row>
    <row r="233" spans="1:23" ht="16.5" x14ac:dyDescent="0.3">
      <c r="A233" t="s">
        <v>299</v>
      </c>
      <c r="B233" t="s">
        <v>44</v>
      </c>
      <c r="C233" t="s">
        <v>36</v>
      </c>
      <c r="D233" t="s">
        <v>26</v>
      </c>
      <c r="E233">
        <v>38</v>
      </c>
      <c r="F233" t="s">
        <v>46</v>
      </c>
      <c r="G233" t="s">
        <v>28</v>
      </c>
      <c r="H233" s="1">
        <v>42379</v>
      </c>
      <c r="I233" s="2">
        <v>10</v>
      </c>
      <c r="J233" t="s">
        <v>39</v>
      </c>
      <c r="K233" s="3">
        <v>6000</v>
      </c>
      <c r="L233" t="s">
        <v>30</v>
      </c>
      <c r="M233">
        <v>3</v>
      </c>
      <c r="N233">
        <v>5</v>
      </c>
      <c r="O233">
        <v>19</v>
      </c>
      <c r="P233" t="s">
        <v>21</v>
      </c>
      <c r="Q233" s="1"/>
      <c r="U233">
        <v>1</v>
      </c>
      <c r="V233">
        <v>1</v>
      </c>
      <c r="W233">
        <v>0</v>
      </c>
    </row>
    <row r="234" spans="1:23" ht="16.5" x14ac:dyDescent="0.3">
      <c r="A234" t="s">
        <v>300</v>
      </c>
      <c r="B234" t="s">
        <v>55</v>
      </c>
      <c r="C234" t="s">
        <v>25</v>
      </c>
      <c r="D234" t="s">
        <v>26</v>
      </c>
      <c r="E234">
        <v>28</v>
      </c>
      <c r="F234" t="s">
        <v>27</v>
      </c>
      <c r="G234" t="s">
        <v>38</v>
      </c>
      <c r="H234" s="1">
        <v>44037</v>
      </c>
      <c r="I234" s="2">
        <v>5.4</v>
      </c>
      <c r="J234" t="s">
        <v>39</v>
      </c>
      <c r="K234" s="3">
        <v>5250</v>
      </c>
      <c r="L234" t="s">
        <v>30</v>
      </c>
      <c r="M234">
        <v>3</v>
      </c>
      <c r="N234">
        <v>2</v>
      </c>
      <c r="O234">
        <v>33</v>
      </c>
      <c r="P234" t="s">
        <v>21</v>
      </c>
      <c r="Q234" s="1"/>
      <c r="U234">
        <v>1</v>
      </c>
      <c r="V234">
        <v>1</v>
      </c>
      <c r="W234">
        <v>0</v>
      </c>
    </row>
    <row r="235" spans="1:23" ht="16.5" x14ac:dyDescent="0.3">
      <c r="A235" t="s">
        <v>301</v>
      </c>
      <c r="B235" t="s">
        <v>44</v>
      </c>
      <c r="C235" t="s">
        <v>36</v>
      </c>
      <c r="D235" t="s">
        <v>26</v>
      </c>
      <c r="E235">
        <v>34</v>
      </c>
      <c r="F235" t="s">
        <v>27</v>
      </c>
      <c r="G235" t="s">
        <v>28</v>
      </c>
      <c r="H235" s="1">
        <v>43093</v>
      </c>
      <c r="I235" s="2">
        <v>8</v>
      </c>
      <c r="J235" t="s">
        <v>39</v>
      </c>
      <c r="K235" s="3">
        <v>7050</v>
      </c>
      <c r="L235" t="s">
        <v>30</v>
      </c>
      <c r="M235">
        <v>3</v>
      </c>
      <c r="N235">
        <v>3</v>
      </c>
      <c r="O235">
        <v>31</v>
      </c>
      <c r="P235" t="s">
        <v>21</v>
      </c>
      <c r="Q235" s="1"/>
      <c r="U235">
        <v>1</v>
      </c>
      <c r="V235">
        <v>1</v>
      </c>
      <c r="W235">
        <v>0</v>
      </c>
    </row>
    <row r="236" spans="1:23" ht="16.5" x14ac:dyDescent="0.3">
      <c r="A236" t="s">
        <v>302</v>
      </c>
      <c r="B236" t="s">
        <v>35</v>
      </c>
      <c r="C236" t="s">
        <v>45</v>
      </c>
      <c r="D236" t="s">
        <v>37</v>
      </c>
      <c r="E236">
        <v>35</v>
      </c>
      <c r="F236" t="s">
        <v>27</v>
      </c>
      <c r="G236" t="s">
        <v>38</v>
      </c>
      <c r="H236" s="1">
        <v>45271</v>
      </c>
      <c r="I236" s="2">
        <v>2.1</v>
      </c>
      <c r="J236" t="s">
        <v>29</v>
      </c>
      <c r="K236" s="3">
        <v>5700</v>
      </c>
      <c r="L236" t="s">
        <v>58</v>
      </c>
      <c r="M236">
        <v>5</v>
      </c>
      <c r="N236">
        <v>4</v>
      </c>
      <c r="O236">
        <v>23</v>
      </c>
      <c r="P236" t="s">
        <v>21</v>
      </c>
      <c r="Q236" s="1"/>
      <c r="U236">
        <v>1</v>
      </c>
      <c r="V236">
        <v>1</v>
      </c>
      <c r="W236">
        <v>0</v>
      </c>
    </row>
    <row r="237" spans="1:23" ht="16.5" x14ac:dyDescent="0.3">
      <c r="A237" t="s">
        <v>303</v>
      </c>
      <c r="B237" t="s">
        <v>70</v>
      </c>
      <c r="C237" t="s">
        <v>25</v>
      </c>
      <c r="D237" t="s">
        <v>26</v>
      </c>
      <c r="E237">
        <v>23</v>
      </c>
      <c r="F237" t="s">
        <v>57</v>
      </c>
      <c r="G237" t="s">
        <v>38</v>
      </c>
      <c r="H237" s="1">
        <v>45530</v>
      </c>
      <c r="I237" s="2">
        <v>0.6</v>
      </c>
      <c r="J237" t="s">
        <v>64</v>
      </c>
      <c r="K237" s="3">
        <v>4050</v>
      </c>
      <c r="L237" t="s">
        <v>58</v>
      </c>
      <c r="M237">
        <v>3</v>
      </c>
      <c r="N237">
        <v>2</v>
      </c>
      <c r="O237">
        <v>0</v>
      </c>
      <c r="P237" t="s">
        <v>22</v>
      </c>
      <c r="Q237" s="1">
        <v>45759</v>
      </c>
      <c r="R237" t="s">
        <v>40</v>
      </c>
      <c r="S237" t="s">
        <v>153</v>
      </c>
      <c r="T237" t="s">
        <v>151</v>
      </c>
      <c r="U237">
        <v>1</v>
      </c>
      <c r="V237">
        <v>0</v>
      </c>
      <c r="W237">
        <v>1</v>
      </c>
    </row>
    <row r="238" spans="1:23" ht="16.5" x14ac:dyDescent="0.3">
      <c r="A238" t="s">
        <v>304</v>
      </c>
      <c r="B238" t="s">
        <v>70</v>
      </c>
      <c r="C238" t="s">
        <v>25</v>
      </c>
      <c r="D238" t="s">
        <v>26</v>
      </c>
      <c r="E238">
        <v>23</v>
      </c>
      <c r="F238" t="s">
        <v>57</v>
      </c>
      <c r="G238" t="s">
        <v>38</v>
      </c>
      <c r="H238" s="1">
        <v>45598</v>
      </c>
      <c r="I238" s="2">
        <v>0.8</v>
      </c>
      <c r="J238" t="s">
        <v>64</v>
      </c>
      <c r="K238" s="3">
        <v>3700</v>
      </c>
      <c r="L238" t="s">
        <v>30</v>
      </c>
      <c r="M238">
        <v>3</v>
      </c>
      <c r="N238">
        <v>2</v>
      </c>
      <c r="O238">
        <v>28</v>
      </c>
      <c r="P238" t="s">
        <v>22</v>
      </c>
      <c r="Q238" s="1">
        <v>45881</v>
      </c>
      <c r="R238" t="s">
        <v>40</v>
      </c>
      <c r="S238" t="s">
        <v>41</v>
      </c>
      <c r="T238" t="s">
        <v>151</v>
      </c>
      <c r="U238">
        <v>1</v>
      </c>
      <c r="V238">
        <v>0</v>
      </c>
      <c r="W238">
        <v>1</v>
      </c>
    </row>
    <row r="239" spans="1:23" ht="16.5" x14ac:dyDescent="0.3">
      <c r="A239" t="s">
        <v>305</v>
      </c>
      <c r="B239" t="s">
        <v>48</v>
      </c>
      <c r="C239" t="s">
        <v>36</v>
      </c>
      <c r="D239" t="s">
        <v>37</v>
      </c>
      <c r="E239">
        <v>29</v>
      </c>
      <c r="F239" t="s">
        <v>27</v>
      </c>
      <c r="G239" t="s">
        <v>28</v>
      </c>
      <c r="H239" s="1">
        <v>45558</v>
      </c>
      <c r="I239" s="2">
        <v>1.3</v>
      </c>
      <c r="J239" t="s">
        <v>29</v>
      </c>
      <c r="K239" s="3">
        <v>8500</v>
      </c>
      <c r="L239" t="s">
        <v>30</v>
      </c>
      <c r="M239">
        <v>4</v>
      </c>
      <c r="N239">
        <v>2</v>
      </c>
      <c r="O239">
        <v>16</v>
      </c>
      <c r="P239" t="s">
        <v>21</v>
      </c>
      <c r="Q239" s="1"/>
      <c r="U239">
        <v>1</v>
      </c>
      <c r="V239">
        <v>1</v>
      </c>
      <c r="W239">
        <v>0</v>
      </c>
    </row>
    <row r="240" spans="1:23" ht="16.5" x14ac:dyDescent="0.3">
      <c r="A240" t="s">
        <v>306</v>
      </c>
      <c r="B240" t="s">
        <v>48</v>
      </c>
      <c r="C240" t="s">
        <v>25</v>
      </c>
      <c r="D240" t="s">
        <v>26</v>
      </c>
      <c r="E240">
        <v>37</v>
      </c>
      <c r="F240" t="s">
        <v>46</v>
      </c>
      <c r="G240" t="s">
        <v>38</v>
      </c>
      <c r="H240" s="1">
        <v>42416</v>
      </c>
      <c r="I240" s="2">
        <v>9.9</v>
      </c>
      <c r="J240" t="s">
        <v>39</v>
      </c>
      <c r="K240" s="3">
        <v>6150</v>
      </c>
      <c r="L240" t="s">
        <v>30</v>
      </c>
      <c r="M240">
        <v>5</v>
      </c>
      <c r="N240">
        <v>3</v>
      </c>
      <c r="O240">
        <v>18</v>
      </c>
      <c r="P240" t="s">
        <v>21</v>
      </c>
      <c r="Q240" s="1"/>
      <c r="U240">
        <v>1</v>
      </c>
      <c r="V240">
        <v>1</v>
      </c>
      <c r="W240">
        <v>0</v>
      </c>
    </row>
    <row r="241" spans="1:23" ht="16.5" x14ac:dyDescent="0.3">
      <c r="A241" t="s">
        <v>307</v>
      </c>
      <c r="B241" t="s">
        <v>70</v>
      </c>
      <c r="C241" t="s">
        <v>25</v>
      </c>
      <c r="D241" t="s">
        <v>26</v>
      </c>
      <c r="E241">
        <v>21</v>
      </c>
      <c r="F241" t="s">
        <v>57</v>
      </c>
      <c r="G241" t="s">
        <v>28</v>
      </c>
      <c r="H241" s="1">
        <v>46004</v>
      </c>
      <c r="I241" s="2">
        <v>0</v>
      </c>
      <c r="J241" t="s">
        <v>64</v>
      </c>
      <c r="K241" s="3">
        <v>4800</v>
      </c>
      <c r="L241" t="s">
        <v>58</v>
      </c>
      <c r="M241">
        <v>3</v>
      </c>
      <c r="N241">
        <v>4</v>
      </c>
      <c r="O241">
        <v>12</v>
      </c>
      <c r="P241" t="s">
        <v>21</v>
      </c>
      <c r="Q241" s="1"/>
      <c r="U241">
        <v>1</v>
      </c>
      <c r="V241">
        <v>1</v>
      </c>
      <c r="W241">
        <v>0</v>
      </c>
    </row>
    <row r="242" spans="1:23" ht="16.5" x14ac:dyDescent="0.3">
      <c r="A242" t="s">
        <v>308</v>
      </c>
      <c r="B242" t="s">
        <v>55</v>
      </c>
      <c r="C242" t="s">
        <v>25</v>
      </c>
      <c r="D242" t="s">
        <v>37</v>
      </c>
      <c r="E242">
        <v>39</v>
      </c>
      <c r="F242" t="s">
        <v>46</v>
      </c>
      <c r="G242" t="s">
        <v>38</v>
      </c>
      <c r="H242" s="1">
        <v>42070</v>
      </c>
      <c r="I242" s="2">
        <v>10.8</v>
      </c>
      <c r="J242" t="s">
        <v>39</v>
      </c>
      <c r="K242" s="3">
        <v>4750</v>
      </c>
      <c r="L242" t="s">
        <v>30</v>
      </c>
      <c r="M242">
        <v>5</v>
      </c>
      <c r="N242">
        <v>3</v>
      </c>
      <c r="O242">
        <v>25</v>
      </c>
      <c r="P242" t="s">
        <v>21</v>
      </c>
      <c r="Q242" s="1"/>
      <c r="U242">
        <v>1</v>
      </c>
      <c r="V242">
        <v>1</v>
      </c>
      <c r="W242">
        <v>0</v>
      </c>
    </row>
    <row r="243" spans="1:23" ht="16.5" x14ac:dyDescent="0.3">
      <c r="A243" t="s">
        <v>309</v>
      </c>
      <c r="B243" t="s">
        <v>48</v>
      </c>
      <c r="C243" t="s">
        <v>36</v>
      </c>
      <c r="D243" t="s">
        <v>26</v>
      </c>
      <c r="E243">
        <v>39</v>
      </c>
      <c r="F243" t="s">
        <v>46</v>
      </c>
      <c r="G243" t="s">
        <v>38</v>
      </c>
      <c r="H243" s="1">
        <v>43851</v>
      </c>
      <c r="I243" s="2">
        <v>5.9</v>
      </c>
      <c r="J243" t="s">
        <v>39</v>
      </c>
      <c r="K243" s="3">
        <v>7050</v>
      </c>
      <c r="L243" t="s">
        <v>30</v>
      </c>
      <c r="M243">
        <v>3</v>
      </c>
      <c r="N243">
        <v>3</v>
      </c>
      <c r="O243">
        <v>0</v>
      </c>
      <c r="P243" t="s">
        <v>21</v>
      </c>
      <c r="Q243" s="1"/>
      <c r="U243">
        <v>1</v>
      </c>
      <c r="V243">
        <v>1</v>
      </c>
      <c r="W243">
        <v>0</v>
      </c>
    </row>
    <row r="244" spans="1:23" ht="16.5" x14ac:dyDescent="0.3">
      <c r="A244" t="s">
        <v>310</v>
      </c>
      <c r="B244" t="s">
        <v>70</v>
      </c>
      <c r="C244" t="s">
        <v>45</v>
      </c>
      <c r="D244" t="s">
        <v>37</v>
      </c>
      <c r="E244">
        <v>43</v>
      </c>
      <c r="F244" t="s">
        <v>46</v>
      </c>
      <c r="G244" t="s">
        <v>28</v>
      </c>
      <c r="H244" s="1">
        <v>44195</v>
      </c>
      <c r="I244" s="2">
        <v>4.7</v>
      </c>
      <c r="J244" t="s">
        <v>50</v>
      </c>
      <c r="K244" s="3">
        <v>6550</v>
      </c>
      <c r="L244" t="s">
        <v>30</v>
      </c>
      <c r="M244">
        <v>1</v>
      </c>
      <c r="N244">
        <v>2</v>
      </c>
      <c r="O244">
        <v>9</v>
      </c>
      <c r="P244" t="s">
        <v>22</v>
      </c>
      <c r="Q244" s="1">
        <v>45897</v>
      </c>
      <c r="R244" t="s">
        <v>40</v>
      </c>
      <c r="S244" t="s">
        <v>41</v>
      </c>
      <c r="T244" t="s">
        <v>33</v>
      </c>
      <c r="U244">
        <v>1</v>
      </c>
      <c r="V244">
        <v>0</v>
      </c>
      <c r="W244">
        <v>1</v>
      </c>
    </row>
    <row r="245" spans="1:23" ht="16.5" x14ac:dyDescent="0.3">
      <c r="A245" t="s">
        <v>311</v>
      </c>
      <c r="B245" t="s">
        <v>55</v>
      </c>
      <c r="C245" t="s">
        <v>36</v>
      </c>
      <c r="D245" t="s">
        <v>37</v>
      </c>
      <c r="E245">
        <v>24</v>
      </c>
      <c r="F245" t="s">
        <v>57</v>
      </c>
      <c r="G245" t="s">
        <v>52</v>
      </c>
      <c r="H245" s="1">
        <v>45471</v>
      </c>
      <c r="I245" s="2">
        <v>1.5</v>
      </c>
      <c r="J245" t="s">
        <v>29</v>
      </c>
      <c r="K245" s="3">
        <v>6150</v>
      </c>
      <c r="L245" t="s">
        <v>30</v>
      </c>
      <c r="M245">
        <v>4</v>
      </c>
      <c r="N245">
        <v>3</v>
      </c>
      <c r="O245">
        <v>30</v>
      </c>
      <c r="P245" t="s">
        <v>21</v>
      </c>
      <c r="Q245" s="1"/>
      <c r="U245">
        <v>1</v>
      </c>
      <c r="V245">
        <v>1</v>
      </c>
      <c r="W245">
        <v>0</v>
      </c>
    </row>
    <row r="246" spans="1:23" ht="16.5" x14ac:dyDescent="0.3">
      <c r="A246" t="s">
        <v>312</v>
      </c>
      <c r="B246" t="s">
        <v>55</v>
      </c>
      <c r="C246" t="s">
        <v>87</v>
      </c>
      <c r="D246" t="s">
        <v>26</v>
      </c>
      <c r="E246">
        <v>55</v>
      </c>
      <c r="F246" t="s">
        <v>88</v>
      </c>
      <c r="G246" t="s">
        <v>52</v>
      </c>
      <c r="H246" s="1">
        <v>44307</v>
      </c>
      <c r="I246" s="2">
        <v>4.7</v>
      </c>
      <c r="J246" t="s">
        <v>50</v>
      </c>
      <c r="K246" s="3">
        <v>11050</v>
      </c>
      <c r="L246" t="s">
        <v>30</v>
      </c>
      <c r="M246">
        <v>3</v>
      </c>
      <c r="N246">
        <v>3</v>
      </c>
      <c r="O246">
        <v>33</v>
      </c>
      <c r="P246" t="s">
        <v>21</v>
      </c>
      <c r="Q246" s="1"/>
      <c r="U246">
        <v>1</v>
      </c>
      <c r="V246">
        <v>1</v>
      </c>
      <c r="W246">
        <v>0</v>
      </c>
    </row>
    <row r="247" spans="1:23" ht="16.5" x14ac:dyDescent="0.3">
      <c r="A247" t="s">
        <v>313</v>
      </c>
      <c r="B247" t="s">
        <v>48</v>
      </c>
      <c r="C247" t="s">
        <v>36</v>
      </c>
      <c r="D247" t="s">
        <v>26</v>
      </c>
      <c r="E247">
        <v>29</v>
      </c>
      <c r="F247" t="s">
        <v>27</v>
      </c>
      <c r="G247" t="s">
        <v>38</v>
      </c>
      <c r="H247" s="1">
        <v>45106</v>
      </c>
      <c r="I247" s="2">
        <v>2.5</v>
      </c>
      <c r="J247" t="s">
        <v>29</v>
      </c>
      <c r="K247" s="3">
        <v>7500</v>
      </c>
      <c r="L247" t="s">
        <v>30</v>
      </c>
      <c r="M247">
        <v>3</v>
      </c>
      <c r="N247">
        <v>2</v>
      </c>
      <c r="O247">
        <v>37</v>
      </c>
      <c r="P247" t="s">
        <v>21</v>
      </c>
      <c r="Q247" s="1"/>
      <c r="U247">
        <v>1</v>
      </c>
      <c r="V247">
        <v>1</v>
      </c>
      <c r="W247">
        <v>0</v>
      </c>
    </row>
    <row r="248" spans="1:23" ht="16.5" x14ac:dyDescent="0.3">
      <c r="A248" t="s">
        <v>314</v>
      </c>
      <c r="B248" t="s">
        <v>44</v>
      </c>
      <c r="C248" t="s">
        <v>25</v>
      </c>
      <c r="D248" t="s">
        <v>26</v>
      </c>
      <c r="E248">
        <v>32</v>
      </c>
      <c r="F248" t="s">
        <v>27</v>
      </c>
      <c r="G248" t="s">
        <v>38</v>
      </c>
      <c r="H248" s="1">
        <v>45276</v>
      </c>
      <c r="I248" s="2">
        <v>2</v>
      </c>
      <c r="J248" t="s">
        <v>29</v>
      </c>
      <c r="K248" s="3">
        <v>4400</v>
      </c>
      <c r="L248" t="s">
        <v>30</v>
      </c>
      <c r="M248">
        <v>5</v>
      </c>
      <c r="N248">
        <v>3</v>
      </c>
      <c r="O248">
        <v>34</v>
      </c>
      <c r="P248" t="s">
        <v>21</v>
      </c>
      <c r="Q248" s="1"/>
      <c r="U248">
        <v>1</v>
      </c>
      <c r="V248">
        <v>1</v>
      </c>
      <c r="W248">
        <v>0</v>
      </c>
    </row>
    <row r="249" spans="1:23" ht="16.5" x14ac:dyDescent="0.3">
      <c r="A249" t="s">
        <v>315</v>
      </c>
      <c r="B249" t="s">
        <v>35</v>
      </c>
      <c r="C249" t="s">
        <v>87</v>
      </c>
      <c r="D249" t="s">
        <v>26</v>
      </c>
      <c r="E249">
        <v>56</v>
      </c>
      <c r="F249" t="s">
        <v>88</v>
      </c>
      <c r="G249" t="s">
        <v>38</v>
      </c>
      <c r="H249" s="1">
        <v>44957</v>
      </c>
      <c r="I249" s="2">
        <v>1.8</v>
      </c>
      <c r="J249" t="s">
        <v>29</v>
      </c>
      <c r="K249" s="3">
        <v>9950</v>
      </c>
      <c r="L249" t="s">
        <v>58</v>
      </c>
      <c r="M249">
        <v>3</v>
      </c>
      <c r="N249">
        <v>3</v>
      </c>
      <c r="O249">
        <v>39</v>
      </c>
      <c r="P249" t="s">
        <v>22</v>
      </c>
      <c r="Q249" s="1">
        <v>45607</v>
      </c>
      <c r="R249" t="s">
        <v>31</v>
      </c>
      <c r="S249" t="s">
        <v>182</v>
      </c>
      <c r="T249" t="s">
        <v>33</v>
      </c>
      <c r="U249">
        <v>1</v>
      </c>
      <c r="V249">
        <v>0</v>
      </c>
      <c r="W249">
        <v>1</v>
      </c>
    </row>
    <row r="250" spans="1:23" ht="16.5" x14ac:dyDescent="0.3">
      <c r="A250" t="s">
        <v>316</v>
      </c>
      <c r="B250" t="s">
        <v>35</v>
      </c>
      <c r="C250" t="s">
        <v>45</v>
      </c>
      <c r="D250" t="s">
        <v>37</v>
      </c>
      <c r="E250">
        <v>35</v>
      </c>
      <c r="F250" t="s">
        <v>27</v>
      </c>
      <c r="G250" t="s">
        <v>38</v>
      </c>
      <c r="H250" s="1">
        <v>42724</v>
      </c>
      <c r="I250" s="2">
        <v>9</v>
      </c>
      <c r="J250" t="s">
        <v>39</v>
      </c>
      <c r="K250" s="3">
        <v>6900</v>
      </c>
      <c r="L250" t="s">
        <v>58</v>
      </c>
      <c r="M250">
        <v>3</v>
      </c>
      <c r="N250">
        <v>3</v>
      </c>
      <c r="O250">
        <v>22</v>
      </c>
      <c r="P250" t="s">
        <v>21</v>
      </c>
      <c r="Q250" s="1"/>
      <c r="U250">
        <v>1</v>
      </c>
      <c r="V250">
        <v>1</v>
      </c>
      <c r="W250">
        <v>0</v>
      </c>
    </row>
    <row r="251" spans="1:23" ht="16.5" x14ac:dyDescent="0.3">
      <c r="A251" t="s">
        <v>317</v>
      </c>
      <c r="B251" t="s">
        <v>55</v>
      </c>
      <c r="C251" t="s">
        <v>25</v>
      </c>
      <c r="D251" t="s">
        <v>26</v>
      </c>
      <c r="E251">
        <v>22</v>
      </c>
      <c r="F251" t="s">
        <v>57</v>
      </c>
      <c r="G251" t="s">
        <v>52</v>
      </c>
      <c r="H251" s="1">
        <v>45744</v>
      </c>
      <c r="I251" s="2">
        <v>0.8</v>
      </c>
      <c r="J251" t="s">
        <v>64</v>
      </c>
      <c r="K251" s="3">
        <v>4200</v>
      </c>
      <c r="L251" t="s">
        <v>58</v>
      </c>
      <c r="M251">
        <v>3</v>
      </c>
      <c r="N251">
        <v>5</v>
      </c>
      <c r="O251">
        <v>6</v>
      </c>
      <c r="P251" t="s">
        <v>21</v>
      </c>
      <c r="Q251" s="1"/>
      <c r="U251">
        <v>1</v>
      </c>
      <c r="V251">
        <v>1</v>
      </c>
      <c r="W251">
        <v>0</v>
      </c>
    </row>
    <row r="252" spans="1:23" ht="16.5" x14ac:dyDescent="0.3">
      <c r="A252" t="s">
        <v>318</v>
      </c>
      <c r="B252" t="s">
        <v>24</v>
      </c>
      <c r="C252" t="s">
        <v>87</v>
      </c>
      <c r="D252" t="s">
        <v>26</v>
      </c>
      <c r="E252">
        <v>52</v>
      </c>
      <c r="F252" t="s">
        <v>88</v>
      </c>
      <c r="G252" t="s">
        <v>28</v>
      </c>
      <c r="H252" s="1">
        <v>40725</v>
      </c>
      <c r="I252" s="2">
        <v>14.5</v>
      </c>
      <c r="J252" t="s">
        <v>39</v>
      </c>
      <c r="K252" s="3">
        <v>6500</v>
      </c>
      <c r="L252" t="s">
        <v>58</v>
      </c>
      <c r="M252">
        <v>3</v>
      </c>
      <c r="N252">
        <v>4</v>
      </c>
      <c r="O252">
        <v>18</v>
      </c>
      <c r="P252" t="s">
        <v>21</v>
      </c>
      <c r="Q252" s="1"/>
      <c r="U252">
        <v>1</v>
      </c>
      <c r="V252">
        <v>1</v>
      </c>
      <c r="W252">
        <v>0</v>
      </c>
    </row>
    <row r="253" spans="1:23" ht="16.5" x14ac:dyDescent="0.3">
      <c r="A253" t="s">
        <v>319</v>
      </c>
      <c r="B253" t="s">
        <v>24</v>
      </c>
      <c r="C253" t="s">
        <v>25</v>
      </c>
      <c r="D253" t="s">
        <v>37</v>
      </c>
      <c r="E253">
        <v>24</v>
      </c>
      <c r="F253" t="s">
        <v>57</v>
      </c>
      <c r="G253" t="s">
        <v>28</v>
      </c>
      <c r="H253" s="1">
        <v>45683</v>
      </c>
      <c r="I253" s="2">
        <v>0.9</v>
      </c>
      <c r="J253" t="s">
        <v>64</v>
      </c>
      <c r="K253" s="3">
        <v>2500</v>
      </c>
      <c r="L253" t="s">
        <v>58</v>
      </c>
      <c r="M253">
        <v>5</v>
      </c>
      <c r="N253">
        <v>2</v>
      </c>
      <c r="O253">
        <v>24</v>
      </c>
      <c r="P253" t="s">
        <v>22</v>
      </c>
      <c r="Q253" s="1">
        <v>46010</v>
      </c>
      <c r="R253" t="s">
        <v>40</v>
      </c>
      <c r="S253" t="s">
        <v>92</v>
      </c>
      <c r="T253" t="s">
        <v>151</v>
      </c>
      <c r="U253">
        <v>1</v>
      </c>
      <c r="V253">
        <v>0</v>
      </c>
      <c r="W253">
        <v>1</v>
      </c>
    </row>
    <row r="254" spans="1:23" ht="16.5" x14ac:dyDescent="0.3">
      <c r="A254" t="s">
        <v>320</v>
      </c>
      <c r="B254" t="s">
        <v>55</v>
      </c>
      <c r="C254" t="s">
        <v>36</v>
      </c>
      <c r="D254" t="s">
        <v>37</v>
      </c>
      <c r="E254">
        <v>32</v>
      </c>
      <c r="F254" t="s">
        <v>27</v>
      </c>
      <c r="G254" t="s">
        <v>38</v>
      </c>
      <c r="H254" s="1">
        <v>43218</v>
      </c>
      <c r="I254" s="2">
        <v>7.7</v>
      </c>
      <c r="J254" t="s">
        <v>39</v>
      </c>
      <c r="K254" s="3">
        <v>6150</v>
      </c>
      <c r="L254" t="s">
        <v>30</v>
      </c>
      <c r="M254">
        <v>5</v>
      </c>
      <c r="N254">
        <v>3</v>
      </c>
      <c r="O254">
        <v>29</v>
      </c>
      <c r="P254" t="s">
        <v>21</v>
      </c>
      <c r="Q254" s="1"/>
      <c r="U254">
        <v>1</v>
      </c>
      <c r="V254">
        <v>1</v>
      </c>
      <c r="W254">
        <v>0</v>
      </c>
    </row>
    <row r="255" spans="1:23" ht="16.5" x14ac:dyDescent="0.3">
      <c r="A255" t="s">
        <v>321</v>
      </c>
      <c r="B255" t="s">
        <v>44</v>
      </c>
      <c r="C255" t="s">
        <v>25</v>
      </c>
      <c r="D255" t="s">
        <v>37</v>
      </c>
      <c r="E255">
        <v>26</v>
      </c>
      <c r="F255" t="s">
        <v>27</v>
      </c>
      <c r="G255" t="s">
        <v>52</v>
      </c>
      <c r="H255" s="1">
        <v>44918</v>
      </c>
      <c r="I255" s="2">
        <v>3</v>
      </c>
      <c r="J255" t="s">
        <v>29</v>
      </c>
      <c r="K255" s="3">
        <v>5150</v>
      </c>
      <c r="L255" t="s">
        <v>30</v>
      </c>
      <c r="M255">
        <v>4</v>
      </c>
      <c r="N255">
        <v>3</v>
      </c>
      <c r="O255">
        <v>30</v>
      </c>
      <c r="P255" t="s">
        <v>21</v>
      </c>
      <c r="Q255" s="1"/>
      <c r="U255">
        <v>1</v>
      </c>
      <c r="V255">
        <v>1</v>
      </c>
      <c r="W255">
        <v>0</v>
      </c>
    </row>
    <row r="256" spans="1:23" ht="16.5" x14ac:dyDescent="0.3">
      <c r="A256" t="s">
        <v>322</v>
      </c>
      <c r="B256" t="s">
        <v>70</v>
      </c>
      <c r="C256" t="s">
        <v>36</v>
      </c>
      <c r="D256" t="s">
        <v>37</v>
      </c>
      <c r="E256">
        <v>41</v>
      </c>
      <c r="F256" t="s">
        <v>46</v>
      </c>
      <c r="G256" t="s">
        <v>38</v>
      </c>
      <c r="H256" s="1">
        <v>43838</v>
      </c>
      <c r="I256" s="2">
        <v>6</v>
      </c>
      <c r="J256" t="s">
        <v>39</v>
      </c>
      <c r="K256" s="3">
        <v>4650</v>
      </c>
      <c r="L256" t="s">
        <v>30</v>
      </c>
      <c r="M256">
        <v>4</v>
      </c>
      <c r="N256">
        <v>3</v>
      </c>
      <c r="O256">
        <v>23</v>
      </c>
      <c r="P256" t="s">
        <v>21</v>
      </c>
      <c r="Q256" s="1"/>
      <c r="U256">
        <v>1</v>
      </c>
      <c r="V256">
        <v>1</v>
      </c>
      <c r="W256">
        <v>0</v>
      </c>
    </row>
    <row r="257" spans="1:23" ht="16.5" x14ac:dyDescent="0.3">
      <c r="A257" t="s">
        <v>323</v>
      </c>
      <c r="B257" t="s">
        <v>70</v>
      </c>
      <c r="C257" t="s">
        <v>25</v>
      </c>
      <c r="D257" t="s">
        <v>37</v>
      </c>
      <c r="E257">
        <v>39</v>
      </c>
      <c r="F257" t="s">
        <v>46</v>
      </c>
      <c r="G257" t="s">
        <v>28</v>
      </c>
      <c r="H257" s="1">
        <v>42341</v>
      </c>
      <c r="I257" s="2">
        <v>10.1</v>
      </c>
      <c r="J257" t="s">
        <v>39</v>
      </c>
      <c r="K257" s="3">
        <v>3600</v>
      </c>
      <c r="L257" t="s">
        <v>30</v>
      </c>
      <c r="M257">
        <v>4</v>
      </c>
      <c r="N257">
        <v>4</v>
      </c>
      <c r="O257">
        <v>42</v>
      </c>
      <c r="P257" t="s">
        <v>21</v>
      </c>
      <c r="Q257" s="1"/>
      <c r="U257">
        <v>1</v>
      </c>
      <c r="V257">
        <v>1</v>
      </c>
      <c r="W257">
        <v>0</v>
      </c>
    </row>
    <row r="258" spans="1:23" ht="16.5" x14ac:dyDescent="0.3">
      <c r="A258" t="s">
        <v>324</v>
      </c>
      <c r="B258" t="s">
        <v>24</v>
      </c>
      <c r="C258" t="s">
        <v>87</v>
      </c>
      <c r="D258" t="s">
        <v>26</v>
      </c>
      <c r="E258">
        <v>42</v>
      </c>
      <c r="F258" t="s">
        <v>46</v>
      </c>
      <c r="G258" t="s">
        <v>38</v>
      </c>
      <c r="H258" s="1">
        <v>41454</v>
      </c>
      <c r="I258" s="2">
        <v>12.5</v>
      </c>
      <c r="J258" t="s">
        <v>39</v>
      </c>
      <c r="K258" s="3">
        <v>6850</v>
      </c>
      <c r="L258" t="s">
        <v>58</v>
      </c>
      <c r="M258">
        <v>2</v>
      </c>
      <c r="N258">
        <v>3</v>
      </c>
      <c r="O258">
        <v>23</v>
      </c>
      <c r="P258" t="s">
        <v>21</v>
      </c>
      <c r="Q258" s="1"/>
      <c r="U258">
        <v>1</v>
      </c>
      <c r="V258">
        <v>1</v>
      </c>
      <c r="W258">
        <v>0</v>
      </c>
    </row>
    <row r="259" spans="1:23" ht="16.5" x14ac:dyDescent="0.3">
      <c r="A259" t="s">
        <v>325</v>
      </c>
      <c r="B259" t="s">
        <v>55</v>
      </c>
      <c r="C259" t="s">
        <v>36</v>
      </c>
      <c r="D259" t="s">
        <v>26</v>
      </c>
      <c r="E259">
        <v>30</v>
      </c>
      <c r="F259" t="s">
        <v>27</v>
      </c>
      <c r="G259" t="s">
        <v>38</v>
      </c>
      <c r="H259" s="1">
        <v>43870</v>
      </c>
      <c r="I259" s="2">
        <v>5.9</v>
      </c>
      <c r="J259" t="s">
        <v>39</v>
      </c>
      <c r="K259" s="3">
        <v>5650</v>
      </c>
      <c r="L259" t="s">
        <v>30</v>
      </c>
      <c r="M259">
        <v>3</v>
      </c>
      <c r="N259">
        <v>4</v>
      </c>
      <c r="O259">
        <v>15</v>
      </c>
      <c r="P259" t="s">
        <v>21</v>
      </c>
      <c r="Q259" s="1"/>
      <c r="U259">
        <v>1</v>
      </c>
      <c r="V259">
        <v>1</v>
      </c>
      <c r="W259">
        <v>0</v>
      </c>
    </row>
    <row r="260" spans="1:23" ht="16.5" x14ac:dyDescent="0.3">
      <c r="A260" t="s">
        <v>326</v>
      </c>
      <c r="B260" t="s">
        <v>48</v>
      </c>
      <c r="C260" t="s">
        <v>36</v>
      </c>
      <c r="D260" t="s">
        <v>37</v>
      </c>
      <c r="E260">
        <v>34</v>
      </c>
      <c r="F260" t="s">
        <v>27</v>
      </c>
      <c r="G260" t="s">
        <v>38</v>
      </c>
      <c r="H260" s="1">
        <v>44282</v>
      </c>
      <c r="I260" s="2">
        <v>4.8</v>
      </c>
      <c r="J260" t="s">
        <v>50</v>
      </c>
      <c r="K260" s="3">
        <v>7100</v>
      </c>
      <c r="L260" t="s">
        <v>30</v>
      </c>
      <c r="M260">
        <v>3</v>
      </c>
      <c r="N260">
        <v>3</v>
      </c>
      <c r="O260">
        <v>20</v>
      </c>
      <c r="P260" t="s">
        <v>21</v>
      </c>
      <c r="Q260" s="1"/>
      <c r="U260">
        <v>1</v>
      </c>
      <c r="V260">
        <v>1</v>
      </c>
      <c r="W260">
        <v>0</v>
      </c>
    </row>
    <row r="261" spans="1:23" ht="16.5" x14ac:dyDescent="0.3">
      <c r="A261" t="s">
        <v>327</v>
      </c>
      <c r="B261" t="s">
        <v>48</v>
      </c>
      <c r="C261" t="s">
        <v>25</v>
      </c>
      <c r="D261" t="s">
        <v>37</v>
      </c>
      <c r="E261">
        <v>30</v>
      </c>
      <c r="F261" t="s">
        <v>27</v>
      </c>
      <c r="G261" t="s">
        <v>28</v>
      </c>
      <c r="H261" s="1">
        <v>45196</v>
      </c>
      <c r="I261" s="2">
        <v>1.6</v>
      </c>
      <c r="J261" t="s">
        <v>29</v>
      </c>
      <c r="K261" s="3">
        <v>6100</v>
      </c>
      <c r="L261" t="s">
        <v>30</v>
      </c>
      <c r="M261">
        <v>3</v>
      </c>
      <c r="N261">
        <v>2</v>
      </c>
      <c r="O261">
        <v>40</v>
      </c>
      <c r="P261" t="s">
        <v>22</v>
      </c>
      <c r="Q261" s="1">
        <v>45797</v>
      </c>
      <c r="R261" t="s">
        <v>40</v>
      </c>
      <c r="S261" t="s">
        <v>169</v>
      </c>
      <c r="T261" t="s">
        <v>151</v>
      </c>
      <c r="U261">
        <v>1</v>
      </c>
      <c r="V261">
        <v>0</v>
      </c>
      <c r="W261">
        <v>1</v>
      </c>
    </row>
    <row r="262" spans="1:23" ht="16.5" x14ac:dyDescent="0.3">
      <c r="A262" t="s">
        <v>328</v>
      </c>
      <c r="B262" t="s">
        <v>35</v>
      </c>
      <c r="C262" t="s">
        <v>87</v>
      </c>
      <c r="D262" t="s">
        <v>26</v>
      </c>
      <c r="E262">
        <v>43</v>
      </c>
      <c r="F262" t="s">
        <v>46</v>
      </c>
      <c r="G262" t="s">
        <v>38</v>
      </c>
      <c r="H262" s="1">
        <v>44004</v>
      </c>
      <c r="I262" s="2">
        <v>5.5</v>
      </c>
      <c r="J262" t="s">
        <v>39</v>
      </c>
      <c r="K262" s="3">
        <v>8950</v>
      </c>
      <c r="L262" t="s">
        <v>58</v>
      </c>
      <c r="M262">
        <v>2</v>
      </c>
      <c r="N262">
        <v>3</v>
      </c>
      <c r="O262">
        <v>22</v>
      </c>
      <c r="P262" t="s">
        <v>21</v>
      </c>
      <c r="Q262" s="1"/>
      <c r="U262">
        <v>1</v>
      </c>
      <c r="V262">
        <v>1</v>
      </c>
      <c r="W262">
        <v>0</v>
      </c>
    </row>
    <row r="263" spans="1:23" ht="16.5" x14ac:dyDescent="0.3">
      <c r="A263" t="s">
        <v>329</v>
      </c>
      <c r="B263" t="s">
        <v>35</v>
      </c>
      <c r="C263" t="s">
        <v>45</v>
      </c>
      <c r="D263" t="s">
        <v>37</v>
      </c>
      <c r="E263">
        <v>46</v>
      </c>
      <c r="F263" t="s">
        <v>88</v>
      </c>
      <c r="G263" t="s">
        <v>38</v>
      </c>
      <c r="H263" s="1">
        <v>44524</v>
      </c>
      <c r="I263" s="2">
        <v>4.0999999999999996</v>
      </c>
      <c r="J263" t="s">
        <v>50</v>
      </c>
      <c r="K263" s="3">
        <v>5850</v>
      </c>
      <c r="L263" t="s">
        <v>58</v>
      </c>
      <c r="M263">
        <v>3</v>
      </c>
      <c r="N263">
        <v>5</v>
      </c>
      <c r="O263">
        <v>26</v>
      </c>
      <c r="P263" t="s">
        <v>21</v>
      </c>
      <c r="Q263" s="1"/>
      <c r="U263">
        <v>1</v>
      </c>
      <c r="V263">
        <v>1</v>
      </c>
      <c r="W263">
        <v>0</v>
      </c>
    </row>
    <row r="264" spans="1:23" ht="16.5" x14ac:dyDescent="0.3">
      <c r="A264" t="s">
        <v>330</v>
      </c>
      <c r="B264" t="s">
        <v>35</v>
      </c>
      <c r="C264" t="s">
        <v>45</v>
      </c>
      <c r="D264" t="s">
        <v>26</v>
      </c>
      <c r="E264">
        <v>48</v>
      </c>
      <c r="F264" t="s">
        <v>88</v>
      </c>
      <c r="G264" t="s">
        <v>38</v>
      </c>
      <c r="H264" s="1">
        <v>40617</v>
      </c>
      <c r="I264" s="2">
        <v>14.8</v>
      </c>
      <c r="J264" t="s">
        <v>39</v>
      </c>
      <c r="K264" s="3">
        <v>7000</v>
      </c>
      <c r="L264" t="s">
        <v>30</v>
      </c>
      <c r="M264">
        <v>5</v>
      </c>
      <c r="N264">
        <v>2</v>
      </c>
      <c r="O264">
        <v>35</v>
      </c>
      <c r="P264" t="s">
        <v>21</v>
      </c>
      <c r="Q264" s="1"/>
      <c r="U264">
        <v>1</v>
      </c>
      <c r="V264">
        <v>1</v>
      </c>
      <c r="W264">
        <v>0</v>
      </c>
    </row>
    <row r="265" spans="1:23" ht="16.5" x14ac:dyDescent="0.3">
      <c r="A265" t="s">
        <v>331</v>
      </c>
      <c r="B265" t="s">
        <v>35</v>
      </c>
      <c r="C265" t="s">
        <v>25</v>
      </c>
      <c r="D265" t="s">
        <v>37</v>
      </c>
      <c r="E265">
        <v>35</v>
      </c>
      <c r="F265" t="s">
        <v>27</v>
      </c>
      <c r="G265" t="s">
        <v>38</v>
      </c>
      <c r="H265" s="1">
        <v>42909</v>
      </c>
      <c r="I265" s="2">
        <v>8.5</v>
      </c>
      <c r="J265" t="s">
        <v>39</v>
      </c>
      <c r="K265" s="3">
        <v>2600</v>
      </c>
      <c r="L265" t="s">
        <v>58</v>
      </c>
      <c r="M265">
        <v>4</v>
      </c>
      <c r="N265">
        <v>5</v>
      </c>
      <c r="O265">
        <v>33</v>
      </c>
      <c r="P265" t="s">
        <v>21</v>
      </c>
      <c r="Q265" s="1"/>
      <c r="U265">
        <v>1</v>
      </c>
      <c r="V265">
        <v>1</v>
      </c>
      <c r="W265">
        <v>0</v>
      </c>
    </row>
    <row r="266" spans="1:23" ht="16.5" x14ac:dyDescent="0.3">
      <c r="A266" t="s">
        <v>332</v>
      </c>
      <c r="B266" t="s">
        <v>70</v>
      </c>
      <c r="C266" t="s">
        <v>25</v>
      </c>
      <c r="D266" t="s">
        <v>37</v>
      </c>
      <c r="E266">
        <v>25</v>
      </c>
      <c r="F266" t="s">
        <v>57</v>
      </c>
      <c r="G266" t="s">
        <v>52</v>
      </c>
      <c r="H266" s="1">
        <v>45186</v>
      </c>
      <c r="I266" s="2">
        <v>2.2999999999999998</v>
      </c>
      <c r="J266" t="s">
        <v>29</v>
      </c>
      <c r="K266" s="3">
        <v>4750</v>
      </c>
      <c r="L266" t="s">
        <v>30</v>
      </c>
      <c r="M266">
        <v>3</v>
      </c>
      <c r="N266">
        <v>5</v>
      </c>
      <c r="O266">
        <v>27</v>
      </c>
      <c r="P266" t="s">
        <v>21</v>
      </c>
      <c r="Q266" s="1"/>
      <c r="U266">
        <v>1</v>
      </c>
      <c r="V266">
        <v>1</v>
      </c>
      <c r="W266">
        <v>0</v>
      </c>
    </row>
    <row r="267" spans="1:23" ht="16.5" x14ac:dyDescent="0.3">
      <c r="A267" t="s">
        <v>333</v>
      </c>
      <c r="B267" t="s">
        <v>70</v>
      </c>
      <c r="C267" t="s">
        <v>45</v>
      </c>
      <c r="D267" t="s">
        <v>26</v>
      </c>
      <c r="E267">
        <v>33</v>
      </c>
      <c r="F267" t="s">
        <v>27</v>
      </c>
      <c r="G267" t="s">
        <v>38</v>
      </c>
      <c r="H267" s="1">
        <v>43540</v>
      </c>
      <c r="I267" s="2">
        <v>6.2</v>
      </c>
      <c r="J267" t="s">
        <v>39</v>
      </c>
      <c r="K267" s="3">
        <v>6600</v>
      </c>
      <c r="L267" t="s">
        <v>58</v>
      </c>
      <c r="M267">
        <v>1</v>
      </c>
      <c r="N267">
        <v>3</v>
      </c>
      <c r="O267">
        <v>22</v>
      </c>
      <c r="P267" t="s">
        <v>22</v>
      </c>
      <c r="Q267" s="1">
        <v>45815</v>
      </c>
      <c r="R267" t="s">
        <v>40</v>
      </c>
      <c r="S267" t="s">
        <v>32</v>
      </c>
      <c r="T267" t="s">
        <v>33</v>
      </c>
      <c r="U267">
        <v>1</v>
      </c>
      <c r="V267">
        <v>0</v>
      </c>
      <c r="W267">
        <v>1</v>
      </c>
    </row>
    <row r="268" spans="1:23" ht="16.5" x14ac:dyDescent="0.3">
      <c r="A268" t="s">
        <v>334</v>
      </c>
      <c r="B268" t="s">
        <v>73</v>
      </c>
      <c r="C268" t="s">
        <v>36</v>
      </c>
      <c r="D268" t="s">
        <v>26</v>
      </c>
      <c r="E268">
        <v>34</v>
      </c>
      <c r="F268" t="s">
        <v>27</v>
      </c>
      <c r="G268" t="s">
        <v>38</v>
      </c>
      <c r="H268" s="1">
        <v>42290</v>
      </c>
      <c r="I268" s="2">
        <v>10.199999999999999</v>
      </c>
      <c r="J268" t="s">
        <v>39</v>
      </c>
      <c r="K268" s="3">
        <v>5700</v>
      </c>
      <c r="L268" t="s">
        <v>30</v>
      </c>
      <c r="M268">
        <v>3</v>
      </c>
      <c r="N268">
        <v>2</v>
      </c>
      <c r="O268">
        <v>32</v>
      </c>
      <c r="P268" t="s">
        <v>21</v>
      </c>
      <c r="Q268" s="1"/>
      <c r="U268">
        <v>1</v>
      </c>
      <c r="V268">
        <v>1</v>
      </c>
      <c r="W268">
        <v>0</v>
      </c>
    </row>
    <row r="269" spans="1:23" ht="16.5" x14ac:dyDescent="0.3">
      <c r="A269" t="s">
        <v>335</v>
      </c>
      <c r="B269" t="s">
        <v>70</v>
      </c>
      <c r="C269" t="s">
        <v>87</v>
      </c>
      <c r="D269" t="s">
        <v>26</v>
      </c>
      <c r="E269">
        <v>56</v>
      </c>
      <c r="F269" t="s">
        <v>88</v>
      </c>
      <c r="G269" t="s">
        <v>38</v>
      </c>
      <c r="H269" s="1">
        <v>42295</v>
      </c>
      <c r="I269" s="2">
        <v>10.199999999999999</v>
      </c>
      <c r="J269" t="s">
        <v>39</v>
      </c>
      <c r="K269" s="3">
        <v>12650</v>
      </c>
      <c r="L269" t="s">
        <v>30</v>
      </c>
      <c r="M269">
        <v>5</v>
      </c>
      <c r="N269">
        <v>4</v>
      </c>
      <c r="O269">
        <v>13</v>
      </c>
      <c r="P269" t="s">
        <v>21</v>
      </c>
      <c r="Q269" s="1"/>
      <c r="U269">
        <v>1</v>
      </c>
      <c r="V269">
        <v>1</v>
      </c>
      <c r="W269">
        <v>0</v>
      </c>
    </row>
    <row r="270" spans="1:23" ht="16.5" x14ac:dyDescent="0.3">
      <c r="A270" t="s">
        <v>336</v>
      </c>
      <c r="B270" t="s">
        <v>24</v>
      </c>
      <c r="C270" t="s">
        <v>25</v>
      </c>
      <c r="D270" t="s">
        <v>26</v>
      </c>
      <c r="E270">
        <v>22</v>
      </c>
      <c r="F270" t="s">
        <v>57</v>
      </c>
      <c r="G270" t="s">
        <v>28</v>
      </c>
      <c r="H270" s="1">
        <v>45968</v>
      </c>
      <c r="I270" s="2">
        <v>0.1</v>
      </c>
      <c r="J270" t="s">
        <v>64</v>
      </c>
      <c r="K270" s="3">
        <v>2600</v>
      </c>
      <c r="L270" t="s">
        <v>58</v>
      </c>
      <c r="M270">
        <v>4</v>
      </c>
      <c r="N270">
        <v>5</v>
      </c>
      <c r="O270">
        <v>21</v>
      </c>
      <c r="P270" t="s">
        <v>22</v>
      </c>
      <c r="Q270" s="1">
        <v>46005</v>
      </c>
      <c r="R270" t="s">
        <v>40</v>
      </c>
      <c r="S270" t="s">
        <v>92</v>
      </c>
      <c r="T270" t="s">
        <v>33</v>
      </c>
      <c r="U270">
        <v>1</v>
      </c>
      <c r="V270">
        <v>0</v>
      </c>
      <c r="W270">
        <v>1</v>
      </c>
    </row>
    <row r="271" spans="1:23" ht="16.5" x14ac:dyDescent="0.3">
      <c r="A271" t="s">
        <v>337</v>
      </c>
      <c r="B271" t="s">
        <v>44</v>
      </c>
      <c r="C271" t="s">
        <v>25</v>
      </c>
      <c r="D271" t="s">
        <v>37</v>
      </c>
      <c r="E271">
        <v>21</v>
      </c>
      <c r="F271" t="s">
        <v>57</v>
      </c>
      <c r="G271" t="s">
        <v>52</v>
      </c>
      <c r="H271" s="1">
        <v>45994</v>
      </c>
      <c r="I271" s="2">
        <v>0.1</v>
      </c>
      <c r="J271" t="s">
        <v>64</v>
      </c>
      <c r="K271" s="3">
        <v>5100</v>
      </c>
      <c r="L271" t="s">
        <v>58</v>
      </c>
      <c r="M271">
        <v>4</v>
      </c>
      <c r="N271">
        <v>2</v>
      </c>
      <c r="O271">
        <v>16</v>
      </c>
      <c r="P271" t="s">
        <v>21</v>
      </c>
      <c r="Q271" s="1"/>
      <c r="U271">
        <v>1</v>
      </c>
      <c r="V271">
        <v>1</v>
      </c>
      <c r="W271">
        <v>0</v>
      </c>
    </row>
    <row r="272" spans="1:23" ht="16.5" x14ac:dyDescent="0.3">
      <c r="A272" t="s">
        <v>338</v>
      </c>
      <c r="B272" t="s">
        <v>24</v>
      </c>
      <c r="C272" t="s">
        <v>45</v>
      </c>
      <c r="D272" t="s">
        <v>26</v>
      </c>
      <c r="E272">
        <v>35</v>
      </c>
      <c r="F272" t="s">
        <v>27</v>
      </c>
      <c r="G272" t="s">
        <v>38</v>
      </c>
      <c r="H272" s="1">
        <v>45031</v>
      </c>
      <c r="I272" s="2">
        <v>2.7</v>
      </c>
      <c r="J272" t="s">
        <v>29</v>
      </c>
      <c r="K272" s="3">
        <v>4900</v>
      </c>
      <c r="L272" t="s">
        <v>58</v>
      </c>
      <c r="M272">
        <v>2</v>
      </c>
      <c r="N272">
        <v>3</v>
      </c>
      <c r="O272">
        <v>30</v>
      </c>
      <c r="P272" t="s">
        <v>21</v>
      </c>
      <c r="Q272" s="1"/>
      <c r="U272">
        <v>1</v>
      </c>
      <c r="V272">
        <v>1</v>
      </c>
      <c r="W272">
        <v>0</v>
      </c>
    </row>
    <row r="273" spans="1:23" ht="16.5" x14ac:dyDescent="0.3">
      <c r="A273" t="s">
        <v>339</v>
      </c>
      <c r="B273" t="s">
        <v>48</v>
      </c>
      <c r="C273" t="s">
        <v>25</v>
      </c>
      <c r="D273" t="s">
        <v>37</v>
      </c>
      <c r="E273">
        <v>21</v>
      </c>
      <c r="F273" t="s">
        <v>57</v>
      </c>
      <c r="G273" t="s">
        <v>38</v>
      </c>
      <c r="H273" s="1">
        <v>45952</v>
      </c>
      <c r="I273" s="2">
        <v>0.2</v>
      </c>
      <c r="J273" t="s">
        <v>64</v>
      </c>
      <c r="K273" s="3">
        <v>6950</v>
      </c>
      <c r="L273" t="s">
        <v>30</v>
      </c>
      <c r="M273">
        <v>2</v>
      </c>
      <c r="N273">
        <v>3</v>
      </c>
      <c r="O273">
        <v>25</v>
      </c>
      <c r="P273" t="s">
        <v>21</v>
      </c>
      <c r="Q273" s="1"/>
      <c r="U273">
        <v>1</v>
      </c>
      <c r="V273">
        <v>1</v>
      </c>
      <c r="W273">
        <v>0</v>
      </c>
    </row>
    <row r="274" spans="1:23" ht="16.5" x14ac:dyDescent="0.3">
      <c r="A274" t="s">
        <v>340</v>
      </c>
      <c r="B274" t="s">
        <v>44</v>
      </c>
      <c r="C274" t="s">
        <v>45</v>
      </c>
      <c r="D274" t="s">
        <v>37</v>
      </c>
      <c r="E274">
        <v>32</v>
      </c>
      <c r="F274" t="s">
        <v>27</v>
      </c>
      <c r="G274" t="s">
        <v>28</v>
      </c>
      <c r="H274" s="1">
        <v>45100</v>
      </c>
      <c r="I274" s="2">
        <v>2.5</v>
      </c>
      <c r="J274" t="s">
        <v>29</v>
      </c>
      <c r="K274" s="3">
        <v>11250</v>
      </c>
      <c r="L274" t="s">
        <v>30</v>
      </c>
      <c r="M274">
        <v>4</v>
      </c>
      <c r="N274">
        <v>3</v>
      </c>
      <c r="O274">
        <v>14</v>
      </c>
      <c r="P274" t="s">
        <v>21</v>
      </c>
      <c r="Q274" s="1"/>
      <c r="U274">
        <v>1</v>
      </c>
      <c r="V274">
        <v>1</v>
      </c>
      <c r="W274">
        <v>0</v>
      </c>
    </row>
    <row r="275" spans="1:23" ht="16.5" x14ac:dyDescent="0.3">
      <c r="A275" t="s">
        <v>341</v>
      </c>
      <c r="B275" t="s">
        <v>70</v>
      </c>
      <c r="C275" t="s">
        <v>87</v>
      </c>
      <c r="D275" t="s">
        <v>26</v>
      </c>
      <c r="E275">
        <v>42</v>
      </c>
      <c r="F275" t="s">
        <v>46</v>
      </c>
      <c r="G275" t="s">
        <v>52</v>
      </c>
      <c r="H275" s="1">
        <v>41690</v>
      </c>
      <c r="I275" s="2">
        <v>11.9</v>
      </c>
      <c r="J275" t="s">
        <v>39</v>
      </c>
      <c r="K275" s="3">
        <v>10200</v>
      </c>
      <c r="L275" t="s">
        <v>58</v>
      </c>
      <c r="M275">
        <v>4</v>
      </c>
      <c r="N275">
        <v>4</v>
      </c>
      <c r="O275">
        <v>22</v>
      </c>
      <c r="P275" t="s">
        <v>21</v>
      </c>
      <c r="Q275" s="1"/>
      <c r="U275">
        <v>1</v>
      </c>
      <c r="V275">
        <v>1</v>
      </c>
      <c r="W275">
        <v>0</v>
      </c>
    </row>
    <row r="276" spans="1:23" ht="16.5" x14ac:dyDescent="0.3">
      <c r="A276" t="s">
        <v>342</v>
      </c>
      <c r="B276" t="s">
        <v>70</v>
      </c>
      <c r="C276" t="s">
        <v>36</v>
      </c>
      <c r="D276" t="s">
        <v>37</v>
      </c>
      <c r="E276">
        <v>30</v>
      </c>
      <c r="F276" t="s">
        <v>27</v>
      </c>
      <c r="G276" t="s">
        <v>38</v>
      </c>
      <c r="H276" s="1">
        <v>43423</v>
      </c>
      <c r="I276" s="2">
        <v>7.1</v>
      </c>
      <c r="J276" t="s">
        <v>39</v>
      </c>
      <c r="K276" s="3">
        <v>4950</v>
      </c>
      <c r="L276" t="s">
        <v>30</v>
      </c>
      <c r="M276">
        <v>2</v>
      </c>
      <c r="N276">
        <v>3</v>
      </c>
      <c r="O276">
        <v>11</v>
      </c>
      <c r="P276" t="s">
        <v>21</v>
      </c>
      <c r="Q276" s="1"/>
      <c r="U276">
        <v>1</v>
      </c>
      <c r="V276">
        <v>1</v>
      </c>
      <c r="W276">
        <v>0</v>
      </c>
    </row>
    <row r="277" spans="1:23" ht="16.5" x14ac:dyDescent="0.3">
      <c r="A277" t="s">
        <v>343</v>
      </c>
      <c r="B277" t="s">
        <v>48</v>
      </c>
      <c r="C277" t="s">
        <v>36</v>
      </c>
      <c r="D277" t="s">
        <v>26</v>
      </c>
      <c r="E277">
        <v>29</v>
      </c>
      <c r="F277" t="s">
        <v>27</v>
      </c>
      <c r="G277" t="s">
        <v>38</v>
      </c>
      <c r="H277" s="1">
        <v>45252</v>
      </c>
      <c r="I277" s="2">
        <v>2.1</v>
      </c>
      <c r="J277" t="s">
        <v>29</v>
      </c>
      <c r="K277" s="3">
        <v>8550</v>
      </c>
      <c r="L277" t="s">
        <v>30</v>
      </c>
      <c r="M277">
        <v>3</v>
      </c>
      <c r="N277">
        <v>3</v>
      </c>
      <c r="O277">
        <v>23</v>
      </c>
      <c r="P277" t="s">
        <v>21</v>
      </c>
      <c r="Q277" s="1"/>
      <c r="U277">
        <v>1</v>
      </c>
      <c r="V277">
        <v>1</v>
      </c>
      <c r="W277">
        <v>0</v>
      </c>
    </row>
    <row r="278" spans="1:23" ht="16.5" x14ac:dyDescent="0.3">
      <c r="A278" t="s">
        <v>344</v>
      </c>
      <c r="B278" t="s">
        <v>48</v>
      </c>
      <c r="C278" t="s">
        <v>45</v>
      </c>
      <c r="D278" t="s">
        <v>26</v>
      </c>
      <c r="E278">
        <v>41</v>
      </c>
      <c r="F278" t="s">
        <v>46</v>
      </c>
      <c r="G278" t="s">
        <v>38</v>
      </c>
      <c r="H278" s="1">
        <v>40712</v>
      </c>
      <c r="I278" s="2">
        <v>14.5</v>
      </c>
      <c r="J278" t="s">
        <v>39</v>
      </c>
      <c r="K278" s="3">
        <v>11150</v>
      </c>
      <c r="L278" t="s">
        <v>30</v>
      </c>
      <c r="M278">
        <v>3</v>
      </c>
      <c r="N278">
        <v>5</v>
      </c>
      <c r="O278">
        <v>50</v>
      </c>
      <c r="P278" t="s">
        <v>21</v>
      </c>
      <c r="Q278" s="1"/>
      <c r="U278">
        <v>1</v>
      </c>
      <c r="V278">
        <v>1</v>
      </c>
      <c r="W278">
        <v>0</v>
      </c>
    </row>
    <row r="279" spans="1:23" ht="16.5" x14ac:dyDescent="0.3">
      <c r="A279" t="s">
        <v>345</v>
      </c>
      <c r="B279" t="s">
        <v>48</v>
      </c>
      <c r="C279" t="s">
        <v>25</v>
      </c>
      <c r="D279" t="s">
        <v>37</v>
      </c>
      <c r="E279">
        <v>25</v>
      </c>
      <c r="F279" t="s">
        <v>57</v>
      </c>
      <c r="G279" t="s">
        <v>52</v>
      </c>
      <c r="H279" s="1">
        <v>45388</v>
      </c>
      <c r="I279" s="2">
        <v>1.7</v>
      </c>
      <c r="J279" t="s">
        <v>29</v>
      </c>
      <c r="K279" s="3">
        <v>6950</v>
      </c>
      <c r="L279" t="s">
        <v>30</v>
      </c>
      <c r="M279">
        <v>2</v>
      </c>
      <c r="N279">
        <v>4</v>
      </c>
      <c r="O279">
        <v>46</v>
      </c>
      <c r="P279" t="s">
        <v>21</v>
      </c>
      <c r="Q279" s="1"/>
      <c r="U279">
        <v>1</v>
      </c>
      <c r="V279">
        <v>1</v>
      </c>
      <c r="W279">
        <v>0</v>
      </c>
    </row>
    <row r="280" spans="1:23" ht="16.5" x14ac:dyDescent="0.3">
      <c r="A280" t="s">
        <v>346</v>
      </c>
      <c r="B280" t="s">
        <v>44</v>
      </c>
      <c r="C280" t="s">
        <v>87</v>
      </c>
      <c r="D280" t="s">
        <v>37</v>
      </c>
      <c r="E280">
        <v>46</v>
      </c>
      <c r="F280" t="s">
        <v>88</v>
      </c>
      <c r="G280" t="s">
        <v>28</v>
      </c>
      <c r="H280" s="1">
        <v>44237</v>
      </c>
      <c r="I280" s="2">
        <v>4.9000000000000004</v>
      </c>
      <c r="J280" t="s">
        <v>50</v>
      </c>
      <c r="K280" s="3">
        <v>14050</v>
      </c>
      <c r="L280" t="s">
        <v>30</v>
      </c>
      <c r="M280">
        <v>4</v>
      </c>
      <c r="N280">
        <v>3</v>
      </c>
      <c r="O280">
        <v>5</v>
      </c>
      <c r="P280" t="s">
        <v>21</v>
      </c>
      <c r="Q280" s="1"/>
      <c r="U280">
        <v>1</v>
      </c>
      <c r="V280">
        <v>1</v>
      </c>
      <c r="W280">
        <v>0</v>
      </c>
    </row>
    <row r="281" spans="1:23" ht="16.5" x14ac:dyDescent="0.3">
      <c r="A281" t="s">
        <v>347</v>
      </c>
      <c r="B281" t="s">
        <v>24</v>
      </c>
      <c r="C281" t="s">
        <v>45</v>
      </c>
      <c r="D281" t="s">
        <v>26</v>
      </c>
      <c r="E281">
        <v>34</v>
      </c>
      <c r="F281" t="s">
        <v>27</v>
      </c>
      <c r="G281" t="s">
        <v>38</v>
      </c>
      <c r="H281" s="1">
        <v>42560</v>
      </c>
      <c r="I281" s="2">
        <v>8.1</v>
      </c>
      <c r="J281" t="s">
        <v>39</v>
      </c>
      <c r="K281" s="3">
        <v>5450</v>
      </c>
      <c r="L281" t="s">
        <v>58</v>
      </c>
      <c r="M281">
        <v>1</v>
      </c>
      <c r="N281">
        <v>3</v>
      </c>
      <c r="O281">
        <v>21</v>
      </c>
      <c r="P281" t="s">
        <v>22</v>
      </c>
      <c r="Q281" s="1">
        <v>45511</v>
      </c>
      <c r="R281" t="s">
        <v>31</v>
      </c>
      <c r="S281" t="s">
        <v>41</v>
      </c>
      <c r="T281" t="s">
        <v>60</v>
      </c>
      <c r="U281">
        <v>1</v>
      </c>
      <c r="V281">
        <v>0</v>
      </c>
      <c r="W281">
        <v>1</v>
      </c>
    </row>
    <row r="282" spans="1:23" ht="16.5" x14ac:dyDescent="0.3">
      <c r="A282" t="s">
        <v>348</v>
      </c>
      <c r="B282" t="s">
        <v>35</v>
      </c>
      <c r="C282" t="s">
        <v>25</v>
      </c>
      <c r="D282" t="s">
        <v>37</v>
      </c>
      <c r="E282">
        <v>30</v>
      </c>
      <c r="F282" t="s">
        <v>27</v>
      </c>
      <c r="G282" t="s">
        <v>38</v>
      </c>
      <c r="H282" s="1">
        <v>45225</v>
      </c>
      <c r="I282" s="2">
        <v>2.2000000000000002</v>
      </c>
      <c r="J282" t="s">
        <v>29</v>
      </c>
      <c r="K282" s="3">
        <v>3600</v>
      </c>
      <c r="L282" t="s">
        <v>30</v>
      </c>
      <c r="M282">
        <v>3</v>
      </c>
      <c r="N282">
        <v>3</v>
      </c>
      <c r="O282">
        <v>28</v>
      </c>
      <c r="P282" t="s">
        <v>21</v>
      </c>
      <c r="Q282" s="1"/>
      <c r="U282">
        <v>1</v>
      </c>
      <c r="V282">
        <v>1</v>
      </c>
      <c r="W282">
        <v>0</v>
      </c>
    </row>
    <row r="283" spans="1:23" ht="16.5" x14ac:dyDescent="0.3">
      <c r="A283" t="s">
        <v>349</v>
      </c>
      <c r="B283" t="s">
        <v>24</v>
      </c>
      <c r="C283" t="s">
        <v>36</v>
      </c>
      <c r="D283" t="s">
        <v>26</v>
      </c>
      <c r="E283">
        <v>29</v>
      </c>
      <c r="F283" t="s">
        <v>27</v>
      </c>
      <c r="G283" t="s">
        <v>38</v>
      </c>
      <c r="H283" s="1">
        <v>43709</v>
      </c>
      <c r="I283" s="2">
        <v>6.3</v>
      </c>
      <c r="J283" t="s">
        <v>39</v>
      </c>
      <c r="K283" s="3">
        <v>3100</v>
      </c>
      <c r="L283" t="s">
        <v>30</v>
      </c>
      <c r="M283">
        <v>5</v>
      </c>
      <c r="N283">
        <v>3</v>
      </c>
      <c r="O283">
        <v>27</v>
      </c>
      <c r="P283" t="s">
        <v>21</v>
      </c>
      <c r="Q283" s="1"/>
      <c r="U283">
        <v>1</v>
      </c>
      <c r="V283">
        <v>1</v>
      </c>
      <c r="W283">
        <v>0</v>
      </c>
    </row>
    <row r="284" spans="1:23" ht="16.5" x14ac:dyDescent="0.3">
      <c r="A284" t="s">
        <v>350</v>
      </c>
      <c r="B284" t="s">
        <v>35</v>
      </c>
      <c r="C284" t="s">
        <v>36</v>
      </c>
      <c r="D284" t="s">
        <v>37</v>
      </c>
      <c r="E284">
        <v>34</v>
      </c>
      <c r="F284" t="s">
        <v>27</v>
      </c>
      <c r="G284" t="s">
        <v>28</v>
      </c>
      <c r="H284" s="1">
        <v>43299</v>
      </c>
      <c r="I284" s="2">
        <v>6</v>
      </c>
      <c r="J284" t="s">
        <v>39</v>
      </c>
      <c r="K284" s="3">
        <v>3400</v>
      </c>
      <c r="L284" t="s">
        <v>58</v>
      </c>
      <c r="M284">
        <v>3</v>
      </c>
      <c r="N284">
        <v>2</v>
      </c>
      <c r="O284">
        <v>40</v>
      </c>
      <c r="P284" t="s">
        <v>22</v>
      </c>
      <c r="Q284" s="1">
        <v>45493</v>
      </c>
      <c r="R284" t="s">
        <v>31</v>
      </c>
      <c r="S284" t="s">
        <v>84</v>
      </c>
      <c r="T284" t="s">
        <v>33</v>
      </c>
      <c r="U284">
        <v>1</v>
      </c>
      <c r="V284">
        <v>0</v>
      </c>
      <c r="W284">
        <v>1</v>
      </c>
    </row>
    <row r="285" spans="1:23" ht="16.5" x14ac:dyDescent="0.3">
      <c r="A285" t="s">
        <v>351</v>
      </c>
      <c r="B285" t="s">
        <v>48</v>
      </c>
      <c r="C285" t="s">
        <v>36</v>
      </c>
      <c r="D285" t="s">
        <v>26</v>
      </c>
      <c r="E285">
        <v>37</v>
      </c>
      <c r="F285" t="s">
        <v>46</v>
      </c>
      <c r="G285" t="s">
        <v>38</v>
      </c>
      <c r="H285" s="1">
        <v>42881</v>
      </c>
      <c r="I285" s="2">
        <v>8.6</v>
      </c>
      <c r="J285" t="s">
        <v>39</v>
      </c>
      <c r="K285" s="3">
        <v>8150</v>
      </c>
      <c r="L285" t="s">
        <v>30</v>
      </c>
      <c r="M285">
        <v>5</v>
      </c>
      <c r="N285">
        <v>4</v>
      </c>
      <c r="O285">
        <v>32</v>
      </c>
      <c r="P285" t="s">
        <v>21</v>
      </c>
      <c r="Q285" s="1"/>
      <c r="U285">
        <v>1</v>
      </c>
      <c r="V285">
        <v>1</v>
      </c>
      <c r="W285">
        <v>0</v>
      </c>
    </row>
    <row r="286" spans="1:23" ht="16.5" x14ac:dyDescent="0.3">
      <c r="A286" t="s">
        <v>352</v>
      </c>
      <c r="B286" t="s">
        <v>44</v>
      </c>
      <c r="C286" t="s">
        <v>25</v>
      </c>
      <c r="D286" t="s">
        <v>37</v>
      </c>
      <c r="E286">
        <v>28</v>
      </c>
      <c r="F286" t="s">
        <v>27</v>
      </c>
      <c r="G286" t="s">
        <v>38</v>
      </c>
      <c r="H286" s="1">
        <v>45552</v>
      </c>
      <c r="I286" s="2">
        <v>1.3</v>
      </c>
      <c r="J286" t="s">
        <v>29</v>
      </c>
      <c r="K286" s="3">
        <v>5100</v>
      </c>
      <c r="L286" t="s">
        <v>30</v>
      </c>
      <c r="M286">
        <v>4</v>
      </c>
      <c r="N286">
        <v>5</v>
      </c>
      <c r="O286">
        <v>22</v>
      </c>
      <c r="P286" t="s">
        <v>21</v>
      </c>
      <c r="Q286" s="1"/>
      <c r="U286">
        <v>1</v>
      </c>
      <c r="V286">
        <v>1</v>
      </c>
      <c r="W286">
        <v>0</v>
      </c>
    </row>
    <row r="287" spans="1:23" ht="16.5" x14ac:dyDescent="0.3">
      <c r="A287" t="s">
        <v>353</v>
      </c>
      <c r="B287" t="s">
        <v>35</v>
      </c>
      <c r="C287" t="s">
        <v>36</v>
      </c>
      <c r="D287" t="s">
        <v>37</v>
      </c>
      <c r="E287">
        <v>24</v>
      </c>
      <c r="F287" t="s">
        <v>57</v>
      </c>
      <c r="G287" t="s">
        <v>38</v>
      </c>
      <c r="H287" s="1">
        <v>45356</v>
      </c>
      <c r="I287" s="2">
        <v>1.8</v>
      </c>
      <c r="J287" t="s">
        <v>29</v>
      </c>
      <c r="K287" s="3">
        <v>3900</v>
      </c>
      <c r="L287" t="s">
        <v>30</v>
      </c>
      <c r="M287">
        <v>3</v>
      </c>
      <c r="N287">
        <v>5</v>
      </c>
      <c r="O287">
        <v>28</v>
      </c>
      <c r="P287" t="s">
        <v>21</v>
      </c>
      <c r="Q287" s="1"/>
      <c r="U287">
        <v>1</v>
      </c>
      <c r="V287">
        <v>1</v>
      </c>
      <c r="W287">
        <v>0</v>
      </c>
    </row>
    <row r="288" spans="1:23" ht="16.5" x14ac:dyDescent="0.3">
      <c r="A288" t="s">
        <v>354</v>
      </c>
      <c r="B288" t="s">
        <v>73</v>
      </c>
      <c r="C288" t="s">
        <v>25</v>
      </c>
      <c r="D288" t="s">
        <v>37</v>
      </c>
      <c r="E288">
        <v>28</v>
      </c>
      <c r="F288" t="s">
        <v>27</v>
      </c>
      <c r="G288" t="s">
        <v>38</v>
      </c>
      <c r="H288" s="1">
        <v>45290</v>
      </c>
      <c r="I288" s="2">
        <v>2</v>
      </c>
      <c r="J288" t="s">
        <v>29</v>
      </c>
      <c r="K288" s="3">
        <v>4750</v>
      </c>
      <c r="L288" t="s">
        <v>30</v>
      </c>
      <c r="M288">
        <v>3</v>
      </c>
      <c r="N288">
        <v>3</v>
      </c>
      <c r="O288">
        <v>10</v>
      </c>
      <c r="P288" t="s">
        <v>21</v>
      </c>
      <c r="Q288" s="1"/>
      <c r="U288">
        <v>1</v>
      </c>
      <c r="V288">
        <v>1</v>
      </c>
      <c r="W288">
        <v>0</v>
      </c>
    </row>
    <row r="289" spans="1:23" ht="16.5" x14ac:dyDescent="0.3">
      <c r="A289" t="s">
        <v>355</v>
      </c>
      <c r="B289" t="s">
        <v>55</v>
      </c>
      <c r="C289" t="s">
        <v>25</v>
      </c>
      <c r="D289" t="s">
        <v>26</v>
      </c>
      <c r="E289">
        <v>28</v>
      </c>
      <c r="F289" t="s">
        <v>27</v>
      </c>
      <c r="G289" t="s">
        <v>28</v>
      </c>
      <c r="H289" s="1">
        <v>44161</v>
      </c>
      <c r="I289" s="2">
        <v>3.8</v>
      </c>
      <c r="J289" t="s">
        <v>50</v>
      </c>
      <c r="K289" s="3">
        <v>4450</v>
      </c>
      <c r="L289" t="s">
        <v>30</v>
      </c>
      <c r="M289">
        <v>2</v>
      </c>
      <c r="N289">
        <v>2</v>
      </c>
      <c r="O289">
        <v>9</v>
      </c>
      <c r="P289" t="s">
        <v>22</v>
      </c>
      <c r="Q289" s="1">
        <v>45544</v>
      </c>
      <c r="R289" t="s">
        <v>31</v>
      </c>
      <c r="S289" t="s">
        <v>259</v>
      </c>
      <c r="T289" t="s">
        <v>60</v>
      </c>
      <c r="U289">
        <v>1</v>
      </c>
      <c r="V289">
        <v>0</v>
      </c>
      <c r="W289">
        <v>1</v>
      </c>
    </row>
    <row r="290" spans="1:23" ht="16.5" x14ac:dyDescent="0.3">
      <c r="A290" t="s">
        <v>356</v>
      </c>
      <c r="B290" t="s">
        <v>70</v>
      </c>
      <c r="C290" t="s">
        <v>87</v>
      </c>
      <c r="D290" t="s">
        <v>26</v>
      </c>
      <c r="E290">
        <v>36</v>
      </c>
      <c r="F290" t="s">
        <v>46</v>
      </c>
      <c r="G290" t="s">
        <v>52</v>
      </c>
      <c r="H290" s="1">
        <v>42276</v>
      </c>
      <c r="I290" s="2">
        <v>10.3</v>
      </c>
      <c r="J290" t="s">
        <v>39</v>
      </c>
      <c r="K290" s="3">
        <v>10650</v>
      </c>
      <c r="L290" t="s">
        <v>30</v>
      </c>
      <c r="M290">
        <v>5</v>
      </c>
      <c r="N290">
        <v>3</v>
      </c>
      <c r="O290">
        <v>26</v>
      </c>
      <c r="P290" t="s">
        <v>21</v>
      </c>
      <c r="Q290" s="1"/>
      <c r="U290">
        <v>1</v>
      </c>
      <c r="V290">
        <v>1</v>
      </c>
      <c r="W290">
        <v>0</v>
      </c>
    </row>
    <row r="291" spans="1:23" ht="16.5" x14ac:dyDescent="0.3">
      <c r="A291" t="s">
        <v>357</v>
      </c>
      <c r="B291" t="s">
        <v>35</v>
      </c>
      <c r="C291" t="s">
        <v>25</v>
      </c>
      <c r="D291" t="s">
        <v>37</v>
      </c>
      <c r="E291">
        <v>28</v>
      </c>
      <c r="F291" t="s">
        <v>27</v>
      </c>
      <c r="G291" t="s">
        <v>28</v>
      </c>
      <c r="H291" s="1">
        <v>45656</v>
      </c>
      <c r="I291" s="2">
        <v>1</v>
      </c>
      <c r="J291" t="s">
        <v>64</v>
      </c>
      <c r="K291" s="3">
        <v>3750</v>
      </c>
      <c r="L291" t="s">
        <v>30</v>
      </c>
      <c r="M291">
        <v>5</v>
      </c>
      <c r="N291">
        <v>3</v>
      </c>
      <c r="O291">
        <v>31</v>
      </c>
      <c r="P291" t="s">
        <v>21</v>
      </c>
      <c r="Q291" s="1"/>
      <c r="U291">
        <v>1</v>
      </c>
      <c r="V291">
        <v>1</v>
      </c>
      <c r="W291">
        <v>0</v>
      </c>
    </row>
    <row r="292" spans="1:23" ht="16.5" x14ac:dyDescent="0.3">
      <c r="A292" t="s">
        <v>358</v>
      </c>
      <c r="B292" t="s">
        <v>35</v>
      </c>
      <c r="C292" t="s">
        <v>25</v>
      </c>
      <c r="D292" t="s">
        <v>26</v>
      </c>
      <c r="E292">
        <v>31</v>
      </c>
      <c r="F292" t="s">
        <v>27</v>
      </c>
      <c r="G292" t="s">
        <v>28</v>
      </c>
      <c r="H292" s="1">
        <v>44049</v>
      </c>
      <c r="I292" s="2">
        <v>5.4</v>
      </c>
      <c r="J292" t="s">
        <v>39</v>
      </c>
      <c r="K292" s="3">
        <v>3900</v>
      </c>
      <c r="L292" t="s">
        <v>30</v>
      </c>
      <c r="M292">
        <v>3</v>
      </c>
      <c r="N292">
        <v>4</v>
      </c>
      <c r="O292">
        <v>30</v>
      </c>
      <c r="P292" t="s">
        <v>21</v>
      </c>
      <c r="Q292" s="1"/>
      <c r="U292">
        <v>1</v>
      </c>
      <c r="V292">
        <v>1</v>
      </c>
      <c r="W292">
        <v>0</v>
      </c>
    </row>
    <row r="293" spans="1:23" ht="16.5" x14ac:dyDescent="0.3">
      <c r="A293" t="s">
        <v>359</v>
      </c>
      <c r="B293" t="s">
        <v>44</v>
      </c>
      <c r="C293" t="s">
        <v>25</v>
      </c>
      <c r="D293" t="s">
        <v>37</v>
      </c>
      <c r="E293">
        <v>25</v>
      </c>
      <c r="F293" t="s">
        <v>57</v>
      </c>
      <c r="G293" t="s">
        <v>38</v>
      </c>
      <c r="H293" s="1">
        <v>44959</v>
      </c>
      <c r="I293" s="2">
        <v>2.9</v>
      </c>
      <c r="J293" t="s">
        <v>29</v>
      </c>
      <c r="K293" s="3">
        <v>5100</v>
      </c>
      <c r="L293" t="s">
        <v>30</v>
      </c>
      <c r="M293">
        <v>5</v>
      </c>
      <c r="N293">
        <v>3</v>
      </c>
      <c r="O293">
        <v>35</v>
      </c>
      <c r="P293" t="s">
        <v>21</v>
      </c>
      <c r="Q293" s="1"/>
      <c r="U293">
        <v>1</v>
      </c>
      <c r="V293">
        <v>1</v>
      </c>
      <c r="W293">
        <v>0</v>
      </c>
    </row>
    <row r="294" spans="1:23" ht="16.5" x14ac:dyDescent="0.3">
      <c r="A294" t="s">
        <v>360</v>
      </c>
      <c r="B294" t="s">
        <v>70</v>
      </c>
      <c r="C294" t="s">
        <v>36</v>
      </c>
      <c r="D294" t="s">
        <v>37</v>
      </c>
      <c r="E294">
        <v>38</v>
      </c>
      <c r="F294" t="s">
        <v>46</v>
      </c>
      <c r="G294" t="s">
        <v>28</v>
      </c>
      <c r="H294" s="1">
        <v>42039</v>
      </c>
      <c r="I294" s="2">
        <v>10.9</v>
      </c>
      <c r="J294" t="s">
        <v>39</v>
      </c>
      <c r="K294" s="3">
        <v>4800</v>
      </c>
      <c r="L294" t="s">
        <v>30</v>
      </c>
      <c r="M294">
        <v>4</v>
      </c>
      <c r="N294">
        <v>3</v>
      </c>
      <c r="O294">
        <v>22</v>
      </c>
      <c r="P294" t="s">
        <v>21</v>
      </c>
      <c r="Q294" s="1"/>
      <c r="U294">
        <v>1</v>
      </c>
      <c r="V294">
        <v>1</v>
      </c>
      <c r="W294">
        <v>0</v>
      </c>
    </row>
    <row r="295" spans="1:23" ht="16.5" x14ac:dyDescent="0.3">
      <c r="A295" t="s">
        <v>361</v>
      </c>
      <c r="B295" t="s">
        <v>55</v>
      </c>
      <c r="C295" t="s">
        <v>25</v>
      </c>
      <c r="D295" t="s">
        <v>26</v>
      </c>
      <c r="E295">
        <v>34</v>
      </c>
      <c r="F295" t="s">
        <v>27</v>
      </c>
      <c r="G295" t="s">
        <v>52</v>
      </c>
      <c r="H295" s="1">
        <v>44358</v>
      </c>
      <c r="I295" s="2">
        <v>4.5999999999999996</v>
      </c>
      <c r="J295" t="s">
        <v>50</v>
      </c>
      <c r="K295" s="3">
        <v>5000</v>
      </c>
      <c r="L295" t="s">
        <v>30</v>
      </c>
      <c r="M295">
        <v>4</v>
      </c>
      <c r="N295">
        <v>5</v>
      </c>
      <c r="O295">
        <v>26</v>
      </c>
      <c r="P295" t="s">
        <v>21</v>
      </c>
      <c r="Q295" s="1"/>
      <c r="U295">
        <v>1</v>
      </c>
      <c r="V295">
        <v>1</v>
      </c>
      <c r="W295">
        <v>0</v>
      </c>
    </row>
    <row r="296" spans="1:23" ht="16.5" x14ac:dyDescent="0.3">
      <c r="A296" t="s">
        <v>362</v>
      </c>
      <c r="B296" t="s">
        <v>48</v>
      </c>
      <c r="C296" t="s">
        <v>25</v>
      </c>
      <c r="D296" t="s">
        <v>37</v>
      </c>
      <c r="E296">
        <v>24</v>
      </c>
      <c r="F296" t="s">
        <v>57</v>
      </c>
      <c r="G296" t="s">
        <v>28</v>
      </c>
      <c r="H296" s="1">
        <v>45858</v>
      </c>
      <c r="I296" s="2">
        <v>0.4</v>
      </c>
      <c r="J296" t="s">
        <v>64</v>
      </c>
      <c r="K296" s="3">
        <v>5350</v>
      </c>
      <c r="L296" t="s">
        <v>30</v>
      </c>
      <c r="M296">
        <v>2</v>
      </c>
      <c r="N296">
        <v>2</v>
      </c>
      <c r="O296">
        <v>22</v>
      </c>
      <c r="P296" t="s">
        <v>21</v>
      </c>
      <c r="Q296" s="1"/>
      <c r="U296">
        <v>1</v>
      </c>
      <c r="V296">
        <v>1</v>
      </c>
      <c r="W296">
        <v>0</v>
      </c>
    </row>
    <row r="297" spans="1:23" ht="16.5" x14ac:dyDescent="0.3">
      <c r="A297" t="s">
        <v>363</v>
      </c>
      <c r="B297" t="s">
        <v>35</v>
      </c>
      <c r="C297" t="s">
        <v>36</v>
      </c>
      <c r="D297" t="s">
        <v>37</v>
      </c>
      <c r="E297">
        <v>37</v>
      </c>
      <c r="F297" t="s">
        <v>46</v>
      </c>
      <c r="G297" t="s">
        <v>28</v>
      </c>
      <c r="H297" s="1">
        <v>44198</v>
      </c>
      <c r="I297" s="2">
        <v>5</v>
      </c>
      <c r="J297" t="s">
        <v>50</v>
      </c>
      <c r="K297" s="3">
        <v>4700</v>
      </c>
      <c r="L297" t="s">
        <v>30</v>
      </c>
      <c r="M297">
        <v>5</v>
      </c>
      <c r="N297">
        <v>3</v>
      </c>
      <c r="O297">
        <v>41</v>
      </c>
      <c r="P297" t="s">
        <v>21</v>
      </c>
      <c r="Q297" s="1"/>
      <c r="U297">
        <v>1</v>
      </c>
      <c r="V297">
        <v>1</v>
      </c>
      <c r="W297">
        <v>0</v>
      </c>
    </row>
    <row r="298" spans="1:23" ht="16.5" x14ac:dyDescent="0.3">
      <c r="A298" t="s">
        <v>364</v>
      </c>
      <c r="B298" t="s">
        <v>70</v>
      </c>
      <c r="C298" t="s">
        <v>25</v>
      </c>
      <c r="D298" t="s">
        <v>37</v>
      </c>
      <c r="E298">
        <v>21</v>
      </c>
      <c r="F298" t="s">
        <v>57</v>
      </c>
      <c r="G298" t="s">
        <v>52</v>
      </c>
      <c r="H298" s="1">
        <v>45919</v>
      </c>
      <c r="I298" s="2">
        <v>0.3</v>
      </c>
      <c r="J298" t="s">
        <v>64</v>
      </c>
      <c r="K298" s="3">
        <v>4250</v>
      </c>
      <c r="L298" t="s">
        <v>58</v>
      </c>
      <c r="M298">
        <v>3</v>
      </c>
      <c r="N298">
        <v>4</v>
      </c>
      <c r="O298">
        <v>19</v>
      </c>
      <c r="P298" t="s">
        <v>21</v>
      </c>
      <c r="Q298" s="1"/>
      <c r="U298">
        <v>1</v>
      </c>
      <c r="V298">
        <v>1</v>
      </c>
      <c r="W298">
        <v>0</v>
      </c>
    </row>
    <row r="299" spans="1:23" ht="16.5" x14ac:dyDescent="0.3">
      <c r="A299" t="s">
        <v>365</v>
      </c>
      <c r="B299" t="s">
        <v>55</v>
      </c>
      <c r="C299" t="s">
        <v>25</v>
      </c>
      <c r="D299" t="s">
        <v>26</v>
      </c>
      <c r="E299">
        <v>29</v>
      </c>
      <c r="F299" t="s">
        <v>27</v>
      </c>
      <c r="G299" t="s">
        <v>28</v>
      </c>
      <c r="H299" s="1">
        <v>45410</v>
      </c>
      <c r="I299" s="2">
        <v>1.7</v>
      </c>
      <c r="J299" t="s">
        <v>29</v>
      </c>
      <c r="K299" s="3">
        <v>4500</v>
      </c>
      <c r="L299" t="s">
        <v>30</v>
      </c>
      <c r="M299">
        <v>4</v>
      </c>
      <c r="N299">
        <v>4</v>
      </c>
      <c r="O299">
        <v>10</v>
      </c>
      <c r="P299" t="s">
        <v>21</v>
      </c>
      <c r="Q299" s="1"/>
      <c r="U299">
        <v>1</v>
      </c>
      <c r="V299">
        <v>1</v>
      </c>
      <c r="W299">
        <v>0</v>
      </c>
    </row>
    <row r="300" spans="1:23" ht="16.5" x14ac:dyDescent="0.3">
      <c r="A300" t="s">
        <v>366</v>
      </c>
      <c r="B300" t="s">
        <v>35</v>
      </c>
      <c r="C300" t="s">
        <v>25</v>
      </c>
      <c r="D300" t="s">
        <v>37</v>
      </c>
      <c r="E300">
        <v>33</v>
      </c>
      <c r="F300" t="s">
        <v>27</v>
      </c>
      <c r="G300" t="s">
        <v>38</v>
      </c>
      <c r="H300" s="1">
        <v>42802</v>
      </c>
      <c r="I300" s="2">
        <v>7.4</v>
      </c>
      <c r="J300" t="s">
        <v>39</v>
      </c>
      <c r="K300" s="3">
        <v>3400</v>
      </c>
      <c r="L300" t="s">
        <v>58</v>
      </c>
      <c r="M300">
        <v>3</v>
      </c>
      <c r="N300">
        <v>5</v>
      </c>
      <c r="O300">
        <v>22</v>
      </c>
      <c r="P300" t="s">
        <v>22</v>
      </c>
      <c r="Q300" s="1">
        <v>45509</v>
      </c>
      <c r="R300" t="s">
        <v>31</v>
      </c>
      <c r="S300" t="s">
        <v>41</v>
      </c>
      <c r="T300" t="s">
        <v>60</v>
      </c>
      <c r="U300">
        <v>1</v>
      </c>
      <c r="V300">
        <v>0</v>
      </c>
      <c r="W300">
        <v>1</v>
      </c>
    </row>
    <row r="301" spans="1:23" ht="16.5" x14ac:dyDescent="0.3">
      <c r="A301" t="s">
        <v>367</v>
      </c>
      <c r="B301" t="s">
        <v>55</v>
      </c>
      <c r="C301" t="s">
        <v>87</v>
      </c>
      <c r="D301" t="s">
        <v>26</v>
      </c>
      <c r="E301">
        <v>48</v>
      </c>
      <c r="F301" t="s">
        <v>88</v>
      </c>
      <c r="G301" t="s">
        <v>38</v>
      </c>
      <c r="H301" s="1">
        <v>42895</v>
      </c>
      <c r="I301" s="2">
        <v>8.6</v>
      </c>
      <c r="J301" t="s">
        <v>39</v>
      </c>
      <c r="K301" s="3">
        <v>10800</v>
      </c>
      <c r="L301" t="s">
        <v>30</v>
      </c>
      <c r="M301">
        <v>3</v>
      </c>
      <c r="N301">
        <v>3</v>
      </c>
      <c r="O301">
        <v>16</v>
      </c>
      <c r="P301" t="s">
        <v>21</v>
      </c>
      <c r="Q301" s="1"/>
      <c r="U301">
        <v>1</v>
      </c>
      <c r="V301">
        <v>1</v>
      </c>
      <c r="W301">
        <v>0</v>
      </c>
    </row>
    <row r="302" spans="1:23" ht="16.5" x14ac:dyDescent="0.3">
      <c r="A302" t="s">
        <v>368</v>
      </c>
      <c r="B302" t="s">
        <v>24</v>
      </c>
      <c r="C302" t="s">
        <v>25</v>
      </c>
      <c r="D302" t="s">
        <v>37</v>
      </c>
      <c r="E302">
        <v>21</v>
      </c>
      <c r="F302" t="s">
        <v>57</v>
      </c>
      <c r="G302" t="s">
        <v>38</v>
      </c>
      <c r="H302" s="1">
        <v>45966</v>
      </c>
      <c r="I302" s="2">
        <v>0.2</v>
      </c>
      <c r="J302" t="s">
        <v>64</v>
      </c>
      <c r="K302" s="3">
        <v>2700</v>
      </c>
      <c r="L302" t="s">
        <v>58</v>
      </c>
      <c r="M302">
        <v>3</v>
      </c>
      <c r="N302">
        <v>3</v>
      </c>
      <c r="O302">
        <v>39</v>
      </c>
      <c r="P302" t="s">
        <v>21</v>
      </c>
      <c r="Q302" s="1"/>
      <c r="U302">
        <v>1</v>
      </c>
      <c r="V302">
        <v>1</v>
      </c>
      <c r="W302">
        <v>0</v>
      </c>
    </row>
    <row r="303" spans="1:23" ht="16.5" x14ac:dyDescent="0.3">
      <c r="A303" t="s">
        <v>369</v>
      </c>
      <c r="B303" t="s">
        <v>48</v>
      </c>
      <c r="C303" t="s">
        <v>45</v>
      </c>
      <c r="D303" t="s">
        <v>37</v>
      </c>
      <c r="E303">
        <v>46</v>
      </c>
      <c r="F303" t="s">
        <v>88</v>
      </c>
      <c r="G303" t="s">
        <v>52</v>
      </c>
      <c r="H303" s="1">
        <v>40651</v>
      </c>
      <c r="I303" s="2">
        <v>14.7</v>
      </c>
      <c r="J303" t="s">
        <v>39</v>
      </c>
      <c r="K303" s="3">
        <v>14050</v>
      </c>
      <c r="L303" t="s">
        <v>30</v>
      </c>
      <c r="M303">
        <v>3</v>
      </c>
      <c r="N303">
        <v>5</v>
      </c>
      <c r="O303">
        <v>14</v>
      </c>
      <c r="P303" t="s">
        <v>21</v>
      </c>
      <c r="Q303" s="1"/>
      <c r="U303">
        <v>1</v>
      </c>
      <c r="V303">
        <v>1</v>
      </c>
      <c r="W303">
        <v>0</v>
      </c>
    </row>
    <row r="304" spans="1:23" ht="16.5" x14ac:dyDescent="0.3">
      <c r="A304" t="s">
        <v>370</v>
      </c>
      <c r="B304" t="s">
        <v>44</v>
      </c>
      <c r="C304" t="s">
        <v>45</v>
      </c>
      <c r="D304" t="s">
        <v>26</v>
      </c>
      <c r="E304">
        <v>43</v>
      </c>
      <c r="F304" t="s">
        <v>46</v>
      </c>
      <c r="G304" t="s">
        <v>52</v>
      </c>
      <c r="H304" s="1">
        <v>43989</v>
      </c>
      <c r="I304" s="2">
        <v>5.6</v>
      </c>
      <c r="J304" t="s">
        <v>39</v>
      </c>
      <c r="K304" s="3">
        <v>9300</v>
      </c>
      <c r="L304" t="s">
        <v>30</v>
      </c>
      <c r="M304">
        <v>5</v>
      </c>
      <c r="N304">
        <v>2</v>
      </c>
      <c r="O304">
        <v>19</v>
      </c>
      <c r="P304" t="s">
        <v>21</v>
      </c>
      <c r="Q304" s="1"/>
      <c r="U304">
        <v>1</v>
      </c>
      <c r="V304">
        <v>1</v>
      </c>
      <c r="W304">
        <v>0</v>
      </c>
    </row>
    <row r="305" spans="1:23" ht="16.5" x14ac:dyDescent="0.3">
      <c r="A305" t="s">
        <v>371</v>
      </c>
      <c r="B305" t="s">
        <v>24</v>
      </c>
      <c r="C305" t="s">
        <v>87</v>
      </c>
      <c r="D305" t="s">
        <v>37</v>
      </c>
      <c r="E305">
        <v>35</v>
      </c>
      <c r="F305" t="s">
        <v>27</v>
      </c>
      <c r="G305" t="s">
        <v>28</v>
      </c>
      <c r="H305" s="1">
        <v>43437</v>
      </c>
      <c r="I305" s="2">
        <v>7.1</v>
      </c>
      <c r="J305" t="s">
        <v>39</v>
      </c>
      <c r="K305" s="3">
        <v>5850</v>
      </c>
      <c r="L305" t="s">
        <v>30</v>
      </c>
      <c r="M305">
        <v>5</v>
      </c>
      <c r="N305">
        <v>3</v>
      </c>
      <c r="O305">
        <v>37</v>
      </c>
      <c r="P305" t="s">
        <v>21</v>
      </c>
      <c r="Q305" s="1"/>
      <c r="U305">
        <v>1</v>
      </c>
      <c r="V305">
        <v>1</v>
      </c>
      <c r="W305">
        <v>0</v>
      </c>
    </row>
    <row r="306" spans="1:23" ht="16.5" x14ac:dyDescent="0.3">
      <c r="A306" t="s">
        <v>372</v>
      </c>
      <c r="B306" t="s">
        <v>70</v>
      </c>
      <c r="C306" t="s">
        <v>45</v>
      </c>
      <c r="D306" t="s">
        <v>26</v>
      </c>
      <c r="E306">
        <v>39</v>
      </c>
      <c r="F306" t="s">
        <v>46</v>
      </c>
      <c r="G306" t="s">
        <v>38</v>
      </c>
      <c r="H306" s="1">
        <v>41678</v>
      </c>
      <c r="I306" s="2">
        <v>11.9</v>
      </c>
      <c r="J306" t="s">
        <v>39</v>
      </c>
      <c r="K306" s="3">
        <v>6350</v>
      </c>
      <c r="L306" t="s">
        <v>30</v>
      </c>
      <c r="M306">
        <v>3</v>
      </c>
      <c r="N306">
        <v>2</v>
      </c>
      <c r="O306">
        <v>33</v>
      </c>
      <c r="P306" t="s">
        <v>21</v>
      </c>
      <c r="Q306" s="1"/>
      <c r="U306">
        <v>1</v>
      </c>
      <c r="V306">
        <v>1</v>
      </c>
      <c r="W306">
        <v>0</v>
      </c>
    </row>
    <row r="307" spans="1:23" ht="16.5" x14ac:dyDescent="0.3">
      <c r="A307" t="s">
        <v>373</v>
      </c>
      <c r="B307" t="s">
        <v>70</v>
      </c>
      <c r="C307" t="s">
        <v>25</v>
      </c>
      <c r="D307" t="s">
        <v>26</v>
      </c>
      <c r="E307">
        <v>27</v>
      </c>
      <c r="F307" t="s">
        <v>27</v>
      </c>
      <c r="G307" t="s">
        <v>38</v>
      </c>
      <c r="H307" s="1">
        <v>44520</v>
      </c>
      <c r="I307" s="2">
        <v>2.8</v>
      </c>
      <c r="J307" t="s">
        <v>29</v>
      </c>
      <c r="K307" s="3">
        <v>4500</v>
      </c>
      <c r="L307" t="s">
        <v>58</v>
      </c>
      <c r="M307">
        <v>2</v>
      </c>
      <c r="N307">
        <v>3</v>
      </c>
      <c r="O307">
        <v>29</v>
      </c>
      <c r="P307" t="s">
        <v>22</v>
      </c>
      <c r="Q307" s="1">
        <v>45531</v>
      </c>
      <c r="R307" t="s">
        <v>31</v>
      </c>
      <c r="S307" t="s">
        <v>41</v>
      </c>
      <c r="T307" t="s">
        <v>42</v>
      </c>
      <c r="U307">
        <v>1</v>
      </c>
      <c r="V307">
        <v>0</v>
      </c>
      <c r="W307">
        <v>1</v>
      </c>
    </row>
    <row r="308" spans="1:23" ht="16.5" x14ac:dyDescent="0.3">
      <c r="A308" t="s">
        <v>374</v>
      </c>
      <c r="B308" t="s">
        <v>24</v>
      </c>
      <c r="C308" t="s">
        <v>25</v>
      </c>
      <c r="D308" t="s">
        <v>26</v>
      </c>
      <c r="E308">
        <v>35</v>
      </c>
      <c r="F308" t="s">
        <v>27</v>
      </c>
      <c r="G308" t="s">
        <v>28</v>
      </c>
      <c r="H308" s="1">
        <v>44104</v>
      </c>
      <c r="I308" s="2">
        <v>4</v>
      </c>
      <c r="J308" t="s">
        <v>50</v>
      </c>
      <c r="K308" s="3">
        <v>2800</v>
      </c>
      <c r="L308" t="s">
        <v>30</v>
      </c>
      <c r="M308">
        <v>3</v>
      </c>
      <c r="N308">
        <v>3</v>
      </c>
      <c r="O308">
        <v>10</v>
      </c>
      <c r="P308" t="s">
        <v>22</v>
      </c>
      <c r="Q308" s="1">
        <v>45563</v>
      </c>
      <c r="R308" t="s">
        <v>31</v>
      </c>
      <c r="S308" t="s">
        <v>259</v>
      </c>
      <c r="T308" t="s">
        <v>85</v>
      </c>
      <c r="U308">
        <v>1</v>
      </c>
      <c r="V308">
        <v>0</v>
      </c>
      <c r="W308">
        <v>1</v>
      </c>
    </row>
    <row r="309" spans="1:23" ht="16.5" x14ac:dyDescent="0.3">
      <c r="A309" t="s">
        <v>375</v>
      </c>
      <c r="B309" t="s">
        <v>35</v>
      </c>
      <c r="C309" t="s">
        <v>25</v>
      </c>
      <c r="D309" t="s">
        <v>37</v>
      </c>
      <c r="E309">
        <v>28</v>
      </c>
      <c r="F309" t="s">
        <v>27</v>
      </c>
      <c r="G309" t="s">
        <v>52</v>
      </c>
      <c r="H309" s="1">
        <v>45285</v>
      </c>
      <c r="I309" s="2">
        <v>2</v>
      </c>
      <c r="J309" t="s">
        <v>29</v>
      </c>
      <c r="K309" s="3">
        <v>3200</v>
      </c>
      <c r="L309" t="s">
        <v>30</v>
      </c>
      <c r="M309">
        <v>4</v>
      </c>
      <c r="N309">
        <v>3</v>
      </c>
      <c r="O309">
        <v>39</v>
      </c>
      <c r="P309" t="s">
        <v>21</v>
      </c>
      <c r="Q309" s="1"/>
      <c r="U309">
        <v>1</v>
      </c>
      <c r="V309">
        <v>1</v>
      </c>
      <c r="W309">
        <v>0</v>
      </c>
    </row>
    <row r="310" spans="1:23" ht="16.5" x14ac:dyDescent="0.3">
      <c r="A310" t="s">
        <v>376</v>
      </c>
      <c r="B310" t="s">
        <v>24</v>
      </c>
      <c r="C310" t="s">
        <v>25</v>
      </c>
      <c r="D310" t="s">
        <v>37</v>
      </c>
      <c r="E310">
        <v>34</v>
      </c>
      <c r="F310" t="s">
        <v>27</v>
      </c>
      <c r="G310" t="s">
        <v>38</v>
      </c>
      <c r="H310" s="1">
        <v>43813</v>
      </c>
      <c r="I310" s="2">
        <v>6</v>
      </c>
      <c r="J310" t="s">
        <v>39</v>
      </c>
      <c r="K310" s="3">
        <v>2700</v>
      </c>
      <c r="L310" t="s">
        <v>30</v>
      </c>
      <c r="M310">
        <v>5</v>
      </c>
      <c r="N310">
        <v>4</v>
      </c>
      <c r="O310">
        <v>24</v>
      </c>
      <c r="P310" t="s">
        <v>21</v>
      </c>
      <c r="Q310" s="1"/>
      <c r="U310">
        <v>1</v>
      </c>
      <c r="V310">
        <v>1</v>
      </c>
      <c r="W310">
        <v>0</v>
      </c>
    </row>
    <row r="311" spans="1:23" ht="16.5" x14ac:dyDescent="0.3">
      <c r="A311" t="s">
        <v>377</v>
      </c>
      <c r="B311" t="s">
        <v>48</v>
      </c>
      <c r="C311" t="s">
        <v>36</v>
      </c>
      <c r="D311" t="s">
        <v>26</v>
      </c>
      <c r="E311">
        <v>37</v>
      </c>
      <c r="F311" t="s">
        <v>46</v>
      </c>
      <c r="G311" t="s">
        <v>38</v>
      </c>
      <c r="H311" s="1">
        <v>42784</v>
      </c>
      <c r="I311" s="2">
        <v>8.9</v>
      </c>
      <c r="J311" t="s">
        <v>39</v>
      </c>
      <c r="K311" s="3">
        <v>8350</v>
      </c>
      <c r="L311" t="s">
        <v>58</v>
      </c>
      <c r="M311">
        <v>4</v>
      </c>
      <c r="N311">
        <v>4</v>
      </c>
      <c r="O311">
        <v>20</v>
      </c>
      <c r="P311" t="s">
        <v>21</v>
      </c>
      <c r="Q311" s="1"/>
      <c r="U311">
        <v>1</v>
      </c>
      <c r="V311">
        <v>1</v>
      </c>
      <c r="W311">
        <v>0</v>
      </c>
    </row>
    <row r="312" spans="1:23" ht="16.5" x14ac:dyDescent="0.3">
      <c r="A312" t="s">
        <v>378</v>
      </c>
      <c r="B312" t="s">
        <v>35</v>
      </c>
      <c r="C312" t="s">
        <v>36</v>
      </c>
      <c r="D312" t="s">
        <v>26</v>
      </c>
      <c r="E312">
        <v>31</v>
      </c>
      <c r="F312" t="s">
        <v>27</v>
      </c>
      <c r="G312" t="s">
        <v>38</v>
      </c>
      <c r="H312" s="1">
        <v>43852</v>
      </c>
      <c r="I312" s="2">
        <v>4.5999999999999996</v>
      </c>
      <c r="J312" t="s">
        <v>50</v>
      </c>
      <c r="K312" s="3">
        <v>4150</v>
      </c>
      <c r="L312" t="s">
        <v>58</v>
      </c>
      <c r="M312">
        <v>3</v>
      </c>
      <c r="N312">
        <v>3</v>
      </c>
      <c r="O312">
        <v>16</v>
      </c>
      <c r="P312" t="s">
        <v>22</v>
      </c>
      <c r="Q312" s="1">
        <v>45520</v>
      </c>
      <c r="R312" t="s">
        <v>31</v>
      </c>
      <c r="S312" t="s">
        <v>41</v>
      </c>
      <c r="T312" t="s">
        <v>42</v>
      </c>
      <c r="U312">
        <v>1</v>
      </c>
      <c r="V312">
        <v>0</v>
      </c>
      <c r="W312">
        <v>1</v>
      </c>
    </row>
    <row r="313" spans="1:23" ht="16.5" x14ac:dyDescent="0.3">
      <c r="A313" t="s">
        <v>379</v>
      </c>
      <c r="B313" t="s">
        <v>44</v>
      </c>
      <c r="C313" t="s">
        <v>25</v>
      </c>
      <c r="D313" t="s">
        <v>37</v>
      </c>
      <c r="E313">
        <v>21</v>
      </c>
      <c r="F313" t="s">
        <v>57</v>
      </c>
      <c r="G313" t="s">
        <v>28</v>
      </c>
      <c r="H313" s="1">
        <v>45995</v>
      </c>
      <c r="I313" s="2">
        <v>0.1</v>
      </c>
      <c r="J313" t="s">
        <v>64</v>
      </c>
      <c r="K313" s="3">
        <v>4950</v>
      </c>
      <c r="L313" t="s">
        <v>30</v>
      </c>
      <c r="M313">
        <v>4</v>
      </c>
      <c r="N313">
        <v>4</v>
      </c>
      <c r="O313">
        <v>16</v>
      </c>
      <c r="P313" t="s">
        <v>21</v>
      </c>
      <c r="Q313" s="1"/>
      <c r="U313">
        <v>1</v>
      </c>
      <c r="V313">
        <v>1</v>
      </c>
      <c r="W313">
        <v>0</v>
      </c>
    </row>
    <row r="314" spans="1:23" ht="16.5" x14ac:dyDescent="0.3">
      <c r="A314" t="s">
        <v>380</v>
      </c>
      <c r="B314" t="s">
        <v>73</v>
      </c>
      <c r="C314" t="s">
        <v>25</v>
      </c>
      <c r="D314" t="s">
        <v>37</v>
      </c>
      <c r="E314">
        <v>28</v>
      </c>
      <c r="F314" t="s">
        <v>27</v>
      </c>
      <c r="G314" t="s">
        <v>28</v>
      </c>
      <c r="H314" s="1">
        <v>43997</v>
      </c>
      <c r="I314" s="2">
        <v>5.5</v>
      </c>
      <c r="J314" t="s">
        <v>39</v>
      </c>
      <c r="K314" s="3">
        <v>4050</v>
      </c>
      <c r="L314" t="s">
        <v>30</v>
      </c>
      <c r="M314">
        <v>5</v>
      </c>
      <c r="N314">
        <v>3</v>
      </c>
      <c r="O314">
        <v>22</v>
      </c>
      <c r="P314" t="s">
        <v>21</v>
      </c>
      <c r="Q314" s="1"/>
      <c r="U314">
        <v>1</v>
      </c>
      <c r="V314">
        <v>1</v>
      </c>
      <c r="W314">
        <v>0</v>
      </c>
    </row>
    <row r="315" spans="1:23" ht="16.5" x14ac:dyDescent="0.3">
      <c r="A315" t="s">
        <v>381</v>
      </c>
      <c r="B315" t="s">
        <v>55</v>
      </c>
      <c r="C315" t="s">
        <v>36</v>
      </c>
      <c r="D315" t="s">
        <v>37</v>
      </c>
      <c r="E315">
        <v>27</v>
      </c>
      <c r="F315" t="s">
        <v>27</v>
      </c>
      <c r="G315" t="s">
        <v>38</v>
      </c>
      <c r="H315" s="1">
        <v>44768</v>
      </c>
      <c r="I315" s="2">
        <v>3.4</v>
      </c>
      <c r="J315" t="s">
        <v>50</v>
      </c>
      <c r="K315" s="3">
        <v>4200</v>
      </c>
      <c r="L315" t="s">
        <v>30</v>
      </c>
      <c r="M315">
        <v>2</v>
      </c>
      <c r="N315">
        <v>4</v>
      </c>
      <c r="O315">
        <v>22</v>
      </c>
      <c r="P315" t="s">
        <v>21</v>
      </c>
      <c r="Q315" s="1"/>
      <c r="U315">
        <v>1</v>
      </c>
      <c r="V315">
        <v>1</v>
      </c>
      <c r="W315">
        <v>0</v>
      </c>
    </row>
    <row r="316" spans="1:23" ht="16.5" x14ac:dyDescent="0.3">
      <c r="A316" t="s">
        <v>382</v>
      </c>
      <c r="B316" t="s">
        <v>70</v>
      </c>
      <c r="C316" t="s">
        <v>25</v>
      </c>
      <c r="D316" t="s">
        <v>37</v>
      </c>
      <c r="E316">
        <v>21</v>
      </c>
      <c r="F316" t="s">
        <v>57</v>
      </c>
      <c r="G316" t="s">
        <v>38</v>
      </c>
      <c r="H316" s="1">
        <v>45974</v>
      </c>
      <c r="I316" s="2">
        <v>0.1</v>
      </c>
      <c r="J316" t="s">
        <v>64</v>
      </c>
      <c r="K316" s="3">
        <v>4650</v>
      </c>
      <c r="L316" t="s">
        <v>58</v>
      </c>
      <c r="M316">
        <v>3</v>
      </c>
      <c r="N316">
        <v>4</v>
      </c>
      <c r="O316">
        <v>13</v>
      </c>
      <c r="P316" t="s">
        <v>21</v>
      </c>
      <c r="Q316" s="1"/>
      <c r="U316">
        <v>1</v>
      </c>
      <c r="V316">
        <v>1</v>
      </c>
      <c r="W316">
        <v>0</v>
      </c>
    </row>
    <row r="317" spans="1:23" ht="16.5" x14ac:dyDescent="0.3">
      <c r="A317" t="s">
        <v>383</v>
      </c>
      <c r="B317" t="s">
        <v>70</v>
      </c>
      <c r="C317" t="s">
        <v>45</v>
      </c>
      <c r="D317" t="s">
        <v>37</v>
      </c>
      <c r="E317">
        <v>37</v>
      </c>
      <c r="F317" t="s">
        <v>46</v>
      </c>
      <c r="G317" t="s">
        <v>38</v>
      </c>
      <c r="H317" s="1">
        <v>45303</v>
      </c>
      <c r="I317" s="2">
        <v>2</v>
      </c>
      <c r="J317" t="s">
        <v>29</v>
      </c>
      <c r="K317" s="3">
        <v>7650</v>
      </c>
      <c r="L317" t="s">
        <v>30</v>
      </c>
      <c r="M317">
        <v>5</v>
      </c>
      <c r="N317">
        <v>3</v>
      </c>
      <c r="O317">
        <v>24</v>
      </c>
      <c r="P317" t="s">
        <v>21</v>
      </c>
      <c r="Q317" s="1"/>
      <c r="U317">
        <v>1</v>
      </c>
      <c r="V317">
        <v>1</v>
      </c>
      <c r="W317">
        <v>0</v>
      </c>
    </row>
    <row r="318" spans="1:23" ht="16.5" x14ac:dyDescent="0.3">
      <c r="A318" t="s">
        <v>384</v>
      </c>
      <c r="B318" t="s">
        <v>44</v>
      </c>
      <c r="C318" t="s">
        <v>36</v>
      </c>
      <c r="D318" t="s">
        <v>37</v>
      </c>
      <c r="E318">
        <v>36</v>
      </c>
      <c r="F318" t="s">
        <v>46</v>
      </c>
      <c r="G318" t="s">
        <v>52</v>
      </c>
      <c r="H318" s="1">
        <v>42374</v>
      </c>
      <c r="I318" s="2">
        <v>9.3000000000000007</v>
      </c>
      <c r="J318" t="s">
        <v>39</v>
      </c>
      <c r="K318" s="3">
        <v>7300</v>
      </c>
      <c r="L318" t="s">
        <v>58</v>
      </c>
      <c r="M318">
        <v>2</v>
      </c>
      <c r="N318">
        <v>3</v>
      </c>
      <c r="O318">
        <v>20</v>
      </c>
      <c r="P318" t="s">
        <v>22</v>
      </c>
      <c r="Q318" s="1">
        <v>45759</v>
      </c>
      <c r="R318" t="s">
        <v>40</v>
      </c>
      <c r="S318" t="s">
        <v>153</v>
      </c>
      <c r="T318" t="s">
        <v>42</v>
      </c>
      <c r="U318">
        <v>1</v>
      </c>
      <c r="V318">
        <v>0</v>
      </c>
      <c r="W318">
        <v>1</v>
      </c>
    </row>
    <row r="319" spans="1:23" ht="16.5" x14ac:dyDescent="0.3">
      <c r="A319" t="s">
        <v>385</v>
      </c>
      <c r="B319" t="s">
        <v>70</v>
      </c>
      <c r="C319" t="s">
        <v>36</v>
      </c>
      <c r="D319" t="s">
        <v>26</v>
      </c>
      <c r="E319">
        <v>37</v>
      </c>
      <c r="F319" t="s">
        <v>46</v>
      </c>
      <c r="G319" t="s">
        <v>38</v>
      </c>
      <c r="H319" s="1">
        <v>42465</v>
      </c>
      <c r="I319" s="2">
        <v>9.6999999999999993</v>
      </c>
      <c r="J319" t="s">
        <v>39</v>
      </c>
      <c r="K319" s="3">
        <v>5400</v>
      </c>
      <c r="L319" t="s">
        <v>30</v>
      </c>
      <c r="M319">
        <v>5</v>
      </c>
      <c r="N319">
        <v>3</v>
      </c>
      <c r="O319">
        <v>42</v>
      </c>
      <c r="P319" t="s">
        <v>21</v>
      </c>
      <c r="Q319" s="1"/>
      <c r="U319">
        <v>1</v>
      </c>
      <c r="V319">
        <v>1</v>
      </c>
      <c r="W319">
        <v>0</v>
      </c>
    </row>
    <row r="320" spans="1:23" ht="16.5" x14ac:dyDescent="0.3">
      <c r="A320" t="s">
        <v>386</v>
      </c>
      <c r="B320" t="s">
        <v>73</v>
      </c>
      <c r="C320" t="s">
        <v>36</v>
      </c>
      <c r="D320" t="s">
        <v>26</v>
      </c>
      <c r="E320">
        <v>43</v>
      </c>
      <c r="F320" t="s">
        <v>46</v>
      </c>
      <c r="G320" t="s">
        <v>28</v>
      </c>
      <c r="H320" s="1">
        <v>43868</v>
      </c>
      <c r="I320" s="2">
        <v>5.9</v>
      </c>
      <c r="J320" t="s">
        <v>39</v>
      </c>
      <c r="K320" s="3">
        <v>5150</v>
      </c>
      <c r="L320" t="s">
        <v>30</v>
      </c>
      <c r="M320">
        <v>3</v>
      </c>
      <c r="N320">
        <v>4</v>
      </c>
      <c r="O320">
        <v>27</v>
      </c>
      <c r="P320" t="s">
        <v>21</v>
      </c>
      <c r="Q320" s="1"/>
      <c r="U320">
        <v>1</v>
      </c>
      <c r="V320">
        <v>1</v>
      </c>
      <c r="W320">
        <v>0</v>
      </c>
    </row>
    <row r="321" spans="1:23" ht="16.5" x14ac:dyDescent="0.3">
      <c r="A321" t="s">
        <v>387</v>
      </c>
      <c r="B321" t="s">
        <v>55</v>
      </c>
      <c r="C321" t="s">
        <v>45</v>
      </c>
      <c r="D321" t="s">
        <v>37</v>
      </c>
      <c r="E321">
        <v>37</v>
      </c>
      <c r="F321" t="s">
        <v>46</v>
      </c>
      <c r="G321" t="s">
        <v>38</v>
      </c>
      <c r="H321" s="1">
        <v>44470</v>
      </c>
      <c r="I321" s="2">
        <v>4.2</v>
      </c>
      <c r="J321" t="s">
        <v>50</v>
      </c>
      <c r="K321" s="3">
        <v>7100</v>
      </c>
      <c r="L321" t="s">
        <v>58</v>
      </c>
      <c r="M321">
        <v>2</v>
      </c>
      <c r="N321">
        <v>3</v>
      </c>
      <c r="O321">
        <v>38</v>
      </c>
      <c r="P321" t="s">
        <v>21</v>
      </c>
      <c r="Q321" s="1"/>
      <c r="U321">
        <v>1</v>
      </c>
      <c r="V321">
        <v>1</v>
      </c>
      <c r="W321">
        <v>0</v>
      </c>
    </row>
    <row r="322" spans="1:23" ht="16.5" x14ac:dyDescent="0.3">
      <c r="A322" t="s">
        <v>388</v>
      </c>
      <c r="B322" t="s">
        <v>35</v>
      </c>
      <c r="C322" t="s">
        <v>36</v>
      </c>
      <c r="D322" t="s">
        <v>26</v>
      </c>
      <c r="E322">
        <v>28</v>
      </c>
      <c r="F322" t="s">
        <v>27</v>
      </c>
      <c r="G322" t="s">
        <v>38</v>
      </c>
      <c r="H322" s="1">
        <v>44120</v>
      </c>
      <c r="I322" s="2">
        <v>5.2</v>
      </c>
      <c r="J322" t="s">
        <v>39</v>
      </c>
      <c r="K322" s="3">
        <v>4350</v>
      </c>
      <c r="L322" t="s">
        <v>58</v>
      </c>
      <c r="M322">
        <v>2</v>
      </c>
      <c r="N322">
        <v>3</v>
      </c>
      <c r="O322">
        <v>29</v>
      </c>
      <c r="P322" t="s">
        <v>21</v>
      </c>
      <c r="Q322" s="1"/>
      <c r="U322">
        <v>1</v>
      </c>
      <c r="V322">
        <v>1</v>
      </c>
      <c r="W322">
        <v>0</v>
      </c>
    </row>
    <row r="323" spans="1:23" ht="16.5" x14ac:dyDescent="0.3">
      <c r="A323" t="s">
        <v>389</v>
      </c>
      <c r="B323" t="s">
        <v>35</v>
      </c>
      <c r="C323" t="s">
        <v>36</v>
      </c>
      <c r="D323" t="s">
        <v>26</v>
      </c>
      <c r="E323">
        <v>34</v>
      </c>
      <c r="F323" t="s">
        <v>27</v>
      </c>
      <c r="G323" t="s">
        <v>38</v>
      </c>
      <c r="H323" s="1">
        <v>42764</v>
      </c>
      <c r="I323" s="2">
        <v>8.9</v>
      </c>
      <c r="J323" t="s">
        <v>39</v>
      </c>
      <c r="K323" s="3">
        <v>4800</v>
      </c>
      <c r="L323" t="s">
        <v>30</v>
      </c>
      <c r="M323">
        <v>3</v>
      </c>
      <c r="N323">
        <v>4</v>
      </c>
      <c r="O323">
        <v>16</v>
      </c>
      <c r="P323" t="s">
        <v>21</v>
      </c>
      <c r="Q323" s="1"/>
      <c r="U323">
        <v>1</v>
      </c>
      <c r="V323">
        <v>1</v>
      </c>
      <c r="W323">
        <v>0</v>
      </c>
    </row>
    <row r="324" spans="1:23" ht="16.5" x14ac:dyDescent="0.3">
      <c r="A324" t="s">
        <v>390</v>
      </c>
      <c r="B324" t="s">
        <v>73</v>
      </c>
      <c r="C324" t="s">
        <v>45</v>
      </c>
      <c r="D324" t="s">
        <v>26</v>
      </c>
      <c r="E324">
        <v>42</v>
      </c>
      <c r="F324" t="s">
        <v>46</v>
      </c>
      <c r="G324" t="s">
        <v>38</v>
      </c>
      <c r="H324" s="1">
        <v>44208</v>
      </c>
      <c r="I324" s="2">
        <v>5</v>
      </c>
      <c r="J324" t="s">
        <v>50</v>
      </c>
      <c r="K324" s="3">
        <v>7600</v>
      </c>
      <c r="L324" t="s">
        <v>30</v>
      </c>
      <c r="M324">
        <v>5</v>
      </c>
      <c r="N324">
        <v>3</v>
      </c>
      <c r="O324">
        <v>20</v>
      </c>
      <c r="P324" t="s">
        <v>21</v>
      </c>
      <c r="Q324" s="1"/>
      <c r="U324">
        <v>1</v>
      </c>
      <c r="V324">
        <v>1</v>
      </c>
      <c r="W324">
        <v>0</v>
      </c>
    </row>
    <row r="325" spans="1:23" ht="16.5" x14ac:dyDescent="0.3">
      <c r="A325" t="s">
        <v>391</v>
      </c>
      <c r="B325" t="s">
        <v>24</v>
      </c>
      <c r="C325" t="s">
        <v>36</v>
      </c>
      <c r="D325" t="s">
        <v>26</v>
      </c>
      <c r="E325">
        <v>27</v>
      </c>
      <c r="F325" t="s">
        <v>27</v>
      </c>
      <c r="G325" t="s">
        <v>28</v>
      </c>
      <c r="H325" s="1">
        <v>45408</v>
      </c>
      <c r="I325" s="2">
        <v>1.7</v>
      </c>
      <c r="J325" t="s">
        <v>29</v>
      </c>
      <c r="K325" s="3">
        <v>4050</v>
      </c>
      <c r="L325" t="s">
        <v>58</v>
      </c>
      <c r="M325">
        <v>2</v>
      </c>
      <c r="N325">
        <v>4</v>
      </c>
      <c r="O325">
        <v>0</v>
      </c>
      <c r="P325" t="s">
        <v>21</v>
      </c>
      <c r="Q325" s="1"/>
      <c r="U325">
        <v>1</v>
      </c>
      <c r="V325">
        <v>1</v>
      </c>
      <c r="W325">
        <v>0</v>
      </c>
    </row>
    <row r="326" spans="1:23" ht="16.5" x14ac:dyDescent="0.3">
      <c r="A326" t="s">
        <v>392</v>
      </c>
      <c r="B326" t="s">
        <v>48</v>
      </c>
      <c r="C326" t="s">
        <v>36</v>
      </c>
      <c r="D326" t="s">
        <v>26</v>
      </c>
      <c r="E326">
        <v>26</v>
      </c>
      <c r="F326" t="s">
        <v>27</v>
      </c>
      <c r="G326" t="s">
        <v>38</v>
      </c>
      <c r="H326" s="1">
        <v>44873</v>
      </c>
      <c r="I326" s="2">
        <v>3.1</v>
      </c>
      <c r="J326" t="s">
        <v>50</v>
      </c>
      <c r="K326" s="3">
        <v>9150</v>
      </c>
      <c r="L326" t="s">
        <v>58</v>
      </c>
      <c r="M326">
        <v>4</v>
      </c>
      <c r="N326">
        <v>3</v>
      </c>
      <c r="O326">
        <v>15</v>
      </c>
      <c r="P326" t="s">
        <v>21</v>
      </c>
      <c r="Q326" s="1"/>
      <c r="U326">
        <v>1</v>
      </c>
      <c r="V326">
        <v>1</v>
      </c>
      <c r="W326">
        <v>0</v>
      </c>
    </row>
    <row r="327" spans="1:23" ht="16.5" x14ac:dyDescent="0.3">
      <c r="A327" t="s">
        <v>393</v>
      </c>
      <c r="B327" t="s">
        <v>70</v>
      </c>
      <c r="C327" t="s">
        <v>25</v>
      </c>
      <c r="D327" t="s">
        <v>37</v>
      </c>
      <c r="E327">
        <v>36</v>
      </c>
      <c r="F327" t="s">
        <v>46</v>
      </c>
      <c r="G327" t="s">
        <v>38</v>
      </c>
      <c r="H327" s="1">
        <v>42004</v>
      </c>
      <c r="I327" s="2">
        <v>9.6</v>
      </c>
      <c r="J327" t="s">
        <v>39</v>
      </c>
      <c r="K327" s="3">
        <v>4600</v>
      </c>
      <c r="L327" t="s">
        <v>58</v>
      </c>
      <c r="M327">
        <v>1</v>
      </c>
      <c r="N327">
        <v>3</v>
      </c>
      <c r="O327">
        <v>20</v>
      </c>
      <c r="P327" t="s">
        <v>22</v>
      </c>
      <c r="Q327" s="1">
        <v>45496</v>
      </c>
      <c r="R327" t="s">
        <v>31</v>
      </c>
      <c r="S327" t="s">
        <v>84</v>
      </c>
      <c r="T327" t="s">
        <v>60</v>
      </c>
      <c r="U327">
        <v>1</v>
      </c>
      <c r="V327">
        <v>0</v>
      </c>
      <c r="W327">
        <v>1</v>
      </c>
    </row>
    <row r="328" spans="1:23" ht="16.5" x14ac:dyDescent="0.3">
      <c r="A328" t="s">
        <v>394</v>
      </c>
      <c r="B328" t="s">
        <v>70</v>
      </c>
      <c r="C328" t="s">
        <v>25</v>
      </c>
      <c r="D328" t="s">
        <v>37</v>
      </c>
      <c r="E328">
        <v>22</v>
      </c>
      <c r="F328" t="s">
        <v>57</v>
      </c>
      <c r="G328" t="s">
        <v>28</v>
      </c>
      <c r="H328" s="1">
        <v>45857</v>
      </c>
      <c r="I328" s="2">
        <v>0.5</v>
      </c>
      <c r="J328" t="s">
        <v>64</v>
      </c>
      <c r="K328" s="3">
        <v>3450</v>
      </c>
      <c r="L328" t="s">
        <v>58</v>
      </c>
      <c r="M328">
        <v>3</v>
      </c>
      <c r="N328">
        <v>5</v>
      </c>
      <c r="O328">
        <v>29</v>
      </c>
      <c r="P328" t="s">
        <v>21</v>
      </c>
      <c r="Q328" s="1"/>
      <c r="U328">
        <v>1</v>
      </c>
      <c r="V328">
        <v>1</v>
      </c>
      <c r="W328">
        <v>0</v>
      </c>
    </row>
    <row r="329" spans="1:23" ht="16.5" x14ac:dyDescent="0.3">
      <c r="A329" t="s">
        <v>395</v>
      </c>
      <c r="B329" t="s">
        <v>35</v>
      </c>
      <c r="C329" t="s">
        <v>36</v>
      </c>
      <c r="D329" t="s">
        <v>37</v>
      </c>
      <c r="E329">
        <v>31</v>
      </c>
      <c r="F329" t="s">
        <v>27</v>
      </c>
      <c r="G329" t="s">
        <v>28</v>
      </c>
      <c r="H329" s="1">
        <v>43303</v>
      </c>
      <c r="I329" s="2">
        <v>7.4</v>
      </c>
      <c r="J329" t="s">
        <v>39</v>
      </c>
      <c r="K329" s="3">
        <v>3850</v>
      </c>
      <c r="L329" t="s">
        <v>30</v>
      </c>
      <c r="M329">
        <v>3</v>
      </c>
      <c r="N329">
        <v>3</v>
      </c>
      <c r="O329">
        <v>15</v>
      </c>
      <c r="P329" t="s">
        <v>21</v>
      </c>
      <c r="Q329" s="1"/>
      <c r="U329">
        <v>1</v>
      </c>
      <c r="V329">
        <v>1</v>
      </c>
      <c r="W329">
        <v>0</v>
      </c>
    </row>
    <row r="330" spans="1:23" ht="16.5" x14ac:dyDescent="0.3">
      <c r="A330" t="s">
        <v>396</v>
      </c>
      <c r="B330" t="s">
        <v>70</v>
      </c>
      <c r="C330" t="s">
        <v>36</v>
      </c>
      <c r="D330" t="s">
        <v>37</v>
      </c>
      <c r="E330">
        <v>33</v>
      </c>
      <c r="F330" t="s">
        <v>27</v>
      </c>
      <c r="G330" t="s">
        <v>28</v>
      </c>
      <c r="H330" s="1">
        <v>42903</v>
      </c>
      <c r="I330" s="2">
        <v>8.5</v>
      </c>
      <c r="J330" t="s">
        <v>39</v>
      </c>
      <c r="K330" s="3">
        <v>4550</v>
      </c>
      <c r="L330" t="s">
        <v>30</v>
      </c>
      <c r="M330">
        <v>4</v>
      </c>
      <c r="N330">
        <v>2</v>
      </c>
      <c r="O330">
        <v>42</v>
      </c>
      <c r="P330" t="s">
        <v>21</v>
      </c>
      <c r="Q330" s="1"/>
      <c r="U330">
        <v>1</v>
      </c>
      <c r="V330">
        <v>1</v>
      </c>
      <c r="W330">
        <v>0</v>
      </c>
    </row>
    <row r="331" spans="1:23" ht="16.5" x14ac:dyDescent="0.3">
      <c r="A331" t="s">
        <v>397</v>
      </c>
      <c r="B331" t="s">
        <v>35</v>
      </c>
      <c r="C331" t="s">
        <v>25</v>
      </c>
      <c r="D331" t="s">
        <v>37</v>
      </c>
      <c r="E331">
        <v>24</v>
      </c>
      <c r="F331" t="s">
        <v>57</v>
      </c>
      <c r="G331" t="s">
        <v>38</v>
      </c>
      <c r="H331" s="1">
        <v>45458</v>
      </c>
      <c r="I331" s="2">
        <v>1.5</v>
      </c>
      <c r="J331" t="s">
        <v>29</v>
      </c>
      <c r="K331" s="3">
        <v>3200</v>
      </c>
      <c r="L331" t="s">
        <v>30</v>
      </c>
      <c r="M331">
        <v>3</v>
      </c>
      <c r="N331">
        <v>5</v>
      </c>
      <c r="O331">
        <v>1</v>
      </c>
      <c r="P331" t="s">
        <v>21</v>
      </c>
      <c r="Q331" s="1"/>
      <c r="U331">
        <v>1</v>
      </c>
      <c r="V331">
        <v>1</v>
      </c>
      <c r="W331">
        <v>0</v>
      </c>
    </row>
    <row r="332" spans="1:23" ht="16.5" x14ac:dyDescent="0.3">
      <c r="A332" t="s">
        <v>398</v>
      </c>
      <c r="B332" t="s">
        <v>48</v>
      </c>
      <c r="C332" t="s">
        <v>36</v>
      </c>
      <c r="D332" t="s">
        <v>37</v>
      </c>
      <c r="E332">
        <v>39</v>
      </c>
      <c r="F332" t="s">
        <v>46</v>
      </c>
      <c r="G332" t="s">
        <v>28</v>
      </c>
      <c r="H332" s="1">
        <v>44728</v>
      </c>
      <c r="I332" s="2">
        <v>3.5</v>
      </c>
      <c r="J332" t="s">
        <v>50</v>
      </c>
      <c r="K332" s="3">
        <v>8950</v>
      </c>
      <c r="L332" t="s">
        <v>30</v>
      </c>
      <c r="M332">
        <v>3</v>
      </c>
      <c r="N332">
        <v>3</v>
      </c>
      <c r="O332">
        <v>9</v>
      </c>
      <c r="P332" t="s">
        <v>21</v>
      </c>
      <c r="Q332" s="1"/>
      <c r="U332">
        <v>1</v>
      </c>
      <c r="V332">
        <v>1</v>
      </c>
      <c r="W332">
        <v>0</v>
      </c>
    </row>
    <row r="333" spans="1:23" ht="16.5" x14ac:dyDescent="0.3">
      <c r="A333" t="s">
        <v>399</v>
      </c>
      <c r="B333" t="s">
        <v>48</v>
      </c>
      <c r="C333" t="s">
        <v>45</v>
      </c>
      <c r="D333" t="s">
        <v>37</v>
      </c>
      <c r="E333">
        <v>37</v>
      </c>
      <c r="F333" t="s">
        <v>46</v>
      </c>
      <c r="G333" t="s">
        <v>38</v>
      </c>
      <c r="H333" s="1">
        <v>45201</v>
      </c>
      <c r="I333" s="2">
        <v>2.2000000000000002</v>
      </c>
      <c r="J333" t="s">
        <v>29</v>
      </c>
      <c r="K333" s="3">
        <v>13050</v>
      </c>
      <c r="L333" t="s">
        <v>30</v>
      </c>
      <c r="M333">
        <v>3</v>
      </c>
      <c r="N333">
        <v>3</v>
      </c>
      <c r="O333">
        <v>29</v>
      </c>
      <c r="P333" t="s">
        <v>21</v>
      </c>
      <c r="Q333" s="1"/>
      <c r="U333">
        <v>1</v>
      </c>
      <c r="V333">
        <v>1</v>
      </c>
      <c r="W333">
        <v>0</v>
      </c>
    </row>
    <row r="334" spans="1:23" ht="16.5" x14ac:dyDescent="0.3">
      <c r="A334" t="s">
        <v>400</v>
      </c>
      <c r="B334" t="s">
        <v>44</v>
      </c>
      <c r="C334" t="s">
        <v>25</v>
      </c>
      <c r="D334" t="s">
        <v>26</v>
      </c>
      <c r="E334">
        <v>22</v>
      </c>
      <c r="F334" t="s">
        <v>57</v>
      </c>
      <c r="G334" t="s">
        <v>28</v>
      </c>
      <c r="H334" s="1">
        <v>45928</v>
      </c>
      <c r="I334" s="2">
        <v>0.3</v>
      </c>
      <c r="J334" t="s">
        <v>64</v>
      </c>
      <c r="K334" s="3">
        <v>6100</v>
      </c>
      <c r="L334" t="s">
        <v>30</v>
      </c>
      <c r="M334">
        <v>3</v>
      </c>
      <c r="N334">
        <v>3</v>
      </c>
      <c r="O334">
        <v>41</v>
      </c>
      <c r="P334" t="s">
        <v>21</v>
      </c>
      <c r="Q334" s="1"/>
      <c r="U334">
        <v>1</v>
      </c>
      <c r="V334">
        <v>1</v>
      </c>
      <c r="W334">
        <v>0</v>
      </c>
    </row>
    <row r="335" spans="1:23" ht="16.5" x14ac:dyDescent="0.3">
      <c r="A335" t="s">
        <v>401</v>
      </c>
      <c r="B335" t="s">
        <v>35</v>
      </c>
      <c r="C335" t="s">
        <v>36</v>
      </c>
      <c r="D335" t="s">
        <v>26</v>
      </c>
      <c r="E335">
        <v>33</v>
      </c>
      <c r="F335" t="s">
        <v>27</v>
      </c>
      <c r="G335" t="s">
        <v>38</v>
      </c>
      <c r="H335" s="1">
        <v>43178</v>
      </c>
      <c r="I335" s="2">
        <v>7.8</v>
      </c>
      <c r="J335" t="s">
        <v>39</v>
      </c>
      <c r="K335" s="3">
        <v>4150</v>
      </c>
      <c r="L335" t="s">
        <v>30</v>
      </c>
      <c r="M335">
        <v>4</v>
      </c>
      <c r="N335">
        <v>5</v>
      </c>
      <c r="O335">
        <v>23</v>
      </c>
      <c r="P335" t="s">
        <v>21</v>
      </c>
      <c r="Q335" s="1"/>
      <c r="U335">
        <v>1</v>
      </c>
      <c r="V335">
        <v>1</v>
      </c>
      <c r="W335">
        <v>0</v>
      </c>
    </row>
    <row r="336" spans="1:23" ht="16.5" x14ac:dyDescent="0.3">
      <c r="A336" t="s">
        <v>402</v>
      </c>
      <c r="B336" t="s">
        <v>48</v>
      </c>
      <c r="C336" t="s">
        <v>36</v>
      </c>
      <c r="D336" t="s">
        <v>26</v>
      </c>
      <c r="E336">
        <v>36</v>
      </c>
      <c r="F336" t="s">
        <v>46</v>
      </c>
      <c r="G336" t="s">
        <v>28</v>
      </c>
      <c r="H336" s="1">
        <v>43110</v>
      </c>
      <c r="I336" s="2">
        <v>8</v>
      </c>
      <c r="J336" t="s">
        <v>39</v>
      </c>
      <c r="K336" s="3">
        <v>7550</v>
      </c>
      <c r="L336" t="s">
        <v>30</v>
      </c>
      <c r="M336">
        <v>5</v>
      </c>
      <c r="N336">
        <v>4</v>
      </c>
      <c r="O336">
        <v>51</v>
      </c>
      <c r="P336" t="s">
        <v>21</v>
      </c>
      <c r="Q336" s="1"/>
      <c r="U336">
        <v>1</v>
      </c>
      <c r="V336">
        <v>1</v>
      </c>
      <c r="W336">
        <v>0</v>
      </c>
    </row>
    <row r="337" spans="1:23" ht="16.5" x14ac:dyDescent="0.3">
      <c r="A337" t="s">
        <v>403</v>
      </c>
      <c r="B337" t="s">
        <v>35</v>
      </c>
      <c r="C337" t="s">
        <v>36</v>
      </c>
      <c r="D337" t="s">
        <v>26</v>
      </c>
      <c r="E337">
        <v>36</v>
      </c>
      <c r="F337" t="s">
        <v>46</v>
      </c>
      <c r="G337" t="s">
        <v>28</v>
      </c>
      <c r="H337" s="1">
        <v>43274</v>
      </c>
      <c r="I337" s="2">
        <v>7.5</v>
      </c>
      <c r="J337" t="s">
        <v>39</v>
      </c>
      <c r="K337" s="3">
        <v>4200</v>
      </c>
      <c r="L337" t="s">
        <v>30</v>
      </c>
      <c r="M337">
        <v>2</v>
      </c>
      <c r="N337">
        <v>3</v>
      </c>
      <c r="O337">
        <v>30</v>
      </c>
      <c r="P337" t="s">
        <v>21</v>
      </c>
      <c r="Q337" s="1"/>
      <c r="U337">
        <v>1</v>
      </c>
      <c r="V337">
        <v>1</v>
      </c>
      <c r="W337">
        <v>0</v>
      </c>
    </row>
    <row r="338" spans="1:23" ht="16.5" x14ac:dyDescent="0.3">
      <c r="A338" t="s">
        <v>404</v>
      </c>
      <c r="B338" t="s">
        <v>35</v>
      </c>
      <c r="C338" t="s">
        <v>36</v>
      </c>
      <c r="D338" t="s">
        <v>37</v>
      </c>
      <c r="E338">
        <v>32</v>
      </c>
      <c r="F338" t="s">
        <v>27</v>
      </c>
      <c r="G338" t="s">
        <v>38</v>
      </c>
      <c r="H338" s="1">
        <v>45265</v>
      </c>
      <c r="I338" s="2">
        <v>2.1</v>
      </c>
      <c r="J338" t="s">
        <v>29</v>
      </c>
      <c r="K338" s="3">
        <v>3800</v>
      </c>
      <c r="L338" t="s">
        <v>58</v>
      </c>
      <c r="M338">
        <v>3</v>
      </c>
      <c r="N338">
        <v>5</v>
      </c>
      <c r="O338">
        <v>25</v>
      </c>
      <c r="P338" t="s">
        <v>21</v>
      </c>
      <c r="Q338" s="1"/>
      <c r="U338">
        <v>1</v>
      </c>
      <c r="V338">
        <v>1</v>
      </c>
      <c r="W338">
        <v>0</v>
      </c>
    </row>
    <row r="339" spans="1:23" ht="16.5" x14ac:dyDescent="0.3">
      <c r="A339" t="s">
        <v>405</v>
      </c>
      <c r="B339" t="s">
        <v>70</v>
      </c>
      <c r="C339" t="s">
        <v>36</v>
      </c>
      <c r="D339" t="s">
        <v>37</v>
      </c>
      <c r="E339">
        <v>23</v>
      </c>
      <c r="F339" t="s">
        <v>57</v>
      </c>
      <c r="G339" t="s">
        <v>38</v>
      </c>
      <c r="H339" s="1">
        <v>45834</v>
      </c>
      <c r="I339" s="2">
        <v>0.4</v>
      </c>
      <c r="J339" t="s">
        <v>64</v>
      </c>
      <c r="K339" s="3">
        <v>4550</v>
      </c>
      <c r="L339" t="s">
        <v>30</v>
      </c>
      <c r="M339">
        <v>2</v>
      </c>
      <c r="N339">
        <v>4</v>
      </c>
      <c r="O339">
        <v>27</v>
      </c>
      <c r="P339" t="s">
        <v>22</v>
      </c>
      <c r="Q339" s="1">
        <v>45975</v>
      </c>
      <c r="R339" t="s">
        <v>40</v>
      </c>
      <c r="S339" t="s">
        <v>182</v>
      </c>
      <c r="T339" t="s">
        <v>42</v>
      </c>
      <c r="U339">
        <v>1</v>
      </c>
      <c r="V339">
        <v>0</v>
      </c>
      <c r="W339">
        <v>1</v>
      </c>
    </row>
    <row r="340" spans="1:23" ht="16.5" x14ac:dyDescent="0.3">
      <c r="A340" t="s">
        <v>406</v>
      </c>
      <c r="B340" t="s">
        <v>24</v>
      </c>
      <c r="C340" t="s">
        <v>36</v>
      </c>
      <c r="D340" t="s">
        <v>37</v>
      </c>
      <c r="E340">
        <v>34</v>
      </c>
      <c r="F340" t="s">
        <v>27</v>
      </c>
      <c r="G340" t="s">
        <v>28</v>
      </c>
      <c r="H340" s="1">
        <v>43562</v>
      </c>
      <c r="I340" s="2">
        <v>6.7</v>
      </c>
      <c r="J340" t="s">
        <v>39</v>
      </c>
      <c r="K340" s="3">
        <v>3950</v>
      </c>
      <c r="L340" t="s">
        <v>58</v>
      </c>
      <c r="M340">
        <v>1</v>
      </c>
      <c r="N340">
        <v>3</v>
      </c>
      <c r="O340">
        <v>21</v>
      </c>
      <c r="P340" t="s">
        <v>21</v>
      </c>
      <c r="Q340" s="1"/>
      <c r="U340">
        <v>1</v>
      </c>
      <c r="V340">
        <v>1</v>
      </c>
      <c r="W340">
        <v>0</v>
      </c>
    </row>
    <row r="341" spans="1:23" ht="16.5" x14ac:dyDescent="0.3">
      <c r="A341" t="s">
        <v>407</v>
      </c>
      <c r="B341" t="s">
        <v>35</v>
      </c>
      <c r="C341" t="s">
        <v>36</v>
      </c>
      <c r="D341" t="s">
        <v>37</v>
      </c>
      <c r="E341">
        <v>21</v>
      </c>
      <c r="F341" t="s">
        <v>57</v>
      </c>
      <c r="G341" t="s">
        <v>38</v>
      </c>
      <c r="H341" s="1">
        <v>45964</v>
      </c>
      <c r="I341" s="2">
        <v>0.2</v>
      </c>
      <c r="J341" t="s">
        <v>64</v>
      </c>
      <c r="K341" s="3">
        <v>3150</v>
      </c>
      <c r="L341" t="s">
        <v>30</v>
      </c>
      <c r="M341">
        <v>5</v>
      </c>
      <c r="N341">
        <v>3</v>
      </c>
      <c r="O341">
        <v>30</v>
      </c>
      <c r="P341" t="s">
        <v>21</v>
      </c>
      <c r="Q341" s="1"/>
      <c r="U341">
        <v>1</v>
      </c>
      <c r="V341">
        <v>1</v>
      </c>
      <c r="W341">
        <v>0</v>
      </c>
    </row>
    <row r="342" spans="1:23" ht="16.5" x14ac:dyDescent="0.3">
      <c r="A342" t="s">
        <v>408</v>
      </c>
      <c r="B342" t="s">
        <v>35</v>
      </c>
      <c r="C342" t="s">
        <v>25</v>
      </c>
      <c r="D342" t="s">
        <v>26</v>
      </c>
      <c r="E342">
        <v>22</v>
      </c>
      <c r="F342" t="s">
        <v>57</v>
      </c>
      <c r="G342" t="s">
        <v>38</v>
      </c>
      <c r="H342" s="1">
        <v>45848</v>
      </c>
      <c r="I342" s="2">
        <v>0.3</v>
      </c>
      <c r="J342" t="s">
        <v>64</v>
      </c>
      <c r="K342" s="3">
        <v>3050</v>
      </c>
      <c r="L342" t="s">
        <v>58</v>
      </c>
      <c r="M342">
        <v>3</v>
      </c>
      <c r="N342">
        <v>4</v>
      </c>
      <c r="O342">
        <v>5</v>
      </c>
      <c r="P342" t="s">
        <v>22</v>
      </c>
      <c r="Q342" s="1">
        <v>45950</v>
      </c>
      <c r="R342" t="s">
        <v>40</v>
      </c>
      <c r="S342" t="s">
        <v>206</v>
      </c>
      <c r="T342" t="s">
        <v>60</v>
      </c>
      <c r="U342">
        <v>1</v>
      </c>
      <c r="V342">
        <v>0</v>
      </c>
      <c r="W342">
        <v>1</v>
      </c>
    </row>
    <row r="343" spans="1:23" ht="16.5" x14ac:dyDescent="0.3">
      <c r="A343" t="s">
        <v>409</v>
      </c>
      <c r="B343" t="s">
        <v>24</v>
      </c>
      <c r="C343" t="s">
        <v>25</v>
      </c>
      <c r="D343" t="s">
        <v>37</v>
      </c>
      <c r="E343">
        <v>23</v>
      </c>
      <c r="F343" t="s">
        <v>57</v>
      </c>
      <c r="G343" t="s">
        <v>52</v>
      </c>
      <c r="H343" s="1">
        <v>45763</v>
      </c>
      <c r="I343" s="2">
        <v>0.1</v>
      </c>
      <c r="J343" t="s">
        <v>64</v>
      </c>
      <c r="K343" s="3">
        <v>2800</v>
      </c>
      <c r="L343" t="s">
        <v>30</v>
      </c>
      <c r="M343">
        <v>5</v>
      </c>
      <c r="N343">
        <v>3</v>
      </c>
      <c r="O343">
        <v>29</v>
      </c>
      <c r="P343" t="s">
        <v>22</v>
      </c>
      <c r="Q343" s="1">
        <v>45789</v>
      </c>
      <c r="R343" t="s">
        <v>40</v>
      </c>
      <c r="S343" t="s">
        <v>169</v>
      </c>
      <c r="T343" t="s">
        <v>42</v>
      </c>
      <c r="U343">
        <v>1</v>
      </c>
      <c r="V343">
        <v>0</v>
      </c>
      <c r="W343">
        <v>1</v>
      </c>
    </row>
    <row r="344" spans="1:23" ht="16.5" x14ac:dyDescent="0.3">
      <c r="A344" t="s">
        <v>410</v>
      </c>
      <c r="B344" t="s">
        <v>70</v>
      </c>
      <c r="C344" t="s">
        <v>45</v>
      </c>
      <c r="D344" t="s">
        <v>37</v>
      </c>
      <c r="E344">
        <v>52</v>
      </c>
      <c r="F344" t="s">
        <v>88</v>
      </c>
      <c r="G344" t="s">
        <v>38</v>
      </c>
      <c r="H344" s="1">
        <v>44949</v>
      </c>
      <c r="I344" s="2">
        <v>2.6</v>
      </c>
      <c r="J344" t="s">
        <v>29</v>
      </c>
      <c r="K344" s="3">
        <v>6650</v>
      </c>
      <c r="L344" t="s">
        <v>30</v>
      </c>
      <c r="M344">
        <v>4</v>
      </c>
      <c r="N344">
        <v>4</v>
      </c>
      <c r="O344">
        <v>11</v>
      </c>
      <c r="P344" t="s">
        <v>22</v>
      </c>
      <c r="Q344" s="1">
        <v>45889</v>
      </c>
      <c r="R344" t="s">
        <v>40</v>
      </c>
      <c r="S344" t="s">
        <v>41</v>
      </c>
      <c r="T344" t="s">
        <v>33</v>
      </c>
      <c r="U344">
        <v>1</v>
      </c>
      <c r="V344">
        <v>0</v>
      </c>
      <c r="W344">
        <v>1</v>
      </c>
    </row>
    <row r="345" spans="1:23" ht="16.5" x14ac:dyDescent="0.3">
      <c r="A345" t="s">
        <v>411</v>
      </c>
      <c r="B345" t="s">
        <v>44</v>
      </c>
      <c r="C345" t="s">
        <v>36</v>
      </c>
      <c r="D345" t="s">
        <v>37</v>
      </c>
      <c r="E345">
        <v>31</v>
      </c>
      <c r="F345" t="s">
        <v>27</v>
      </c>
      <c r="G345" t="s">
        <v>28</v>
      </c>
      <c r="H345" s="1">
        <v>43811</v>
      </c>
      <c r="I345" s="2">
        <v>6.1</v>
      </c>
      <c r="J345" t="s">
        <v>39</v>
      </c>
      <c r="K345" s="3">
        <v>7300</v>
      </c>
      <c r="L345" t="s">
        <v>30</v>
      </c>
      <c r="M345">
        <v>4</v>
      </c>
      <c r="N345">
        <v>3</v>
      </c>
      <c r="O345">
        <v>29</v>
      </c>
      <c r="P345" t="s">
        <v>21</v>
      </c>
      <c r="Q345" s="1"/>
      <c r="U345">
        <v>1</v>
      </c>
      <c r="V345">
        <v>1</v>
      </c>
      <c r="W345">
        <v>0</v>
      </c>
    </row>
    <row r="346" spans="1:23" ht="16.5" x14ac:dyDescent="0.3">
      <c r="A346" t="s">
        <v>412</v>
      </c>
      <c r="B346" t="s">
        <v>55</v>
      </c>
      <c r="C346" t="s">
        <v>36</v>
      </c>
      <c r="D346" t="s">
        <v>37</v>
      </c>
      <c r="E346">
        <v>36</v>
      </c>
      <c r="F346" t="s">
        <v>46</v>
      </c>
      <c r="G346" t="s">
        <v>28</v>
      </c>
      <c r="H346" s="1">
        <v>42047</v>
      </c>
      <c r="I346" s="2">
        <v>8.9</v>
      </c>
      <c r="J346" t="s">
        <v>39</v>
      </c>
      <c r="K346" s="3">
        <v>4900</v>
      </c>
      <c r="L346" t="s">
        <v>58</v>
      </c>
      <c r="M346">
        <v>5</v>
      </c>
      <c r="N346">
        <v>3</v>
      </c>
      <c r="O346">
        <v>19</v>
      </c>
      <c r="P346" t="s">
        <v>22</v>
      </c>
      <c r="Q346" s="1">
        <v>45297</v>
      </c>
      <c r="R346" t="s">
        <v>31</v>
      </c>
      <c r="S346" t="s">
        <v>107</v>
      </c>
      <c r="T346" t="s">
        <v>42</v>
      </c>
      <c r="U346">
        <v>1</v>
      </c>
      <c r="V346">
        <v>0</v>
      </c>
      <c r="W346">
        <v>1</v>
      </c>
    </row>
    <row r="347" spans="1:23" ht="16.5" x14ac:dyDescent="0.3">
      <c r="A347" t="s">
        <v>413</v>
      </c>
      <c r="B347" t="s">
        <v>24</v>
      </c>
      <c r="C347" t="s">
        <v>25</v>
      </c>
      <c r="D347" t="s">
        <v>26</v>
      </c>
      <c r="E347">
        <v>24</v>
      </c>
      <c r="F347" t="s">
        <v>57</v>
      </c>
      <c r="G347" t="s">
        <v>38</v>
      </c>
      <c r="H347" s="1">
        <v>45150</v>
      </c>
      <c r="I347" s="2">
        <v>2.4</v>
      </c>
      <c r="J347" t="s">
        <v>29</v>
      </c>
      <c r="K347" s="3">
        <v>3000</v>
      </c>
      <c r="L347" t="s">
        <v>30</v>
      </c>
      <c r="M347">
        <v>3</v>
      </c>
      <c r="N347">
        <v>3</v>
      </c>
      <c r="O347">
        <v>24</v>
      </c>
      <c r="P347" t="s">
        <v>21</v>
      </c>
      <c r="Q347" s="1"/>
      <c r="U347">
        <v>1</v>
      </c>
      <c r="V347">
        <v>1</v>
      </c>
      <c r="W347">
        <v>0</v>
      </c>
    </row>
    <row r="348" spans="1:23" ht="16.5" x14ac:dyDescent="0.3">
      <c r="A348" t="s">
        <v>414</v>
      </c>
      <c r="B348" t="s">
        <v>70</v>
      </c>
      <c r="C348" t="s">
        <v>45</v>
      </c>
      <c r="D348" t="s">
        <v>37</v>
      </c>
      <c r="E348">
        <v>48</v>
      </c>
      <c r="F348" t="s">
        <v>88</v>
      </c>
      <c r="G348" t="s">
        <v>38</v>
      </c>
      <c r="H348" s="1">
        <v>40935</v>
      </c>
      <c r="I348" s="2">
        <v>13.9</v>
      </c>
      <c r="J348" t="s">
        <v>39</v>
      </c>
      <c r="K348" s="3">
        <v>8050</v>
      </c>
      <c r="L348" t="s">
        <v>30</v>
      </c>
      <c r="M348">
        <v>4</v>
      </c>
      <c r="N348">
        <v>4</v>
      </c>
      <c r="O348">
        <v>15</v>
      </c>
      <c r="P348" t="s">
        <v>21</v>
      </c>
      <c r="Q348" s="1"/>
      <c r="U348">
        <v>1</v>
      </c>
      <c r="V348">
        <v>1</v>
      </c>
      <c r="W348">
        <v>0</v>
      </c>
    </row>
    <row r="349" spans="1:23" ht="16.5" x14ac:dyDescent="0.3">
      <c r="A349" t="s">
        <v>415</v>
      </c>
      <c r="B349" t="s">
        <v>48</v>
      </c>
      <c r="C349" t="s">
        <v>45</v>
      </c>
      <c r="D349" t="s">
        <v>37</v>
      </c>
      <c r="E349">
        <v>27</v>
      </c>
      <c r="F349" t="s">
        <v>27</v>
      </c>
      <c r="G349" t="s">
        <v>38</v>
      </c>
      <c r="H349" s="1">
        <v>44868</v>
      </c>
      <c r="I349" s="2">
        <v>3.2</v>
      </c>
      <c r="J349" t="s">
        <v>50</v>
      </c>
      <c r="K349" s="3">
        <v>11650</v>
      </c>
      <c r="L349" t="s">
        <v>30</v>
      </c>
      <c r="M349">
        <v>4</v>
      </c>
      <c r="N349">
        <v>3</v>
      </c>
      <c r="O349">
        <v>25</v>
      </c>
      <c r="P349" t="s">
        <v>21</v>
      </c>
      <c r="Q349" s="1"/>
      <c r="U349">
        <v>1</v>
      </c>
      <c r="V349">
        <v>1</v>
      </c>
      <c r="W349">
        <v>0</v>
      </c>
    </row>
    <row r="350" spans="1:23" ht="16.5" x14ac:dyDescent="0.3">
      <c r="A350" t="s">
        <v>416</v>
      </c>
      <c r="B350" t="s">
        <v>35</v>
      </c>
      <c r="C350" t="s">
        <v>25</v>
      </c>
      <c r="D350" t="s">
        <v>37</v>
      </c>
      <c r="E350">
        <v>32</v>
      </c>
      <c r="F350" t="s">
        <v>27</v>
      </c>
      <c r="G350" t="s">
        <v>52</v>
      </c>
      <c r="H350" s="1">
        <v>44953</v>
      </c>
      <c r="I350" s="2">
        <v>2.9</v>
      </c>
      <c r="J350" t="s">
        <v>29</v>
      </c>
      <c r="K350" s="3">
        <v>4000</v>
      </c>
      <c r="L350" t="s">
        <v>58</v>
      </c>
      <c r="M350">
        <v>3</v>
      </c>
      <c r="N350">
        <v>2</v>
      </c>
      <c r="O350">
        <v>24</v>
      </c>
      <c r="P350" t="s">
        <v>21</v>
      </c>
      <c r="Q350" s="1"/>
      <c r="U350">
        <v>1</v>
      </c>
      <c r="V350">
        <v>1</v>
      </c>
      <c r="W350">
        <v>0</v>
      </c>
    </row>
    <row r="351" spans="1:23" ht="16.5" x14ac:dyDescent="0.3">
      <c r="A351" t="s">
        <v>417</v>
      </c>
      <c r="B351" t="s">
        <v>24</v>
      </c>
      <c r="C351" t="s">
        <v>25</v>
      </c>
      <c r="D351" t="s">
        <v>37</v>
      </c>
      <c r="E351">
        <v>22</v>
      </c>
      <c r="F351" t="s">
        <v>57</v>
      </c>
      <c r="G351" t="s">
        <v>52</v>
      </c>
      <c r="H351" s="1">
        <v>45740</v>
      </c>
      <c r="I351" s="2">
        <v>0.6</v>
      </c>
      <c r="J351" t="s">
        <v>64</v>
      </c>
      <c r="K351" s="3">
        <v>3450</v>
      </c>
      <c r="L351" t="s">
        <v>30</v>
      </c>
      <c r="M351">
        <v>4</v>
      </c>
      <c r="N351">
        <v>3</v>
      </c>
      <c r="O351">
        <v>26</v>
      </c>
      <c r="P351" t="s">
        <v>22</v>
      </c>
      <c r="Q351" s="1">
        <v>45949</v>
      </c>
      <c r="R351" t="s">
        <v>40</v>
      </c>
      <c r="S351" t="s">
        <v>206</v>
      </c>
      <c r="T351" t="s">
        <v>60</v>
      </c>
      <c r="U351">
        <v>1</v>
      </c>
      <c r="V351">
        <v>0</v>
      </c>
      <c r="W351">
        <v>1</v>
      </c>
    </row>
    <row r="352" spans="1:23" ht="16.5" x14ac:dyDescent="0.3">
      <c r="A352" t="s">
        <v>418</v>
      </c>
      <c r="B352" t="s">
        <v>48</v>
      </c>
      <c r="C352" t="s">
        <v>36</v>
      </c>
      <c r="D352" t="s">
        <v>37</v>
      </c>
      <c r="E352">
        <v>30</v>
      </c>
      <c r="F352" t="s">
        <v>27</v>
      </c>
      <c r="G352" t="s">
        <v>28</v>
      </c>
      <c r="H352" s="1">
        <v>44676</v>
      </c>
      <c r="I352" s="2">
        <v>3.7</v>
      </c>
      <c r="J352" t="s">
        <v>50</v>
      </c>
      <c r="K352" s="3">
        <v>7550</v>
      </c>
      <c r="L352" t="s">
        <v>30</v>
      </c>
      <c r="M352">
        <v>3</v>
      </c>
      <c r="N352">
        <v>3</v>
      </c>
      <c r="O352">
        <v>25</v>
      </c>
      <c r="P352" t="s">
        <v>21</v>
      </c>
      <c r="Q352" s="1"/>
      <c r="U352">
        <v>1</v>
      </c>
      <c r="V352">
        <v>1</v>
      </c>
      <c r="W352">
        <v>0</v>
      </c>
    </row>
    <row r="353" spans="1:23" ht="16.5" x14ac:dyDescent="0.3">
      <c r="A353" t="s">
        <v>419</v>
      </c>
      <c r="B353" t="s">
        <v>70</v>
      </c>
      <c r="C353" t="s">
        <v>87</v>
      </c>
      <c r="D353" t="s">
        <v>37</v>
      </c>
      <c r="E353">
        <v>45</v>
      </c>
      <c r="F353" t="s">
        <v>46</v>
      </c>
      <c r="G353" t="s">
        <v>28</v>
      </c>
      <c r="H353" s="1">
        <v>42312</v>
      </c>
      <c r="I353" s="2">
        <v>10.199999999999999</v>
      </c>
      <c r="J353" t="s">
        <v>39</v>
      </c>
      <c r="K353" s="3">
        <v>10850</v>
      </c>
      <c r="L353" t="s">
        <v>58</v>
      </c>
      <c r="M353">
        <v>4</v>
      </c>
      <c r="N353">
        <v>4</v>
      </c>
      <c r="O353">
        <v>20</v>
      </c>
      <c r="P353" t="s">
        <v>21</v>
      </c>
      <c r="Q353" s="1"/>
      <c r="U353">
        <v>1</v>
      </c>
      <c r="V353">
        <v>1</v>
      </c>
      <c r="W353">
        <v>0</v>
      </c>
    </row>
    <row r="354" spans="1:23" ht="16.5" x14ac:dyDescent="0.3">
      <c r="A354" t="s">
        <v>420</v>
      </c>
      <c r="B354" t="s">
        <v>44</v>
      </c>
      <c r="C354" t="s">
        <v>36</v>
      </c>
      <c r="D354" t="s">
        <v>26</v>
      </c>
      <c r="E354">
        <v>27</v>
      </c>
      <c r="F354" t="s">
        <v>27</v>
      </c>
      <c r="G354" t="s">
        <v>28</v>
      </c>
      <c r="H354" s="1">
        <v>45589</v>
      </c>
      <c r="I354" s="2">
        <v>1.2</v>
      </c>
      <c r="J354" t="s">
        <v>29</v>
      </c>
      <c r="K354" s="3">
        <v>6450</v>
      </c>
      <c r="L354" t="s">
        <v>30</v>
      </c>
      <c r="M354">
        <v>4</v>
      </c>
      <c r="N354">
        <v>4</v>
      </c>
      <c r="O354">
        <v>20</v>
      </c>
      <c r="P354" t="s">
        <v>21</v>
      </c>
      <c r="Q354" s="1"/>
      <c r="U354">
        <v>1</v>
      </c>
      <c r="V354">
        <v>1</v>
      </c>
      <c r="W354">
        <v>0</v>
      </c>
    </row>
    <row r="355" spans="1:23" ht="16.5" x14ac:dyDescent="0.3">
      <c r="A355" t="s">
        <v>421</v>
      </c>
      <c r="B355" t="s">
        <v>35</v>
      </c>
      <c r="C355" t="s">
        <v>25</v>
      </c>
      <c r="D355" t="s">
        <v>37</v>
      </c>
      <c r="E355">
        <v>22</v>
      </c>
      <c r="F355" t="s">
        <v>57</v>
      </c>
      <c r="G355" t="s">
        <v>38</v>
      </c>
      <c r="H355" s="1">
        <v>45813</v>
      </c>
      <c r="I355" s="2">
        <v>0.6</v>
      </c>
      <c r="J355" t="s">
        <v>64</v>
      </c>
      <c r="K355" s="3">
        <v>3050</v>
      </c>
      <c r="L355" t="s">
        <v>30</v>
      </c>
      <c r="M355">
        <v>3</v>
      </c>
      <c r="N355">
        <v>4</v>
      </c>
      <c r="O355">
        <v>31</v>
      </c>
      <c r="P355" t="s">
        <v>21</v>
      </c>
      <c r="Q355" s="1"/>
      <c r="U355">
        <v>1</v>
      </c>
      <c r="V355">
        <v>1</v>
      </c>
      <c r="W355">
        <v>0</v>
      </c>
    </row>
    <row r="356" spans="1:23" ht="16.5" x14ac:dyDescent="0.3">
      <c r="A356" t="s">
        <v>422</v>
      </c>
      <c r="B356" t="s">
        <v>35</v>
      </c>
      <c r="C356" t="s">
        <v>36</v>
      </c>
      <c r="D356" t="s">
        <v>26</v>
      </c>
      <c r="E356">
        <v>27</v>
      </c>
      <c r="F356" t="s">
        <v>27</v>
      </c>
      <c r="G356" t="s">
        <v>28</v>
      </c>
      <c r="H356" s="1">
        <v>44606</v>
      </c>
      <c r="I356" s="2">
        <v>3.9</v>
      </c>
      <c r="J356" t="s">
        <v>50</v>
      </c>
      <c r="K356" s="3">
        <v>3700</v>
      </c>
      <c r="L356" t="s">
        <v>58</v>
      </c>
      <c r="M356">
        <v>4</v>
      </c>
      <c r="N356">
        <v>3</v>
      </c>
      <c r="O356">
        <v>12</v>
      </c>
      <c r="P356" t="s">
        <v>21</v>
      </c>
      <c r="Q356" s="1"/>
      <c r="U356">
        <v>1</v>
      </c>
      <c r="V356">
        <v>1</v>
      </c>
      <c r="W356">
        <v>0</v>
      </c>
    </row>
    <row r="357" spans="1:23" ht="16.5" x14ac:dyDescent="0.3">
      <c r="A357" t="s">
        <v>423</v>
      </c>
      <c r="B357" t="s">
        <v>55</v>
      </c>
      <c r="C357" t="s">
        <v>25</v>
      </c>
      <c r="D357" t="s">
        <v>26</v>
      </c>
      <c r="E357">
        <v>24</v>
      </c>
      <c r="F357" t="s">
        <v>57</v>
      </c>
      <c r="G357" t="s">
        <v>28</v>
      </c>
      <c r="H357" s="1">
        <v>45499</v>
      </c>
      <c r="I357" s="2">
        <v>1.4</v>
      </c>
      <c r="J357" t="s">
        <v>29</v>
      </c>
      <c r="K357" s="3">
        <v>4700</v>
      </c>
      <c r="L357" t="s">
        <v>30</v>
      </c>
      <c r="M357">
        <v>5</v>
      </c>
      <c r="N357">
        <v>2</v>
      </c>
      <c r="O357">
        <v>1</v>
      </c>
      <c r="P357" t="s">
        <v>21</v>
      </c>
      <c r="Q357" s="1"/>
      <c r="U357">
        <v>1</v>
      </c>
      <c r="V357">
        <v>1</v>
      </c>
      <c r="W357">
        <v>0</v>
      </c>
    </row>
    <row r="358" spans="1:23" ht="16.5" x14ac:dyDescent="0.3">
      <c r="A358" t="s">
        <v>424</v>
      </c>
      <c r="B358" t="s">
        <v>73</v>
      </c>
      <c r="C358" t="s">
        <v>25</v>
      </c>
      <c r="D358" t="s">
        <v>37</v>
      </c>
      <c r="E358">
        <v>26</v>
      </c>
      <c r="F358" t="s">
        <v>27</v>
      </c>
      <c r="G358" t="s">
        <v>38</v>
      </c>
      <c r="H358" s="1">
        <v>45530</v>
      </c>
      <c r="I358" s="2">
        <v>1.3</v>
      </c>
      <c r="J358" t="s">
        <v>29</v>
      </c>
      <c r="K358" s="3">
        <v>3650</v>
      </c>
      <c r="L358" t="s">
        <v>30</v>
      </c>
      <c r="M358">
        <v>3</v>
      </c>
      <c r="N358">
        <v>4</v>
      </c>
      <c r="O358">
        <v>21</v>
      </c>
      <c r="P358" t="s">
        <v>21</v>
      </c>
      <c r="Q358" s="1"/>
      <c r="U358">
        <v>1</v>
      </c>
      <c r="V358">
        <v>1</v>
      </c>
      <c r="W358">
        <v>0</v>
      </c>
    </row>
    <row r="359" spans="1:23" ht="16.5" x14ac:dyDescent="0.3">
      <c r="A359" t="s">
        <v>425</v>
      </c>
      <c r="B359" t="s">
        <v>24</v>
      </c>
      <c r="C359" t="s">
        <v>25</v>
      </c>
      <c r="D359" t="s">
        <v>37</v>
      </c>
      <c r="E359">
        <v>31</v>
      </c>
      <c r="F359" t="s">
        <v>27</v>
      </c>
      <c r="G359" t="s">
        <v>28</v>
      </c>
      <c r="H359" s="1">
        <v>43156</v>
      </c>
      <c r="I359" s="2">
        <v>7.8</v>
      </c>
      <c r="J359" t="s">
        <v>39</v>
      </c>
      <c r="K359" s="3">
        <v>2500</v>
      </c>
      <c r="L359" t="s">
        <v>30</v>
      </c>
      <c r="M359">
        <v>4</v>
      </c>
      <c r="N359">
        <v>3</v>
      </c>
      <c r="O359">
        <v>18</v>
      </c>
      <c r="P359" t="s">
        <v>21</v>
      </c>
      <c r="Q359" s="1"/>
      <c r="U359">
        <v>1</v>
      </c>
      <c r="V359">
        <v>1</v>
      </c>
      <c r="W359">
        <v>0</v>
      </c>
    </row>
    <row r="360" spans="1:23" ht="16.5" x14ac:dyDescent="0.3">
      <c r="A360" t="s">
        <v>426</v>
      </c>
      <c r="B360" t="s">
        <v>24</v>
      </c>
      <c r="C360" t="s">
        <v>25</v>
      </c>
      <c r="D360" t="s">
        <v>37</v>
      </c>
      <c r="E360">
        <v>24</v>
      </c>
      <c r="F360" t="s">
        <v>57</v>
      </c>
      <c r="G360" t="s">
        <v>38</v>
      </c>
      <c r="H360" s="1">
        <v>45190</v>
      </c>
      <c r="I360" s="2">
        <v>2.2999999999999998</v>
      </c>
      <c r="J360" t="s">
        <v>29</v>
      </c>
      <c r="K360" s="3">
        <v>2800</v>
      </c>
      <c r="L360" t="s">
        <v>30</v>
      </c>
      <c r="M360">
        <v>4</v>
      </c>
      <c r="N360">
        <v>3</v>
      </c>
      <c r="O360">
        <v>13</v>
      </c>
      <c r="P360" t="s">
        <v>21</v>
      </c>
      <c r="Q360" s="1"/>
      <c r="U360">
        <v>1</v>
      </c>
      <c r="V360">
        <v>1</v>
      </c>
      <c r="W360">
        <v>0</v>
      </c>
    </row>
    <row r="361" spans="1:23" ht="16.5" x14ac:dyDescent="0.3">
      <c r="A361" t="s">
        <v>427</v>
      </c>
      <c r="B361" t="s">
        <v>24</v>
      </c>
      <c r="C361" t="s">
        <v>36</v>
      </c>
      <c r="D361" t="s">
        <v>37</v>
      </c>
      <c r="E361">
        <v>32</v>
      </c>
      <c r="F361" t="s">
        <v>27</v>
      </c>
      <c r="G361" t="s">
        <v>38</v>
      </c>
      <c r="H361" s="1">
        <v>44777</v>
      </c>
      <c r="I361" s="2">
        <v>3.4</v>
      </c>
      <c r="J361" t="s">
        <v>50</v>
      </c>
      <c r="K361" s="3">
        <v>3450</v>
      </c>
      <c r="L361" t="s">
        <v>30</v>
      </c>
      <c r="M361">
        <v>4</v>
      </c>
      <c r="N361">
        <v>5</v>
      </c>
      <c r="O361">
        <v>27</v>
      </c>
      <c r="P361" t="s">
        <v>21</v>
      </c>
      <c r="Q361" s="1"/>
      <c r="U361">
        <v>1</v>
      </c>
      <c r="V361">
        <v>1</v>
      </c>
      <c r="W361">
        <v>0</v>
      </c>
    </row>
    <row r="362" spans="1:23" ht="16.5" x14ac:dyDescent="0.3">
      <c r="A362" t="s">
        <v>428</v>
      </c>
      <c r="B362" t="s">
        <v>35</v>
      </c>
      <c r="C362" t="s">
        <v>25</v>
      </c>
      <c r="D362" t="s">
        <v>37</v>
      </c>
      <c r="E362">
        <v>25</v>
      </c>
      <c r="F362" t="s">
        <v>57</v>
      </c>
      <c r="G362" t="s">
        <v>38</v>
      </c>
      <c r="H362" s="1">
        <v>45470</v>
      </c>
      <c r="I362" s="2">
        <v>1.5</v>
      </c>
      <c r="J362" t="s">
        <v>29</v>
      </c>
      <c r="K362" s="3">
        <v>3800</v>
      </c>
      <c r="L362" t="s">
        <v>58</v>
      </c>
      <c r="M362">
        <v>3</v>
      </c>
      <c r="N362">
        <v>3</v>
      </c>
      <c r="O362">
        <v>44</v>
      </c>
      <c r="P362" t="s">
        <v>21</v>
      </c>
      <c r="Q362" s="1"/>
      <c r="U362">
        <v>1</v>
      </c>
      <c r="V362">
        <v>1</v>
      </c>
      <c r="W362">
        <v>0</v>
      </c>
    </row>
    <row r="363" spans="1:23" ht="16.5" x14ac:dyDescent="0.3">
      <c r="A363" t="s">
        <v>429</v>
      </c>
      <c r="B363" t="s">
        <v>73</v>
      </c>
      <c r="C363" t="s">
        <v>45</v>
      </c>
      <c r="D363" t="s">
        <v>37</v>
      </c>
      <c r="E363">
        <v>40</v>
      </c>
      <c r="F363" t="s">
        <v>46</v>
      </c>
      <c r="G363" t="s">
        <v>38</v>
      </c>
      <c r="H363" s="1">
        <v>40646</v>
      </c>
      <c r="I363" s="2">
        <v>12.9</v>
      </c>
      <c r="J363" t="s">
        <v>39</v>
      </c>
      <c r="K363" s="3">
        <v>6300</v>
      </c>
      <c r="L363" t="s">
        <v>30</v>
      </c>
      <c r="M363">
        <v>2</v>
      </c>
      <c r="N363">
        <v>2</v>
      </c>
      <c r="O363">
        <v>22</v>
      </c>
      <c r="P363" t="s">
        <v>22</v>
      </c>
      <c r="Q363" s="1">
        <v>45361</v>
      </c>
      <c r="R363" t="s">
        <v>31</v>
      </c>
      <c r="S363" t="s">
        <v>59</v>
      </c>
      <c r="T363" t="s">
        <v>33</v>
      </c>
      <c r="U363">
        <v>1</v>
      </c>
      <c r="V363">
        <v>0</v>
      </c>
      <c r="W363">
        <v>1</v>
      </c>
    </row>
    <row r="364" spans="1:23" ht="16.5" x14ac:dyDescent="0.3">
      <c r="A364" t="s">
        <v>430</v>
      </c>
      <c r="B364" t="s">
        <v>35</v>
      </c>
      <c r="C364" t="s">
        <v>25</v>
      </c>
      <c r="D364" t="s">
        <v>37</v>
      </c>
      <c r="E364">
        <v>28</v>
      </c>
      <c r="F364" t="s">
        <v>27</v>
      </c>
      <c r="G364" t="s">
        <v>28</v>
      </c>
      <c r="H364" s="1">
        <v>43997</v>
      </c>
      <c r="I364" s="2">
        <v>5.5</v>
      </c>
      <c r="J364" t="s">
        <v>39</v>
      </c>
      <c r="K364" s="3">
        <v>2700</v>
      </c>
      <c r="L364" t="s">
        <v>58</v>
      </c>
      <c r="M364">
        <v>4</v>
      </c>
      <c r="N364">
        <v>3</v>
      </c>
      <c r="O364">
        <v>30</v>
      </c>
      <c r="P364" t="s">
        <v>21</v>
      </c>
      <c r="Q364" s="1"/>
      <c r="U364">
        <v>1</v>
      </c>
      <c r="V364">
        <v>1</v>
      </c>
      <c r="W364">
        <v>0</v>
      </c>
    </row>
    <row r="365" spans="1:23" ht="16.5" x14ac:dyDescent="0.3">
      <c r="A365" t="s">
        <v>431</v>
      </c>
      <c r="B365" t="s">
        <v>35</v>
      </c>
      <c r="C365" t="s">
        <v>25</v>
      </c>
      <c r="D365" t="s">
        <v>26</v>
      </c>
      <c r="E365">
        <v>25</v>
      </c>
      <c r="F365" t="s">
        <v>57</v>
      </c>
      <c r="G365" t="s">
        <v>38</v>
      </c>
      <c r="H365" s="1">
        <v>45468</v>
      </c>
      <c r="I365" s="2">
        <v>1.5</v>
      </c>
      <c r="J365" t="s">
        <v>29</v>
      </c>
      <c r="K365" s="3">
        <v>3100</v>
      </c>
      <c r="L365" t="s">
        <v>58</v>
      </c>
      <c r="M365">
        <v>2</v>
      </c>
      <c r="N365">
        <v>3</v>
      </c>
      <c r="O365">
        <v>16</v>
      </c>
      <c r="P365" t="s">
        <v>21</v>
      </c>
      <c r="Q365" s="1"/>
      <c r="U365">
        <v>1</v>
      </c>
      <c r="V365">
        <v>1</v>
      </c>
      <c r="W365">
        <v>0</v>
      </c>
    </row>
    <row r="366" spans="1:23" ht="16.5" x14ac:dyDescent="0.3">
      <c r="A366" t="s">
        <v>432</v>
      </c>
      <c r="B366" t="s">
        <v>70</v>
      </c>
      <c r="C366" t="s">
        <v>36</v>
      </c>
      <c r="D366" t="s">
        <v>26</v>
      </c>
      <c r="E366">
        <v>35</v>
      </c>
      <c r="F366" t="s">
        <v>27</v>
      </c>
      <c r="G366" t="s">
        <v>38</v>
      </c>
      <c r="H366" s="1">
        <v>41958</v>
      </c>
      <c r="I366" s="2">
        <v>9.6999999999999993</v>
      </c>
      <c r="J366" t="s">
        <v>39</v>
      </c>
      <c r="K366" s="3">
        <v>4900</v>
      </c>
      <c r="L366" t="s">
        <v>58</v>
      </c>
      <c r="M366">
        <v>3</v>
      </c>
      <c r="N366">
        <v>5</v>
      </c>
      <c r="O366">
        <v>23</v>
      </c>
      <c r="P366" t="s">
        <v>22</v>
      </c>
      <c r="Q366" s="1">
        <v>45491</v>
      </c>
      <c r="R366" t="s">
        <v>31</v>
      </c>
      <c r="S366" t="s">
        <v>84</v>
      </c>
      <c r="T366" t="s">
        <v>60</v>
      </c>
      <c r="U366">
        <v>1</v>
      </c>
      <c r="V366">
        <v>0</v>
      </c>
      <c r="W366">
        <v>1</v>
      </c>
    </row>
    <row r="367" spans="1:23" ht="16.5" x14ac:dyDescent="0.3">
      <c r="A367" t="s">
        <v>433</v>
      </c>
      <c r="B367" t="s">
        <v>24</v>
      </c>
      <c r="C367" t="s">
        <v>25</v>
      </c>
      <c r="D367" t="s">
        <v>37</v>
      </c>
      <c r="E367">
        <v>21</v>
      </c>
      <c r="F367" t="s">
        <v>57</v>
      </c>
      <c r="G367" t="s">
        <v>38</v>
      </c>
      <c r="H367" s="1">
        <v>45918</v>
      </c>
      <c r="I367" s="2">
        <v>0.3</v>
      </c>
      <c r="J367" t="s">
        <v>64</v>
      </c>
      <c r="K367" s="3">
        <v>2950</v>
      </c>
      <c r="L367" t="s">
        <v>30</v>
      </c>
      <c r="M367">
        <v>3</v>
      </c>
      <c r="N367">
        <v>4</v>
      </c>
      <c r="O367">
        <v>39</v>
      </c>
      <c r="P367" t="s">
        <v>21</v>
      </c>
      <c r="Q367" s="1"/>
      <c r="U367">
        <v>1</v>
      </c>
      <c r="V367">
        <v>1</v>
      </c>
      <c r="W367">
        <v>0</v>
      </c>
    </row>
    <row r="368" spans="1:23" ht="16.5" x14ac:dyDescent="0.3">
      <c r="A368" t="s">
        <v>434</v>
      </c>
      <c r="B368" t="s">
        <v>48</v>
      </c>
      <c r="C368" t="s">
        <v>45</v>
      </c>
      <c r="D368" t="s">
        <v>26</v>
      </c>
      <c r="E368">
        <v>40</v>
      </c>
      <c r="F368" t="s">
        <v>46</v>
      </c>
      <c r="G368" t="s">
        <v>38</v>
      </c>
      <c r="H368" s="1">
        <v>44545</v>
      </c>
      <c r="I368" s="2">
        <v>4</v>
      </c>
      <c r="J368" t="s">
        <v>50</v>
      </c>
      <c r="K368" s="3">
        <v>10200</v>
      </c>
      <c r="L368" t="s">
        <v>30</v>
      </c>
      <c r="M368">
        <v>4</v>
      </c>
      <c r="N368">
        <v>3</v>
      </c>
      <c r="O368">
        <v>4</v>
      </c>
      <c r="P368" t="s">
        <v>21</v>
      </c>
      <c r="Q368" s="1"/>
      <c r="U368">
        <v>1</v>
      </c>
      <c r="V368">
        <v>1</v>
      </c>
      <c r="W368">
        <v>0</v>
      </c>
    </row>
    <row r="369" spans="1:23" ht="16.5" x14ac:dyDescent="0.3">
      <c r="A369" t="s">
        <v>435</v>
      </c>
      <c r="B369" t="s">
        <v>70</v>
      </c>
      <c r="C369" t="s">
        <v>45</v>
      </c>
      <c r="D369" t="s">
        <v>37</v>
      </c>
      <c r="E369">
        <v>39</v>
      </c>
      <c r="F369" t="s">
        <v>46</v>
      </c>
      <c r="G369" t="s">
        <v>38</v>
      </c>
      <c r="H369" s="1">
        <v>43989</v>
      </c>
      <c r="I369" s="2">
        <v>5.6</v>
      </c>
      <c r="J369" t="s">
        <v>39</v>
      </c>
      <c r="K369" s="3">
        <v>7900</v>
      </c>
      <c r="L369" t="s">
        <v>30</v>
      </c>
      <c r="M369">
        <v>5</v>
      </c>
      <c r="N369">
        <v>3</v>
      </c>
      <c r="O369">
        <v>34</v>
      </c>
      <c r="P369" t="s">
        <v>21</v>
      </c>
      <c r="Q369" s="1"/>
      <c r="U369">
        <v>1</v>
      </c>
      <c r="V369">
        <v>1</v>
      </c>
      <c r="W369">
        <v>0</v>
      </c>
    </row>
    <row r="370" spans="1:23" ht="16.5" x14ac:dyDescent="0.3">
      <c r="A370" t="s">
        <v>436</v>
      </c>
      <c r="B370" t="s">
        <v>35</v>
      </c>
      <c r="C370" t="s">
        <v>36</v>
      </c>
      <c r="D370" t="s">
        <v>26</v>
      </c>
      <c r="E370">
        <v>35</v>
      </c>
      <c r="F370" t="s">
        <v>27</v>
      </c>
      <c r="G370" t="s">
        <v>28</v>
      </c>
      <c r="H370" s="1">
        <v>42556</v>
      </c>
      <c r="I370" s="2">
        <v>9.1999999999999993</v>
      </c>
      <c r="J370" t="s">
        <v>39</v>
      </c>
      <c r="K370" s="3">
        <v>5200</v>
      </c>
      <c r="L370" t="s">
        <v>30</v>
      </c>
      <c r="M370">
        <v>4</v>
      </c>
      <c r="N370">
        <v>4</v>
      </c>
      <c r="O370">
        <v>43</v>
      </c>
      <c r="P370" t="s">
        <v>22</v>
      </c>
      <c r="Q370" s="1">
        <v>45932</v>
      </c>
      <c r="R370" t="s">
        <v>40</v>
      </c>
      <c r="S370" t="s">
        <v>206</v>
      </c>
      <c r="T370" t="s">
        <v>60</v>
      </c>
      <c r="U370">
        <v>1</v>
      </c>
      <c r="V370">
        <v>0</v>
      </c>
      <c r="W370">
        <v>1</v>
      </c>
    </row>
    <row r="371" spans="1:23" ht="16.5" x14ac:dyDescent="0.3">
      <c r="A371" t="s">
        <v>437</v>
      </c>
      <c r="B371" t="s">
        <v>48</v>
      </c>
      <c r="C371" t="s">
        <v>87</v>
      </c>
      <c r="D371" t="s">
        <v>37</v>
      </c>
      <c r="E371">
        <v>41</v>
      </c>
      <c r="F371" t="s">
        <v>46</v>
      </c>
      <c r="G371" t="s">
        <v>38</v>
      </c>
      <c r="H371" s="1">
        <v>41800</v>
      </c>
      <c r="I371" s="2">
        <v>11.6</v>
      </c>
      <c r="J371" t="s">
        <v>39</v>
      </c>
      <c r="K371" s="3">
        <v>14700</v>
      </c>
      <c r="L371" t="s">
        <v>30</v>
      </c>
      <c r="M371">
        <v>2</v>
      </c>
      <c r="N371">
        <v>3</v>
      </c>
      <c r="O371">
        <v>33</v>
      </c>
      <c r="P371" t="s">
        <v>21</v>
      </c>
      <c r="Q371" s="1"/>
      <c r="U371">
        <v>1</v>
      </c>
      <c r="V371">
        <v>1</v>
      </c>
      <c r="W371">
        <v>0</v>
      </c>
    </row>
    <row r="372" spans="1:23" ht="16.5" x14ac:dyDescent="0.3">
      <c r="A372" t="s">
        <v>438</v>
      </c>
      <c r="B372" t="s">
        <v>70</v>
      </c>
      <c r="C372" t="s">
        <v>36</v>
      </c>
      <c r="D372" t="s">
        <v>26</v>
      </c>
      <c r="E372">
        <v>39</v>
      </c>
      <c r="F372" t="s">
        <v>46</v>
      </c>
      <c r="G372" t="s">
        <v>38</v>
      </c>
      <c r="H372" s="1">
        <v>42326</v>
      </c>
      <c r="I372" s="2">
        <v>10.1</v>
      </c>
      <c r="J372" t="s">
        <v>39</v>
      </c>
      <c r="K372" s="3">
        <v>5500</v>
      </c>
      <c r="L372" t="s">
        <v>58</v>
      </c>
      <c r="M372">
        <v>4</v>
      </c>
      <c r="N372">
        <v>3</v>
      </c>
      <c r="O372">
        <v>35</v>
      </c>
      <c r="P372" t="s">
        <v>21</v>
      </c>
      <c r="Q372" s="1"/>
      <c r="U372">
        <v>1</v>
      </c>
      <c r="V372">
        <v>1</v>
      </c>
      <c r="W372">
        <v>0</v>
      </c>
    </row>
    <row r="373" spans="1:23" ht="16.5" x14ac:dyDescent="0.3">
      <c r="A373" t="s">
        <v>439</v>
      </c>
      <c r="B373" t="s">
        <v>48</v>
      </c>
      <c r="C373" t="s">
        <v>25</v>
      </c>
      <c r="D373" t="s">
        <v>26</v>
      </c>
      <c r="E373">
        <v>28</v>
      </c>
      <c r="F373" t="s">
        <v>27</v>
      </c>
      <c r="G373" t="s">
        <v>52</v>
      </c>
      <c r="H373" s="1">
        <v>44933</v>
      </c>
      <c r="I373" s="2">
        <v>1.7</v>
      </c>
      <c r="J373" t="s">
        <v>29</v>
      </c>
      <c r="K373" s="3">
        <v>5250</v>
      </c>
      <c r="L373" t="s">
        <v>30</v>
      </c>
      <c r="M373">
        <v>4</v>
      </c>
      <c r="N373">
        <v>4</v>
      </c>
      <c r="O373">
        <v>12</v>
      </c>
      <c r="P373" t="s">
        <v>22</v>
      </c>
      <c r="Q373" s="1">
        <v>45555</v>
      </c>
      <c r="R373" t="s">
        <v>31</v>
      </c>
      <c r="S373" t="s">
        <v>259</v>
      </c>
      <c r="T373" t="s">
        <v>33</v>
      </c>
      <c r="U373">
        <v>1</v>
      </c>
      <c r="V373">
        <v>0</v>
      </c>
      <c r="W373">
        <v>1</v>
      </c>
    </row>
    <row r="374" spans="1:23" ht="16.5" x14ac:dyDescent="0.3">
      <c r="A374" t="s">
        <v>440</v>
      </c>
      <c r="B374" t="s">
        <v>44</v>
      </c>
      <c r="C374" t="s">
        <v>45</v>
      </c>
      <c r="D374" t="s">
        <v>37</v>
      </c>
      <c r="E374">
        <v>36</v>
      </c>
      <c r="F374" t="s">
        <v>46</v>
      </c>
      <c r="G374" t="s">
        <v>38</v>
      </c>
      <c r="H374" s="1">
        <v>45059</v>
      </c>
      <c r="I374" s="2">
        <v>2.6</v>
      </c>
      <c r="J374" t="s">
        <v>29</v>
      </c>
      <c r="K374" s="3">
        <v>11400</v>
      </c>
      <c r="L374" t="s">
        <v>30</v>
      </c>
      <c r="M374">
        <v>2</v>
      </c>
      <c r="N374">
        <v>2</v>
      </c>
      <c r="O374">
        <v>25</v>
      </c>
      <c r="P374" t="s">
        <v>21</v>
      </c>
      <c r="Q374" s="1"/>
      <c r="U374">
        <v>1</v>
      </c>
      <c r="V374">
        <v>1</v>
      </c>
      <c r="W374">
        <v>0</v>
      </c>
    </row>
    <row r="375" spans="1:23" ht="16.5" x14ac:dyDescent="0.3">
      <c r="A375" t="s">
        <v>441</v>
      </c>
      <c r="B375" t="s">
        <v>35</v>
      </c>
      <c r="C375" t="s">
        <v>25</v>
      </c>
      <c r="D375" t="s">
        <v>37</v>
      </c>
      <c r="E375">
        <v>21</v>
      </c>
      <c r="F375" t="s">
        <v>57</v>
      </c>
      <c r="G375" t="s">
        <v>28</v>
      </c>
      <c r="H375" s="1">
        <v>45932</v>
      </c>
      <c r="I375" s="2">
        <v>0.2</v>
      </c>
      <c r="J375" t="s">
        <v>64</v>
      </c>
      <c r="K375" s="3">
        <v>3050</v>
      </c>
      <c r="L375" t="s">
        <v>30</v>
      </c>
      <c r="M375">
        <v>3</v>
      </c>
      <c r="N375">
        <v>4</v>
      </c>
      <c r="O375">
        <v>30</v>
      </c>
      <c r="P375" t="s">
        <v>21</v>
      </c>
      <c r="Q375" s="1"/>
      <c r="U375">
        <v>1</v>
      </c>
      <c r="V375">
        <v>1</v>
      </c>
      <c r="W375">
        <v>0</v>
      </c>
    </row>
    <row r="376" spans="1:23" ht="16.5" x14ac:dyDescent="0.3">
      <c r="A376" t="s">
        <v>442</v>
      </c>
      <c r="B376" t="s">
        <v>55</v>
      </c>
      <c r="C376" t="s">
        <v>45</v>
      </c>
      <c r="D376" t="s">
        <v>26</v>
      </c>
      <c r="E376">
        <v>37</v>
      </c>
      <c r="F376" t="s">
        <v>46</v>
      </c>
      <c r="G376" t="s">
        <v>38</v>
      </c>
      <c r="H376" s="1">
        <v>42039</v>
      </c>
      <c r="I376" s="2">
        <v>9.6</v>
      </c>
      <c r="J376" t="s">
        <v>39</v>
      </c>
      <c r="K376" s="3">
        <v>7050</v>
      </c>
      <c r="L376" t="s">
        <v>30</v>
      </c>
      <c r="M376">
        <v>3</v>
      </c>
      <c r="N376">
        <v>3</v>
      </c>
      <c r="O376">
        <v>35</v>
      </c>
      <c r="P376" t="s">
        <v>22</v>
      </c>
      <c r="Q376" s="1">
        <v>45546</v>
      </c>
      <c r="R376" t="s">
        <v>31</v>
      </c>
      <c r="S376" t="s">
        <v>259</v>
      </c>
      <c r="T376" t="s">
        <v>33</v>
      </c>
      <c r="U376">
        <v>1</v>
      </c>
      <c r="V376">
        <v>0</v>
      </c>
      <c r="W376">
        <v>1</v>
      </c>
    </row>
    <row r="377" spans="1:23" ht="16.5" x14ac:dyDescent="0.3">
      <c r="A377" t="s">
        <v>443</v>
      </c>
      <c r="B377" t="s">
        <v>73</v>
      </c>
      <c r="C377" t="s">
        <v>45</v>
      </c>
      <c r="D377" t="s">
        <v>37</v>
      </c>
      <c r="E377">
        <v>48</v>
      </c>
      <c r="F377" t="s">
        <v>88</v>
      </c>
      <c r="G377" t="s">
        <v>38</v>
      </c>
      <c r="H377" s="1">
        <v>43779</v>
      </c>
      <c r="I377" s="2">
        <v>6.1</v>
      </c>
      <c r="J377" t="s">
        <v>39</v>
      </c>
      <c r="K377" s="3">
        <v>6950</v>
      </c>
      <c r="L377" t="s">
        <v>58</v>
      </c>
      <c r="M377">
        <v>4</v>
      </c>
      <c r="N377">
        <v>3</v>
      </c>
      <c r="O377">
        <v>8</v>
      </c>
      <c r="P377" t="s">
        <v>21</v>
      </c>
      <c r="Q377" s="1"/>
      <c r="U377">
        <v>1</v>
      </c>
      <c r="V377">
        <v>1</v>
      </c>
      <c r="W377">
        <v>0</v>
      </c>
    </row>
    <row r="378" spans="1:23" ht="16.5" x14ac:dyDescent="0.3">
      <c r="A378" t="s">
        <v>444</v>
      </c>
      <c r="B378" t="s">
        <v>48</v>
      </c>
      <c r="C378" t="s">
        <v>45</v>
      </c>
      <c r="D378" t="s">
        <v>26</v>
      </c>
      <c r="E378">
        <v>30</v>
      </c>
      <c r="F378" t="s">
        <v>27</v>
      </c>
      <c r="G378" t="s">
        <v>52</v>
      </c>
      <c r="H378" s="1">
        <v>44289</v>
      </c>
      <c r="I378" s="2">
        <v>4.7</v>
      </c>
      <c r="J378" t="s">
        <v>50</v>
      </c>
      <c r="K378" s="3">
        <v>10750</v>
      </c>
      <c r="L378" t="s">
        <v>30</v>
      </c>
      <c r="M378">
        <v>2</v>
      </c>
      <c r="N378">
        <v>3</v>
      </c>
      <c r="O378">
        <v>24</v>
      </c>
      <c r="P378" t="s">
        <v>21</v>
      </c>
      <c r="Q378" s="1"/>
      <c r="U378">
        <v>1</v>
      </c>
      <c r="V378">
        <v>1</v>
      </c>
      <c r="W378">
        <v>0</v>
      </c>
    </row>
    <row r="379" spans="1:23" ht="16.5" x14ac:dyDescent="0.3">
      <c r="A379" t="s">
        <v>445</v>
      </c>
      <c r="B379" t="s">
        <v>24</v>
      </c>
      <c r="C379" t="s">
        <v>36</v>
      </c>
      <c r="D379" t="s">
        <v>37</v>
      </c>
      <c r="E379">
        <v>36</v>
      </c>
      <c r="F379" t="s">
        <v>46</v>
      </c>
      <c r="G379" t="s">
        <v>38</v>
      </c>
      <c r="H379" s="1">
        <v>44309</v>
      </c>
      <c r="I379" s="2">
        <v>4.4000000000000004</v>
      </c>
      <c r="J379" t="s">
        <v>50</v>
      </c>
      <c r="K379" s="3">
        <v>3200</v>
      </c>
      <c r="L379" t="s">
        <v>30</v>
      </c>
      <c r="M379">
        <v>4</v>
      </c>
      <c r="N379">
        <v>4</v>
      </c>
      <c r="O379">
        <v>15</v>
      </c>
      <c r="P379" t="s">
        <v>22</v>
      </c>
      <c r="Q379" s="1">
        <v>45901</v>
      </c>
      <c r="R379" t="s">
        <v>40</v>
      </c>
      <c r="S379" t="s">
        <v>259</v>
      </c>
      <c r="T379" t="s">
        <v>42</v>
      </c>
      <c r="U379">
        <v>1</v>
      </c>
      <c r="V379">
        <v>0</v>
      </c>
      <c r="W379">
        <v>1</v>
      </c>
    </row>
    <row r="380" spans="1:23" ht="16.5" x14ac:dyDescent="0.3">
      <c r="A380" t="s">
        <v>446</v>
      </c>
      <c r="B380" t="s">
        <v>35</v>
      </c>
      <c r="C380" t="s">
        <v>25</v>
      </c>
      <c r="D380" t="s">
        <v>26</v>
      </c>
      <c r="E380">
        <v>28</v>
      </c>
      <c r="F380" t="s">
        <v>27</v>
      </c>
      <c r="G380" t="s">
        <v>28</v>
      </c>
      <c r="H380" s="1">
        <v>44427</v>
      </c>
      <c r="I380" s="2">
        <v>3.6</v>
      </c>
      <c r="J380" t="s">
        <v>50</v>
      </c>
      <c r="K380" s="3">
        <v>3350</v>
      </c>
      <c r="L380" t="s">
        <v>58</v>
      </c>
      <c r="M380">
        <v>1</v>
      </c>
      <c r="N380">
        <v>3</v>
      </c>
      <c r="O380">
        <v>10</v>
      </c>
      <c r="P380" t="s">
        <v>22</v>
      </c>
      <c r="Q380" s="1">
        <v>45731</v>
      </c>
      <c r="R380" t="s">
        <v>40</v>
      </c>
      <c r="S380" t="s">
        <v>59</v>
      </c>
      <c r="T380" t="s">
        <v>60</v>
      </c>
      <c r="U380">
        <v>1</v>
      </c>
      <c r="V380">
        <v>0</v>
      </c>
      <c r="W380">
        <v>1</v>
      </c>
    </row>
    <row r="381" spans="1:23" ht="16.5" x14ac:dyDescent="0.3">
      <c r="A381" t="s">
        <v>447</v>
      </c>
      <c r="B381" t="s">
        <v>35</v>
      </c>
      <c r="C381" t="s">
        <v>36</v>
      </c>
      <c r="D381" t="s">
        <v>26</v>
      </c>
      <c r="E381">
        <v>28</v>
      </c>
      <c r="F381" t="s">
        <v>27</v>
      </c>
      <c r="G381" t="s">
        <v>38</v>
      </c>
      <c r="H381" s="1">
        <v>45443</v>
      </c>
      <c r="I381" s="2">
        <v>1.6</v>
      </c>
      <c r="J381" t="s">
        <v>29</v>
      </c>
      <c r="K381" s="3">
        <v>4550</v>
      </c>
      <c r="L381" t="s">
        <v>58</v>
      </c>
      <c r="M381">
        <v>3</v>
      </c>
      <c r="N381">
        <v>4</v>
      </c>
      <c r="O381">
        <v>16</v>
      </c>
      <c r="P381" t="s">
        <v>21</v>
      </c>
      <c r="Q381" s="1"/>
      <c r="U381">
        <v>1</v>
      </c>
      <c r="V381">
        <v>1</v>
      </c>
      <c r="W381">
        <v>0</v>
      </c>
    </row>
    <row r="382" spans="1:23" ht="16.5" x14ac:dyDescent="0.3">
      <c r="A382" t="s">
        <v>448</v>
      </c>
      <c r="B382" t="s">
        <v>73</v>
      </c>
      <c r="C382" t="s">
        <v>36</v>
      </c>
      <c r="D382" t="s">
        <v>37</v>
      </c>
      <c r="E382">
        <v>24</v>
      </c>
      <c r="F382" t="s">
        <v>57</v>
      </c>
      <c r="G382" t="s">
        <v>28</v>
      </c>
      <c r="H382" s="1">
        <v>45556</v>
      </c>
      <c r="I382" s="2">
        <v>1.3</v>
      </c>
      <c r="J382" t="s">
        <v>29</v>
      </c>
      <c r="K382" s="3">
        <v>5150</v>
      </c>
      <c r="L382" t="s">
        <v>30</v>
      </c>
      <c r="M382">
        <v>3</v>
      </c>
      <c r="N382">
        <v>3</v>
      </c>
      <c r="O382">
        <v>13</v>
      </c>
      <c r="P382" t="s">
        <v>21</v>
      </c>
      <c r="Q382" s="1"/>
      <c r="U382">
        <v>1</v>
      </c>
      <c r="V382">
        <v>1</v>
      </c>
      <c r="W382">
        <v>0</v>
      </c>
    </row>
    <row r="383" spans="1:23" ht="16.5" x14ac:dyDescent="0.3">
      <c r="A383" t="s">
        <v>449</v>
      </c>
      <c r="B383" t="s">
        <v>70</v>
      </c>
      <c r="C383" t="s">
        <v>25</v>
      </c>
      <c r="D383" t="s">
        <v>37</v>
      </c>
      <c r="E383">
        <v>24</v>
      </c>
      <c r="F383" t="s">
        <v>57</v>
      </c>
      <c r="G383" t="s">
        <v>38</v>
      </c>
      <c r="H383" s="1">
        <v>45201</v>
      </c>
      <c r="I383" s="2">
        <v>2.1</v>
      </c>
      <c r="J383" t="s">
        <v>29</v>
      </c>
      <c r="K383" s="3">
        <v>4050</v>
      </c>
      <c r="L383" t="s">
        <v>30</v>
      </c>
      <c r="M383">
        <v>2</v>
      </c>
      <c r="N383">
        <v>3</v>
      </c>
      <c r="O383">
        <v>8</v>
      </c>
      <c r="P383" t="s">
        <v>22</v>
      </c>
      <c r="Q383" s="1">
        <v>45957</v>
      </c>
      <c r="R383" t="s">
        <v>40</v>
      </c>
      <c r="S383" t="s">
        <v>206</v>
      </c>
      <c r="T383" t="s">
        <v>33</v>
      </c>
      <c r="U383">
        <v>1</v>
      </c>
      <c r="V383">
        <v>0</v>
      </c>
      <c r="W383">
        <v>1</v>
      </c>
    </row>
    <row r="384" spans="1:23" ht="16.5" x14ac:dyDescent="0.3">
      <c r="A384" t="s">
        <v>450</v>
      </c>
      <c r="B384" t="s">
        <v>48</v>
      </c>
      <c r="C384" t="s">
        <v>36</v>
      </c>
      <c r="D384" t="s">
        <v>26</v>
      </c>
      <c r="E384">
        <v>35</v>
      </c>
      <c r="F384" t="s">
        <v>27</v>
      </c>
      <c r="G384" t="s">
        <v>38</v>
      </c>
      <c r="H384" s="1">
        <v>44083</v>
      </c>
      <c r="I384" s="2">
        <v>4.7</v>
      </c>
      <c r="J384" t="s">
        <v>50</v>
      </c>
      <c r="K384" s="3">
        <v>7850</v>
      </c>
      <c r="L384" t="s">
        <v>30</v>
      </c>
      <c r="M384">
        <v>3</v>
      </c>
      <c r="N384">
        <v>4</v>
      </c>
      <c r="O384">
        <v>29</v>
      </c>
      <c r="P384" t="s">
        <v>22</v>
      </c>
      <c r="Q384" s="1">
        <v>45793</v>
      </c>
      <c r="R384" t="s">
        <v>40</v>
      </c>
      <c r="S384" t="s">
        <v>169</v>
      </c>
      <c r="T384" t="s">
        <v>151</v>
      </c>
      <c r="U384">
        <v>1</v>
      </c>
      <c r="V384">
        <v>0</v>
      </c>
      <c r="W384">
        <v>1</v>
      </c>
    </row>
    <row r="385" spans="1:23" ht="16.5" x14ac:dyDescent="0.3">
      <c r="A385" t="s">
        <v>451</v>
      </c>
      <c r="B385" t="s">
        <v>24</v>
      </c>
      <c r="C385" t="s">
        <v>25</v>
      </c>
      <c r="D385" t="s">
        <v>37</v>
      </c>
      <c r="E385">
        <v>23</v>
      </c>
      <c r="F385" t="s">
        <v>57</v>
      </c>
      <c r="G385" t="s">
        <v>38</v>
      </c>
      <c r="H385" s="1">
        <v>45897</v>
      </c>
      <c r="I385" s="2">
        <v>0.3</v>
      </c>
      <c r="J385" t="s">
        <v>64</v>
      </c>
      <c r="K385" s="3">
        <v>2950</v>
      </c>
      <c r="L385" t="s">
        <v>58</v>
      </c>
      <c r="M385">
        <v>5</v>
      </c>
      <c r="N385">
        <v>3</v>
      </c>
      <c r="O385">
        <v>26</v>
      </c>
      <c r="P385" t="s">
        <v>21</v>
      </c>
      <c r="Q385" s="1"/>
      <c r="U385">
        <v>1</v>
      </c>
      <c r="V385">
        <v>1</v>
      </c>
      <c r="W385">
        <v>0</v>
      </c>
    </row>
    <row r="386" spans="1:23" ht="16.5" x14ac:dyDescent="0.3">
      <c r="A386" t="s">
        <v>452</v>
      </c>
      <c r="B386" t="s">
        <v>24</v>
      </c>
      <c r="C386" t="s">
        <v>25</v>
      </c>
      <c r="D386" t="s">
        <v>26</v>
      </c>
      <c r="E386">
        <v>21</v>
      </c>
      <c r="F386" t="s">
        <v>57</v>
      </c>
      <c r="G386" t="s">
        <v>28</v>
      </c>
      <c r="H386" s="1">
        <v>45944</v>
      </c>
      <c r="I386" s="2">
        <v>0.2</v>
      </c>
      <c r="J386" t="s">
        <v>64</v>
      </c>
      <c r="K386" s="3">
        <v>2400</v>
      </c>
      <c r="L386" t="s">
        <v>30</v>
      </c>
      <c r="M386">
        <v>3</v>
      </c>
      <c r="N386">
        <v>4</v>
      </c>
      <c r="O386">
        <v>17</v>
      </c>
      <c r="P386" t="s">
        <v>21</v>
      </c>
      <c r="Q386" s="1"/>
      <c r="U386">
        <v>1</v>
      </c>
      <c r="V386">
        <v>1</v>
      </c>
      <c r="W386">
        <v>0</v>
      </c>
    </row>
    <row r="387" spans="1:23" ht="16.5" x14ac:dyDescent="0.3">
      <c r="A387" t="s">
        <v>453</v>
      </c>
      <c r="B387" t="s">
        <v>24</v>
      </c>
      <c r="C387" t="s">
        <v>25</v>
      </c>
      <c r="D387" t="s">
        <v>37</v>
      </c>
      <c r="E387">
        <v>23</v>
      </c>
      <c r="F387" t="s">
        <v>57</v>
      </c>
      <c r="G387" t="s">
        <v>28</v>
      </c>
      <c r="H387" s="1">
        <v>45486</v>
      </c>
      <c r="I387" s="2">
        <v>1.5</v>
      </c>
      <c r="J387" t="s">
        <v>29</v>
      </c>
      <c r="K387" s="3">
        <v>2450</v>
      </c>
      <c r="L387" t="s">
        <v>30</v>
      </c>
      <c r="M387">
        <v>3</v>
      </c>
      <c r="N387">
        <v>3</v>
      </c>
      <c r="O387">
        <v>29</v>
      </c>
      <c r="P387" t="s">
        <v>21</v>
      </c>
      <c r="Q387" s="1"/>
      <c r="U387">
        <v>1</v>
      </c>
      <c r="V387">
        <v>1</v>
      </c>
      <c r="W387">
        <v>0</v>
      </c>
    </row>
    <row r="388" spans="1:23" ht="16.5" x14ac:dyDescent="0.3">
      <c r="A388" t="s">
        <v>454</v>
      </c>
      <c r="B388" t="s">
        <v>73</v>
      </c>
      <c r="C388" t="s">
        <v>25</v>
      </c>
      <c r="D388" t="s">
        <v>37</v>
      </c>
      <c r="E388">
        <v>24</v>
      </c>
      <c r="F388" t="s">
        <v>57</v>
      </c>
      <c r="G388" t="s">
        <v>38</v>
      </c>
      <c r="H388" s="1">
        <v>45288</v>
      </c>
      <c r="I388" s="2">
        <v>2</v>
      </c>
      <c r="J388" t="s">
        <v>29</v>
      </c>
      <c r="K388" s="3">
        <v>4650</v>
      </c>
      <c r="L388" t="s">
        <v>30</v>
      </c>
      <c r="M388">
        <v>3</v>
      </c>
      <c r="N388">
        <v>4</v>
      </c>
      <c r="O388">
        <v>20</v>
      </c>
      <c r="P388" t="s">
        <v>21</v>
      </c>
      <c r="Q388" s="1"/>
      <c r="U388">
        <v>1</v>
      </c>
      <c r="V388">
        <v>1</v>
      </c>
      <c r="W388">
        <v>0</v>
      </c>
    </row>
    <row r="389" spans="1:23" ht="16.5" x14ac:dyDescent="0.3">
      <c r="A389" t="s">
        <v>455</v>
      </c>
      <c r="B389" t="s">
        <v>70</v>
      </c>
      <c r="C389" t="s">
        <v>36</v>
      </c>
      <c r="D389" t="s">
        <v>37</v>
      </c>
      <c r="E389">
        <v>32</v>
      </c>
      <c r="F389" t="s">
        <v>27</v>
      </c>
      <c r="G389" t="s">
        <v>38</v>
      </c>
      <c r="H389" s="1">
        <v>44104</v>
      </c>
      <c r="I389" s="2">
        <v>5.3</v>
      </c>
      <c r="J389" t="s">
        <v>39</v>
      </c>
      <c r="K389" s="3">
        <v>5700</v>
      </c>
      <c r="L389" t="s">
        <v>30</v>
      </c>
      <c r="M389">
        <v>4</v>
      </c>
      <c r="N389">
        <v>4</v>
      </c>
      <c r="O389">
        <v>30</v>
      </c>
      <c r="P389" t="s">
        <v>21</v>
      </c>
      <c r="Q389" s="1"/>
      <c r="U389">
        <v>1</v>
      </c>
      <c r="V389">
        <v>1</v>
      </c>
      <c r="W389">
        <v>0</v>
      </c>
    </row>
    <row r="390" spans="1:23" ht="16.5" x14ac:dyDescent="0.3">
      <c r="A390" t="s">
        <v>456</v>
      </c>
      <c r="B390" t="s">
        <v>24</v>
      </c>
      <c r="C390" t="s">
        <v>36</v>
      </c>
      <c r="D390" t="s">
        <v>37</v>
      </c>
      <c r="E390">
        <v>31</v>
      </c>
      <c r="F390" t="s">
        <v>27</v>
      </c>
      <c r="G390" t="s">
        <v>38</v>
      </c>
      <c r="H390" s="1">
        <v>44357</v>
      </c>
      <c r="I390" s="2">
        <v>4.5999999999999996</v>
      </c>
      <c r="J390" t="s">
        <v>50</v>
      </c>
      <c r="K390" s="3">
        <v>3500</v>
      </c>
      <c r="L390" t="s">
        <v>58</v>
      </c>
      <c r="M390">
        <v>3</v>
      </c>
      <c r="N390">
        <v>3</v>
      </c>
      <c r="O390">
        <v>25</v>
      </c>
      <c r="P390" t="s">
        <v>21</v>
      </c>
      <c r="Q390" s="1"/>
      <c r="U390">
        <v>1</v>
      </c>
      <c r="V390">
        <v>1</v>
      </c>
      <c r="W390">
        <v>0</v>
      </c>
    </row>
    <row r="391" spans="1:23" ht="16.5" x14ac:dyDescent="0.3">
      <c r="A391" t="s">
        <v>457</v>
      </c>
      <c r="B391" t="s">
        <v>55</v>
      </c>
      <c r="C391" t="s">
        <v>25</v>
      </c>
      <c r="D391" t="s">
        <v>26</v>
      </c>
      <c r="E391">
        <v>27</v>
      </c>
      <c r="F391" t="s">
        <v>27</v>
      </c>
      <c r="G391" t="s">
        <v>28</v>
      </c>
      <c r="H391" s="1">
        <v>44292</v>
      </c>
      <c r="I391" s="2">
        <v>4.7</v>
      </c>
      <c r="J391" t="s">
        <v>50</v>
      </c>
      <c r="K391" s="3">
        <v>4500</v>
      </c>
      <c r="L391" t="s">
        <v>30</v>
      </c>
      <c r="M391">
        <v>2</v>
      </c>
      <c r="N391">
        <v>4</v>
      </c>
      <c r="O391">
        <v>23</v>
      </c>
      <c r="P391" t="s">
        <v>21</v>
      </c>
      <c r="Q391" s="1"/>
      <c r="U391">
        <v>1</v>
      </c>
      <c r="V391">
        <v>1</v>
      </c>
      <c r="W391">
        <v>0</v>
      </c>
    </row>
    <row r="392" spans="1:23" ht="16.5" x14ac:dyDescent="0.3">
      <c r="A392" t="s">
        <v>458</v>
      </c>
      <c r="B392" t="s">
        <v>35</v>
      </c>
      <c r="C392" t="s">
        <v>45</v>
      </c>
      <c r="D392" t="s">
        <v>37</v>
      </c>
      <c r="E392">
        <v>32</v>
      </c>
      <c r="F392" t="s">
        <v>27</v>
      </c>
      <c r="G392" t="s">
        <v>52</v>
      </c>
      <c r="H392" s="1">
        <v>45500</v>
      </c>
      <c r="I392" s="2">
        <v>1.4</v>
      </c>
      <c r="J392" t="s">
        <v>29</v>
      </c>
      <c r="K392" s="3">
        <v>7250</v>
      </c>
      <c r="L392" t="s">
        <v>30</v>
      </c>
      <c r="M392">
        <v>4</v>
      </c>
      <c r="N392">
        <v>5</v>
      </c>
      <c r="O392">
        <v>22</v>
      </c>
      <c r="P392" t="s">
        <v>21</v>
      </c>
      <c r="Q392" s="1"/>
      <c r="U392">
        <v>1</v>
      </c>
      <c r="V392">
        <v>1</v>
      </c>
      <c r="W392">
        <v>0</v>
      </c>
    </row>
    <row r="393" spans="1:23" ht="16.5" x14ac:dyDescent="0.3">
      <c r="A393" t="s">
        <v>459</v>
      </c>
      <c r="B393" t="s">
        <v>35</v>
      </c>
      <c r="C393" t="s">
        <v>36</v>
      </c>
      <c r="D393" t="s">
        <v>26</v>
      </c>
      <c r="E393">
        <v>41</v>
      </c>
      <c r="F393" t="s">
        <v>46</v>
      </c>
      <c r="G393" t="s">
        <v>38</v>
      </c>
      <c r="H393" s="1">
        <v>41426</v>
      </c>
      <c r="I393" s="2">
        <v>12.6</v>
      </c>
      <c r="J393" t="s">
        <v>39</v>
      </c>
      <c r="K393" s="3">
        <v>4450</v>
      </c>
      <c r="L393" t="s">
        <v>30</v>
      </c>
      <c r="M393">
        <v>4</v>
      </c>
      <c r="N393">
        <v>3</v>
      </c>
      <c r="O393">
        <v>49</v>
      </c>
      <c r="P393" t="s">
        <v>21</v>
      </c>
      <c r="Q393" s="1"/>
      <c r="U393">
        <v>1</v>
      </c>
      <c r="V393">
        <v>1</v>
      </c>
      <c r="W393">
        <v>0</v>
      </c>
    </row>
    <row r="394" spans="1:23" ht="16.5" x14ac:dyDescent="0.3">
      <c r="A394" t="s">
        <v>460</v>
      </c>
      <c r="B394" t="s">
        <v>44</v>
      </c>
      <c r="C394" t="s">
        <v>87</v>
      </c>
      <c r="D394" t="s">
        <v>26</v>
      </c>
      <c r="E394">
        <v>51</v>
      </c>
      <c r="F394" t="s">
        <v>88</v>
      </c>
      <c r="G394" t="s">
        <v>52</v>
      </c>
      <c r="H394" s="1">
        <v>41571</v>
      </c>
      <c r="I394" s="2">
        <v>12.2</v>
      </c>
      <c r="J394" t="s">
        <v>39</v>
      </c>
      <c r="K394" s="3">
        <v>13950</v>
      </c>
      <c r="L394" t="s">
        <v>30</v>
      </c>
      <c r="M394">
        <v>3</v>
      </c>
      <c r="N394">
        <v>2</v>
      </c>
      <c r="O394">
        <v>24</v>
      </c>
      <c r="P394" t="s">
        <v>21</v>
      </c>
      <c r="Q394" s="1"/>
      <c r="U394">
        <v>1</v>
      </c>
      <c r="V394">
        <v>1</v>
      </c>
      <c r="W394">
        <v>0</v>
      </c>
    </row>
    <row r="395" spans="1:23" ht="16.5" x14ac:dyDescent="0.3">
      <c r="A395" t="s">
        <v>461</v>
      </c>
      <c r="B395" t="s">
        <v>24</v>
      </c>
      <c r="C395" t="s">
        <v>36</v>
      </c>
      <c r="D395" t="s">
        <v>37</v>
      </c>
      <c r="E395">
        <v>35</v>
      </c>
      <c r="F395" t="s">
        <v>27</v>
      </c>
      <c r="G395" t="s">
        <v>38</v>
      </c>
      <c r="H395" s="1">
        <v>42734</v>
      </c>
      <c r="I395" s="2">
        <v>9</v>
      </c>
      <c r="J395" t="s">
        <v>39</v>
      </c>
      <c r="K395" s="3">
        <v>3750</v>
      </c>
      <c r="L395" t="s">
        <v>30</v>
      </c>
      <c r="M395">
        <v>4</v>
      </c>
      <c r="N395">
        <v>2</v>
      </c>
      <c r="O395">
        <v>27</v>
      </c>
      <c r="P395" t="s">
        <v>21</v>
      </c>
      <c r="Q395" s="1"/>
      <c r="U395">
        <v>1</v>
      </c>
      <c r="V395">
        <v>1</v>
      </c>
      <c r="W395">
        <v>0</v>
      </c>
    </row>
    <row r="396" spans="1:23" ht="16.5" x14ac:dyDescent="0.3">
      <c r="A396" t="s">
        <v>462</v>
      </c>
      <c r="B396" t="s">
        <v>35</v>
      </c>
      <c r="C396" t="s">
        <v>25</v>
      </c>
      <c r="D396" t="s">
        <v>37</v>
      </c>
      <c r="E396">
        <v>22</v>
      </c>
      <c r="F396" t="s">
        <v>57</v>
      </c>
      <c r="G396" t="s">
        <v>38</v>
      </c>
      <c r="H396" s="1">
        <v>45770</v>
      </c>
      <c r="I396" s="2">
        <v>0.7</v>
      </c>
      <c r="J396" t="s">
        <v>64</v>
      </c>
      <c r="K396" s="3">
        <v>3650</v>
      </c>
      <c r="L396" t="s">
        <v>30</v>
      </c>
      <c r="M396">
        <v>2</v>
      </c>
      <c r="N396">
        <v>4</v>
      </c>
      <c r="O396">
        <v>18</v>
      </c>
      <c r="P396" t="s">
        <v>21</v>
      </c>
      <c r="Q396" s="1"/>
      <c r="U396">
        <v>1</v>
      </c>
      <c r="V396">
        <v>1</v>
      </c>
      <c r="W396">
        <v>0</v>
      </c>
    </row>
    <row r="397" spans="1:23" ht="16.5" x14ac:dyDescent="0.3">
      <c r="A397" t="s">
        <v>463</v>
      </c>
      <c r="B397" t="s">
        <v>70</v>
      </c>
      <c r="C397" t="s">
        <v>25</v>
      </c>
      <c r="D397" t="s">
        <v>26</v>
      </c>
      <c r="E397">
        <v>26</v>
      </c>
      <c r="F397" t="s">
        <v>27</v>
      </c>
      <c r="G397" t="s">
        <v>28</v>
      </c>
      <c r="H397" s="1">
        <v>44885</v>
      </c>
      <c r="I397" s="2">
        <v>1.3</v>
      </c>
      <c r="J397" t="s">
        <v>29</v>
      </c>
      <c r="K397" s="3">
        <v>3650</v>
      </c>
      <c r="L397" t="s">
        <v>30</v>
      </c>
      <c r="M397">
        <v>4</v>
      </c>
      <c r="N397">
        <v>2</v>
      </c>
      <c r="O397">
        <v>31</v>
      </c>
      <c r="P397" t="s">
        <v>22</v>
      </c>
      <c r="Q397" s="1">
        <v>45366</v>
      </c>
      <c r="R397" t="s">
        <v>31</v>
      </c>
      <c r="S397" t="s">
        <v>59</v>
      </c>
      <c r="T397" t="s">
        <v>33</v>
      </c>
      <c r="U397">
        <v>1</v>
      </c>
      <c r="V397">
        <v>0</v>
      </c>
      <c r="W397">
        <v>1</v>
      </c>
    </row>
    <row r="398" spans="1:23" ht="16.5" x14ac:dyDescent="0.3">
      <c r="A398" t="s">
        <v>464</v>
      </c>
      <c r="B398" t="s">
        <v>24</v>
      </c>
      <c r="C398" t="s">
        <v>25</v>
      </c>
      <c r="D398" t="s">
        <v>37</v>
      </c>
      <c r="E398">
        <v>24</v>
      </c>
      <c r="F398" t="s">
        <v>57</v>
      </c>
      <c r="G398" t="s">
        <v>28</v>
      </c>
      <c r="H398" s="1">
        <v>45455</v>
      </c>
      <c r="I398" s="2">
        <v>0.7</v>
      </c>
      <c r="J398" t="s">
        <v>64</v>
      </c>
      <c r="K398" s="3">
        <v>3250</v>
      </c>
      <c r="L398" t="s">
        <v>58</v>
      </c>
      <c r="M398">
        <v>3</v>
      </c>
      <c r="N398">
        <v>5</v>
      </c>
      <c r="O398">
        <v>19</v>
      </c>
      <c r="P398" t="s">
        <v>22</v>
      </c>
      <c r="Q398" s="1">
        <v>45721</v>
      </c>
      <c r="R398" t="s">
        <v>40</v>
      </c>
      <c r="S398" t="s">
        <v>59</v>
      </c>
      <c r="T398" t="s">
        <v>60</v>
      </c>
      <c r="U398">
        <v>1</v>
      </c>
      <c r="V398">
        <v>0</v>
      </c>
      <c r="W398">
        <v>1</v>
      </c>
    </row>
    <row r="399" spans="1:23" ht="16.5" x14ac:dyDescent="0.3">
      <c r="A399" t="s">
        <v>465</v>
      </c>
      <c r="B399" t="s">
        <v>48</v>
      </c>
      <c r="C399" t="s">
        <v>36</v>
      </c>
      <c r="D399" t="s">
        <v>37</v>
      </c>
      <c r="E399">
        <v>34</v>
      </c>
      <c r="F399" t="s">
        <v>27</v>
      </c>
      <c r="G399" t="s">
        <v>38</v>
      </c>
      <c r="H399" s="1">
        <v>42641</v>
      </c>
      <c r="I399" s="2">
        <v>9.3000000000000007</v>
      </c>
      <c r="J399" t="s">
        <v>39</v>
      </c>
      <c r="K399" s="3">
        <v>7150</v>
      </c>
      <c r="L399" t="s">
        <v>58</v>
      </c>
      <c r="M399">
        <v>2</v>
      </c>
      <c r="N399">
        <v>3</v>
      </c>
      <c r="O399">
        <v>5</v>
      </c>
      <c r="P399" t="s">
        <v>21</v>
      </c>
      <c r="Q399" s="1"/>
      <c r="U399">
        <v>1</v>
      </c>
      <c r="V399">
        <v>1</v>
      </c>
      <c r="W399">
        <v>0</v>
      </c>
    </row>
    <row r="400" spans="1:23" ht="16.5" x14ac:dyDescent="0.3">
      <c r="A400" t="s">
        <v>466</v>
      </c>
      <c r="B400" t="s">
        <v>35</v>
      </c>
      <c r="C400" t="s">
        <v>25</v>
      </c>
      <c r="D400" t="s">
        <v>37</v>
      </c>
      <c r="E400">
        <v>23</v>
      </c>
      <c r="F400" t="s">
        <v>57</v>
      </c>
      <c r="G400" t="s">
        <v>52</v>
      </c>
      <c r="H400" s="1">
        <v>45610</v>
      </c>
      <c r="I400" s="2">
        <v>1.1000000000000001</v>
      </c>
      <c r="J400" t="s">
        <v>29</v>
      </c>
      <c r="K400" s="3">
        <v>2950</v>
      </c>
      <c r="L400" t="s">
        <v>30</v>
      </c>
      <c r="M400">
        <v>2</v>
      </c>
      <c r="N400">
        <v>5</v>
      </c>
      <c r="O400">
        <v>8</v>
      </c>
      <c r="P400" t="s">
        <v>21</v>
      </c>
      <c r="Q400" s="1"/>
      <c r="U400">
        <v>1</v>
      </c>
      <c r="V400">
        <v>1</v>
      </c>
      <c r="W400">
        <v>0</v>
      </c>
    </row>
    <row r="401" spans="1:23" ht="16.5" x14ac:dyDescent="0.3">
      <c r="A401" t="s">
        <v>467</v>
      </c>
      <c r="B401" t="s">
        <v>35</v>
      </c>
      <c r="C401" t="s">
        <v>36</v>
      </c>
      <c r="D401" t="s">
        <v>26</v>
      </c>
      <c r="E401">
        <v>37</v>
      </c>
      <c r="F401" t="s">
        <v>46</v>
      </c>
      <c r="G401" t="s">
        <v>28</v>
      </c>
      <c r="H401" s="1">
        <v>44225</v>
      </c>
      <c r="I401" s="2">
        <v>4.9000000000000004</v>
      </c>
      <c r="J401" t="s">
        <v>50</v>
      </c>
      <c r="K401" s="3">
        <v>3350</v>
      </c>
      <c r="L401" t="s">
        <v>30</v>
      </c>
      <c r="M401">
        <v>5</v>
      </c>
      <c r="N401">
        <v>4</v>
      </c>
      <c r="O401">
        <v>10</v>
      </c>
      <c r="P401" t="s">
        <v>21</v>
      </c>
      <c r="Q401" s="1"/>
      <c r="U401">
        <v>1</v>
      </c>
      <c r="V401">
        <v>1</v>
      </c>
      <c r="W401">
        <v>0</v>
      </c>
    </row>
    <row r="402" spans="1:23" ht="16.5" x14ac:dyDescent="0.3">
      <c r="A402" t="s">
        <v>468</v>
      </c>
      <c r="B402" t="s">
        <v>70</v>
      </c>
      <c r="C402" t="s">
        <v>36</v>
      </c>
      <c r="D402" t="s">
        <v>37</v>
      </c>
      <c r="E402">
        <v>33</v>
      </c>
      <c r="F402" t="s">
        <v>27</v>
      </c>
      <c r="G402" t="s">
        <v>38</v>
      </c>
      <c r="H402" s="1">
        <v>45493</v>
      </c>
      <c r="I402" s="2">
        <v>1.4</v>
      </c>
      <c r="J402" t="s">
        <v>29</v>
      </c>
      <c r="K402" s="3">
        <v>5800</v>
      </c>
      <c r="L402" t="s">
        <v>58</v>
      </c>
      <c r="M402">
        <v>4</v>
      </c>
      <c r="N402">
        <v>4</v>
      </c>
      <c r="O402">
        <v>22</v>
      </c>
      <c r="P402" t="s">
        <v>21</v>
      </c>
      <c r="Q402" s="1"/>
      <c r="U402">
        <v>1</v>
      </c>
      <c r="V402">
        <v>1</v>
      </c>
      <c r="W402">
        <v>0</v>
      </c>
    </row>
    <row r="403" spans="1:23" ht="16.5" x14ac:dyDescent="0.3">
      <c r="A403" t="s">
        <v>469</v>
      </c>
      <c r="B403" t="s">
        <v>35</v>
      </c>
      <c r="C403" t="s">
        <v>36</v>
      </c>
      <c r="D403" t="s">
        <v>37</v>
      </c>
      <c r="E403">
        <v>25</v>
      </c>
      <c r="F403" t="s">
        <v>57</v>
      </c>
      <c r="G403" t="s">
        <v>28</v>
      </c>
      <c r="H403" s="1">
        <v>45224</v>
      </c>
      <c r="I403" s="2">
        <v>0.9</v>
      </c>
      <c r="J403" t="s">
        <v>64</v>
      </c>
      <c r="K403" s="3">
        <v>4400</v>
      </c>
      <c r="L403" t="s">
        <v>58</v>
      </c>
      <c r="M403">
        <v>2</v>
      </c>
      <c r="N403">
        <v>3</v>
      </c>
      <c r="O403">
        <v>29</v>
      </c>
      <c r="P403" t="s">
        <v>22</v>
      </c>
      <c r="Q403" s="1">
        <v>45548</v>
      </c>
      <c r="R403" t="s">
        <v>31</v>
      </c>
      <c r="S403" t="s">
        <v>259</v>
      </c>
      <c r="T403" t="s">
        <v>33</v>
      </c>
      <c r="U403">
        <v>1</v>
      </c>
      <c r="V403">
        <v>0</v>
      </c>
      <c r="W403">
        <v>1</v>
      </c>
    </row>
    <row r="404" spans="1:23" ht="16.5" x14ac:dyDescent="0.3">
      <c r="A404" t="s">
        <v>470</v>
      </c>
      <c r="B404" t="s">
        <v>35</v>
      </c>
      <c r="C404" t="s">
        <v>36</v>
      </c>
      <c r="D404" t="s">
        <v>26</v>
      </c>
      <c r="E404">
        <v>26</v>
      </c>
      <c r="F404" t="s">
        <v>27</v>
      </c>
      <c r="G404" t="s">
        <v>28</v>
      </c>
      <c r="H404" s="1">
        <v>45298</v>
      </c>
      <c r="I404" s="2">
        <v>2</v>
      </c>
      <c r="J404" t="s">
        <v>29</v>
      </c>
      <c r="K404" s="3">
        <v>4650</v>
      </c>
      <c r="L404" t="s">
        <v>58</v>
      </c>
      <c r="M404">
        <v>3</v>
      </c>
      <c r="N404">
        <v>3</v>
      </c>
      <c r="O404">
        <v>13</v>
      </c>
      <c r="P404" t="s">
        <v>21</v>
      </c>
      <c r="Q404" s="1"/>
      <c r="U404">
        <v>1</v>
      </c>
      <c r="V404">
        <v>1</v>
      </c>
      <c r="W404">
        <v>0</v>
      </c>
    </row>
    <row r="405" spans="1:23" ht="16.5" x14ac:dyDescent="0.3">
      <c r="A405" t="s">
        <v>471</v>
      </c>
      <c r="B405" t="s">
        <v>48</v>
      </c>
      <c r="C405" t="s">
        <v>36</v>
      </c>
      <c r="D405" t="s">
        <v>26</v>
      </c>
      <c r="E405">
        <v>28</v>
      </c>
      <c r="F405" t="s">
        <v>27</v>
      </c>
      <c r="G405" t="s">
        <v>28</v>
      </c>
      <c r="H405" s="1">
        <v>45548</v>
      </c>
      <c r="I405" s="2">
        <v>1.3</v>
      </c>
      <c r="J405" t="s">
        <v>29</v>
      </c>
      <c r="K405" s="3">
        <v>7850</v>
      </c>
      <c r="L405" t="s">
        <v>30</v>
      </c>
      <c r="M405">
        <v>3</v>
      </c>
      <c r="N405">
        <v>3</v>
      </c>
      <c r="O405">
        <v>34</v>
      </c>
      <c r="P405" t="s">
        <v>21</v>
      </c>
      <c r="Q405" s="1"/>
      <c r="U405">
        <v>1</v>
      </c>
      <c r="V405">
        <v>1</v>
      </c>
      <c r="W405">
        <v>0</v>
      </c>
    </row>
    <row r="406" spans="1:23" ht="16.5" x14ac:dyDescent="0.3">
      <c r="A406" t="s">
        <v>472</v>
      </c>
      <c r="B406" t="s">
        <v>24</v>
      </c>
      <c r="C406" t="s">
        <v>25</v>
      </c>
      <c r="D406" t="s">
        <v>37</v>
      </c>
      <c r="E406">
        <v>26</v>
      </c>
      <c r="F406" t="s">
        <v>27</v>
      </c>
      <c r="G406" t="s">
        <v>38</v>
      </c>
      <c r="H406" s="1">
        <v>45496</v>
      </c>
      <c r="I406" s="2">
        <v>1.4</v>
      </c>
      <c r="J406" t="s">
        <v>29</v>
      </c>
      <c r="K406" s="3">
        <v>3350</v>
      </c>
      <c r="L406" t="s">
        <v>30</v>
      </c>
      <c r="M406">
        <v>2</v>
      </c>
      <c r="N406">
        <v>3</v>
      </c>
      <c r="O406">
        <v>21</v>
      </c>
      <c r="P406" t="s">
        <v>22</v>
      </c>
      <c r="Q406" s="1">
        <v>46015</v>
      </c>
      <c r="R406" t="s">
        <v>40</v>
      </c>
      <c r="S406" t="s">
        <v>92</v>
      </c>
      <c r="T406" t="s">
        <v>473</v>
      </c>
      <c r="U406">
        <v>1</v>
      </c>
      <c r="V406">
        <v>0</v>
      </c>
      <c r="W406">
        <v>1</v>
      </c>
    </row>
    <row r="407" spans="1:23" ht="16.5" x14ac:dyDescent="0.3">
      <c r="A407" t="s">
        <v>474</v>
      </c>
      <c r="B407" t="s">
        <v>35</v>
      </c>
      <c r="C407" t="s">
        <v>25</v>
      </c>
      <c r="D407" t="s">
        <v>37</v>
      </c>
      <c r="E407">
        <v>25</v>
      </c>
      <c r="F407" t="s">
        <v>57</v>
      </c>
      <c r="G407" t="s">
        <v>28</v>
      </c>
      <c r="H407" s="1">
        <v>45747</v>
      </c>
      <c r="I407" s="2">
        <v>0.8</v>
      </c>
      <c r="J407" t="s">
        <v>64</v>
      </c>
      <c r="K407" s="3">
        <v>3550</v>
      </c>
      <c r="L407" t="s">
        <v>30</v>
      </c>
      <c r="M407">
        <v>4</v>
      </c>
      <c r="N407">
        <v>5</v>
      </c>
      <c r="O407">
        <v>33</v>
      </c>
      <c r="P407" t="s">
        <v>21</v>
      </c>
      <c r="Q407" s="1"/>
      <c r="U407">
        <v>1</v>
      </c>
      <c r="V407">
        <v>1</v>
      </c>
      <c r="W407">
        <v>0</v>
      </c>
    </row>
    <row r="408" spans="1:23" ht="16.5" x14ac:dyDescent="0.3">
      <c r="A408" t="s">
        <v>475</v>
      </c>
      <c r="B408" t="s">
        <v>35</v>
      </c>
      <c r="C408" t="s">
        <v>25</v>
      </c>
      <c r="D408" t="s">
        <v>37</v>
      </c>
      <c r="E408">
        <v>29</v>
      </c>
      <c r="F408" t="s">
        <v>27</v>
      </c>
      <c r="G408" t="s">
        <v>28</v>
      </c>
      <c r="H408" s="1">
        <v>44987</v>
      </c>
      <c r="I408" s="2">
        <v>2.8</v>
      </c>
      <c r="J408" t="s">
        <v>29</v>
      </c>
      <c r="K408" s="3">
        <v>3850</v>
      </c>
      <c r="L408" t="s">
        <v>30</v>
      </c>
      <c r="M408">
        <v>2</v>
      </c>
      <c r="N408">
        <v>3</v>
      </c>
      <c r="O408">
        <v>37</v>
      </c>
      <c r="P408" t="s">
        <v>21</v>
      </c>
      <c r="Q408" s="1"/>
      <c r="U408">
        <v>1</v>
      </c>
      <c r="V408">
        <v>1</v>
      </c>
      <c r="W408">
        <v>0</v>
      </c>
    </row>
    <row r="409" spans="1:23" ht="16.5" x14ac:dyDescent="0.3">
      <c r="A409" t="s">
        <v>476</v>
      </c>
      <c r="B409" t="s">
        <v>24</v>
      </c>
      <c r="C409" t="s">
        <v>25</v>
      </c>
      <c r="D409" t="s">
        <v>37</v>
      </c>
      <c r="E409">
        <v>22</v>
      </c>
      <c r="F409" t="s">
        <v>57</v>
      </c>
      <c r="G409" t="s">
        <v>52</v>
      </c>
      <c r="H409" s="1">
        <v>45789</v>
      </c>
      <c r="I409" s="2">
        <v>0.6</v>
      </c>
      <c r="J409" t="s">
        <v>64</v>
      </c>
      <c r="K409" s="3">
        <v>2700</v>
      </c>
      <c r="L409" t="s">
        <v>30</v>
      </c>
      <c r="M409">
        <v>4</v>
      </c>
      <c r="N409">
        <v>3</v>
      </c>
      <c r="O409">
        <v>28</v>
      </c>
      <c r="P409" t="s">
        <v>21</v>
      </c>
      <c r="Q409" s="1"/>
      <c r="U409">
        <v>1</v>
      </c>
      <c r="V409">
        <v>1</v>
      </c>
      <c r="W409">
        <v>0</v>
      </c>
    </row>
    <row r="410" spans="1:23" ht="16.5" x14ac:dyDescent="0.3">
      <c r="A410" t="s">
        <v>477</v>
      </c>
      <c r="B410" t="s">
        <v>24</v>
      </c>
      <c r="C410" t="s">
        <v>36</v>
      </c>
      <c r="D410" t="s">
        <v>37</v>
      </c>
      <c r="E410">
        <v>26</v>
      </c>
      <c r="F410" t="s">
        <v>27</v>
      </c>
      <c r="G410" t="s">
        <v>38</v>
      </c>
      <c r="H410" s="1">
        <v>45279</v>
      </c>
      <c r="I410" s="2">
        <v>2</v>
      </c>
      <c r="J410" t="s">
        <v>29</v>
      </c>
      <c r="K410" s="3">
        <v>3750</v>
      </c>
      <c r="L410" t="s">
        <v>30</v>
      </c>
      <c r="M410">
        <v>1</v>
      </c>
      <c r="N410">
        <v>3</v>
      </c>
      <c r="O410">
        <v>9</v>
      </c>
      <c r="P410" t="s">
        <v>21</v>
      </c>
      <c r="Q410" s="1"/>
      <c r="U410">
        <v>1</v>
      </c>
      <c r="V410">
        <v>1</v>
      </c>
      <c r="W410">
        <v>0</v>
      </c>
    </row>
    <row r="411" spans="1:23" ht="16.5" x14ac:dyDescent="0.3">
      <c r="A411" t="s">
        <v>478</v>
      </c>
      <c r="B411" t="s">
        <v>48</v>
      </c>
      <c r="C411" t="s">
        <v>25</v>
      </c>
      <c r="D411" t="s">
        <v>37</v>
      </c>
      <c r="E411">
        <v>34</v>
      </c>
      <c r="F411" t="s">
        <v>27</v>
      </c>
      <c r="G411" t="s">
        <v>28</v>
      </c>
      <c r="H411" s="1">
        <v>42647</v>
      </c>
      <c r="I411" s="2">
        <v>9.1999999999999993</v>
      </c>
      <c r="J411" t="s">
        <v>39</v>
      </c>
      <c r="K411" s="3">
        <v>7400</v>
      </c>
      <c r="L411" t="s">
        <v>30</v>
      </c>
      <c r="M411">
        <v>3</v>
      </c>
      <c r="N411">
        <v>3</v>
      </c>
      <c r="O411">
        <v>11</v>
      </c>
      <c r="P411" t="s">
        <v>21</v>
      </c>
      <c r="Q411" s="1"/>
      <c r="U411">
        <v>1</v>
      </c>
      <c r="V411">
        <v>1</v>
      </c>
      <c r="W411">
        <v>0</v>
      </c>
    </row>
    <row r="412" spans="1:23" ht="16.5" x14ac:dyDescent="0.3">
      <c r="A412" t="s">
        <v>479</v>
      </c>
      <c r="B412" t="s">
        <v>55</v>
      </c>
      <c r="C412" t="s">
        <v>36</v>
      </c>
      <c r="D412" t="s">
        <v>37</v>
      </c>
      <c r="E412">
        <v>33</v>
      </c>
      <c r="F412" t="s">
        <v>27</v>
      </c>
      <c r="G412" t="s">
        <v>38</v>
      </c>
      <c r="H412" s="1">
        <v>42758</v>
      </c>
      <c r="I412" s="2">
        <v>8.9</v>
      </c>
      <c r="J412" t="s">
        <v>39</v>
      </c>
      <c r="K412" s="3">
        <v>4200</v>
      </c>
      <c r="L412" t="s">
        <v>58</v>
      </c>
      <c r="M412">
        <v>3</v>
      </c>
      <c r="N412">
        <v>3</v>
      </c>
      <c r="O412">
        <v>24</v>
      </c>
      <c r="P412" t="s">
        <v>21</v>
      </c>
      <c r="Q412" s="1"/>
      <c r="U412">
        <v>1</v>
      </c>
      <c r="V412">
        <v>1</v>
      </c>
      <c r="W412">
        <v>0</v>
      </c>
    </row>
    <row r="413" spans="1:23" ht="16.5" x14ac:dyDescent="0.3">
      <c r="A413" t="s">
        <v>480</v>
      </c>
      <c r="B413" t="s">
        <v>48</v>
      </c>
      <c r="C413" t="s">
        <v>36</v>
      </c>
      <c r="D413" t="s">
        <v>37</v>
      </c>
      <c r="E413">
        <v>37</v>
      </c>
      <c r="F413" t="s">
        <v>46</v>
      </c>
      <c r="G413" t="s">
        <v>38</v>
      </c>
      <c r="H413" s="1">
        <v>43388</v>
      </c>
      <c r="I413" s="2">
        <v>7.2</v>
      </c>
      <c r="J413" t="s">
        <v>39</v>
      </c>
      <c r="K413" s="3">
        <v>8550</v>
      </c>
      <c r="L413" t="s">
        <v>30</v>
      </c>
      <c r="M413">
        <v>3</v>
      </c>
      <c r="N413">
        <v>3</v>
      </c>
      <c r="O413">
        <v>31</v>
      </c>
      <c r="P413" t="s">
        <v>21</v>
      </c>
      <c r="Q413" s="1"/>
      <c r="U413">
        <v>1</v>
      </c>
      <c r="V413">
        <v>1</v>
      </c>
      <c r="W413">
        <v>0</v>
      </c>
    </row>
    <row r="414" spans="1:23" ht="16.5" x14ac:dyDescent="0.3">
      <c r="A414" t="s">
        <v>481</v>
      </c>
      <c r="B414" t="s">
        <v>35</v>
      </c>
      <c r="C414" t="s">
        <v>25</v>
      </c>
      <c r="D414" t="s">
        <v>37</v>
      </c>
      <c r="E414">
        <v>31</v>
      </c>
      <c r="F414" t="s">
        <v>27</v>
      </c>
      <c r="G414" t="s">
        <v>38</v>
      </c>
      <c r="H414" s="1">
        <v>44084</v>
      </c>
      <c r="I414" s="2">
        <v>5.3</v>
      </c>
      <c r="J414" t="s">
        <v>39</v>
      </c>
      <c r="K414" s="3">
        <v>2650</v>
      </c>
      <c r="L414" t="s">
        <v>30</v>
      </c>
      <c r="M414">
        <v>3</v>
      </c>
      <c r="N414">
        <v>5</v>
      </c>
      <c r="O414">
        <v>22</v>
      </c>
      <c r="P414" t="s">
        <v>21</v>
      </c>
      <c r="Q414" s="1"/>
      <c r="U414">
        <v>1</v>
      </c>
      <c r="V414">
        <v>1</v>
      </c>
      <c r="W414">
        <v>0</v>
      </c>
    </row>
    <row r="415" spans="1:23" ht="16.5" x14ac:dyDescent="0.3">
      <c r="A415" t="s">
        <v>482</v>
      </c>
      <c r="B415" t="s">
        <v>70</v>
      </c>
      <c r="C415" t="s">
        <v>45</v>
      </c>
      <c r="D415" t="s">
        <v>26</v>
      </c>
      <c r="E415">
        <v>43</v>
      </c>
      <c r="F415" t="s">
        <v>46</v>
      </c>
      <c r="G415" t="s">
        <v>38</v>
      </c>
      <c r="H415" s="1">
        <v>43250</v>
      </c>
      <c r="I415" s="2">
        <v>7.6</v>
      </c>
      <c r="J415" t="s">
        <v>39</v>
      </c>
      <c r="K415" s="3">
        <v>8950</v>
      </c>
      <c r="L415" t="s">
        <v>58</v>
      </c>
      <c r="M415">
        <v>3</v>
      </c>
      <c r="N415">
        <v>3</v>
      </c>
      <c r="O415">
        <v>25</v>
      </c>
      <c r="P415" t="s">
        <v>21</v>
      </c>
      <c r="Q415" s="1"/>
      <c r="U415">
        <v>1</v>
      </c>
      <c r="V415">
        <v>1</v>
      </c>
      <c r="W415">
        <v>0</v>
      </c>
    </row>
    <row r="416" spans="1:23" ht="16.5" x14ac:dyDescent="0.3">
      <c r="A416" t="s">
        <v>483</v>
      </c>
      <c r="B416" t="s">
        <v>55</v>
      </c>
      <c r="C416" t="s">
        <v>45</v>
      </c>
      <c r="D416" t="s">
        <v>37</v>
      </c>
      <c r="E416">
        <v>42</v>
      </c>
      <c r="F416" t="s">
        <v>46</v>
      </c>
      <c r="G416" t="s">
        <v>38</v>
      </c>
      <c r="H416" s="1">
        <v>41296</v>
      </c>
      <c r="I416" s="2">
        <v>12.8</v>
      </c>
      <c r="J416" t="s">
        <v>39</v>
      </c>
      <c r="K416" s="3">
        <v>7950</v>
      </c>
      <c r="L416" t="s">
        <v>30</v>
      </c>
      <c r="M416">
        <v>4</v>
      </c>
      <c r="N416">
        <v>4</v>
      </c>
      <c r="O416">
        <v>14</v>
      </c>
      <c r="P416" t="s">
        <v>22</v>
      </c>
      <c r="Q416" s="1">
        <v>45983</v>
      </c>
      <c r="R416" t="s">
        <v>40</v>
      </c>
      <c r="S416" t="s">
        <v>182</v>
      </c>
      <c r="T416" t="s">
        <v>42</v>
      </c>
      <c r="U416">
        <v>1</v>
      </c>
      <c r="V416">
        <v>0</v>
      </c>
      <c r="W416">
        <v>1</v>
      </c>
    </row>
    <row r="417" spans="1:23" ht="16.5" x14ac:dyDescent="0.3">
      <c r="A417" t="s">
        <v>484</v>
      </c>
      <c r="B417" t="s">
        <v>73</v>
      </c>
      <c r="C417" t="s">
        <v>25</v>
      </c>
      <c r="D417" t="s">
        <v>37</v>
      </c>
      <c r="E417">
        <v>28</v>
      </c>
      <c r="F417" t="s">
        <v>27</v>
      </c>
      <c r="G417" t="s">
        <v>38</v>
      </c>
      <c r="H417" s="1">
        <v>44961</v>
      </c>
      <c r="I417" s="2">
        <v>2.9</v>
      </c>
      <c r="J417" t="s">
        <v>29</v>
      </c>
      <c r="K417" s="3">
        <v>3550</v>
      </c>
      <c r="L417" t="s">
        <v>30</v>
      </c>
      <c r="M417">
        <v>3</v>
      </c>
      <c r="N417">
        <v>3</v>
      </c>
      <c r="O417">
        <v>12</v>
      </c>
      <c r="P417" t="s">
        <v>21</v>
      </c>
      <c r="Q417" s="1"/>
      <c r="U417">
        <v>1</v>
      </c>
      <c r="V417">
        <v>1</v>
      </c>
      <c r="W417">
        <v>0</v>
      </c>
    </row>
    <row r="418" spans="1:23" ht="16.5" x14ac:dyDescent="0.3">
      <c r="A418" t="s">
        <v>485</v>
      </c>
      <c r="B418" t="s">
        <v>73</v>
      </c>
      <c r="C418" t="s">
        <v>25</v>
      </c>
      <c r="D418" t="s">
        <v>37</v>
      </c>
      <c r="E418">
        <v>21</v>
      </c>
      <c r="F418" t="s">
        <v>57</v>
      </c>
      <c r="G418" t="s">
        <v>38</v>
      </c>
      <c r="H418" s="1">
        <v>46005</v>
      </c>
      <c r="I418" s="2">
        <v>0</v>
      </c>
      <c r="J418" t="s">
        <v>64</v>
      </c>
      <c r="K418" s="3">
        <v>3050</v>
      </c>
      <c r="L418" t="s">
        <v>30</v>
      </c>
      <c r="M418">
        <v>4</v>
      </c>
      <c r="N418">
        <v>4</v>
      </c>
      <c r="O418">
        <v>17</v>
      </c>
      <c r="P418" t="s">
        <v>21</v>
      </c>
      <c r="Q418" s="1"/>
      <c r="U418">
        <v>1</v>
      </c>
      <c r="V418">
        <v>1</v>
      </c>
      <c r="W418">
        <v>0</v>
      </c>
    </row>
    <row r="419" spans="1:23" ht="16.5" x14ac:dyDescent="0.3">
      <c r="A419" t="s">
        <v>486</v>
      </c>
      <c r="B419" t="s">
        <v>35</v>
      </c>
      <c r="C419" t="s">
        <v>36</v>
      </c>
      <c r="D419" t="s">
        <v>37</v>
      </c>
      <c r="E419">
        <v>28</v>
      </c>
      <c r="F419" t="s">
        <v>27</v>
      </c>
      <c r="G419" t="s">
        <v>38</v>
      </c>
      <c r="H419" s="1">
        <v>45565</v>
      </c>
      <c r="I419" s="2">
        <v>0.5</v>
      </c>
      <c r="J419" t="s">
        <v>64</v>
      </c>
      <c r="K419" s="3">
        <v>5300</v>
      </c>
      <c r="L419" t="s">
        <v>58</v>
      </c>
      <c r="M419">
        <v>1</v>
      </c>
      <c r="N419">
        <v>3</v>
      </c>
      <c r="O419">
        <v>21</v>
      </c>
      <c r="P419" t="s">
        <v>22</v>
      </c>
      <c r="Q419" s="1">
        <v>45751</v>
      </c>
      <c r="R419" t="s">
        <v>40</v>
      </c>
      <c r="S419" t="s">
        <v>153</v>
      </c>
      <c r="T419" t="s">
        <v>85</v>
      </c>
      <c r="U419">
        <v>1</v>
      </c>
      <c r="V419">
        <v>0</v>
      </c>
      <c r="W419">
        <v>1</v>
      </c>
    </row>
    <row r="420" spans="1:23" ht="16.5" x14ac:dyDescent="0.3">
      <c r="A420" t="s">
        <v>487</v>
      </c>
      <c r="B420" t="s">
        <v>24</v>
      </c>
      <c r="C420" t="s">
        <v>25</v>
      </c>
      <c r="D420" t="s">
        <v>37</v>
      </c>
      <c r="E420">
        <v>25</v>
      </c>
      <c r="F420" t="s">
        <v>57</v>
      </c>
      <c r="G420" t="s">
        <v>28</v>
      </c>
      <c r="H420" s="1">
        <v>45238</v>
      </c>
      <c r="I420" s="2">
        <v>2.1</v>
      </c>
      <c r="J420" t="s">
        <v>29</v>
      </c>
      <c r="K420" s="3">
        <v>2950</v>
      </c>
      <c r="L420" t="s">
        <v>58</v>
      </c>
      <c r="M420">
        <v>2</v>
      </c>
      <c r="N420">
        <v>4</v>
      </c>
      <c r="O420">
        <v>32</v>
      </c>
      <c r="P420" t="s">
        <v>21</v>
      </c>
      <c r="Q420" s="1"/>
      <c r="U420">
        <v>1</v>
      </c>
      <c r="V420">
        <v>1</v>
      </c>
      <c r="W420">
        <v>0</v>
      </c>
    </row>
    <row r="421" spans="1:23" ht="16.5" x14ac:dyDescent="0.3">
      <c r="A421" t="s">
        <v>488</v>
      </c>
      <c r="B421" t="s">
        <v>70</v>
      </c>
      <c r="C421" t="s">
        <v>25</v>
      </c>
      <c r="D421" t="s">
        <v>26</v>
      </c>
      <c r="E421">
        <v>25</v>
      </c>
      <c r="F421" t="s">
        <v>57</v>
      </c>
      <c r="G421" t="s">
        <v>38</v>
      </c>
      <c r="H421" s="1">
        <v>44952</v>
      </c>
      <c r="I421" s="2">
        <v>1.9</v>
      </c>
      <c r="J421" t="s">
        <v>29</v>
      </c>
      <c r="K421" s="3">
        <v>4550</v>
      </c>
      <c r="L421" t="s">
        <v>58</v>
      </c>
      <c r="M421">
        <v>3</v>
      </c>
      <c r="N421">
        <v>4</v>
      </c>
      <c r="O421">
        <v>21</v>
      </c>
      <c r="P421" t="s">
        <v>22</v>
      </c>
      <c r="Q421" s="1">
        <v>45628</v>
      </c>
      <c r="R421" t="s">
        <v>31</v>
      </c>
      <c r="S421" t="s">
        <v>92</v>
      </c>
      <c r="T421" t="s">
        <v>473</v>
      </c>
      <c r="U421">
        <v>1</v>
      </c>
      <c r="V421">
        <v>0</v>
      </c>
      <c r="W421">
        <v>1</v>
      </c>
    </row>
    <row r="422" spans="1:23" ht="16.5" x14ac:dyDescent="0.3">
      <c r="A422" t="s">
        <v>489</v>
      </c>
      <c r="B422" t="s">
        <v>44</v>
      </c>
      <c r="C422" t="s">
        <v>45</v>
      </c>
      <c r="D422" t="s">
        <v>26</v>
      </c>
      <c r="E422">
        <v>47</v>
      </c>
      <c r="F422" t="s">
        <v>88</v>
      </c>
      <c r="G422" t="s">
        <v>38</v>
      </c>
      <c r="H422" s="1">
        <v>40808</v>
      </c>
      <c r="I422" s="2">
        <v>14.3</v>
      </c>
      <c r="J422" t="s">
        <v>39</v>
      </c>
      <c r="K422" s="3">
        <v>11400</v>
      </c>
      <c r="L422" t="s">
        <v>30</v>
      </c>
      <c r="M422">
        <v>5</v>
      </c>
      <c r="N422">
        <v>3</v>
      </c>
      <c r="O422">
        <v>13</v>
      </c>
      <c r="P422" t="s">
        <v>21</v>
      </c>
      <c r="Q422" s="1"/>
      <c r="U422">
        <v>1</v>
      </c>
      <c r="V422">
        <v>1</v>
      </c>
      <c r="W422">
        <v>0</v>
      </c>
    </row>
    <row r="423" spans="1:23" ht="16.5" x14ac:dyDescent="0.3">
      <c r="A423" t="s">
        <v>490</v>
      </c>
      <c r="B423" t="s">
        <v>35</v>
      </c>
      <c r="C423" t="s">
        <v>25</v>
      </c>
      <c r="D423" t="s">
        <v>26</v>
      </c>
      <c r="E423">
        <v>21</v>
      </c>
      <c r="F423" t="s">
        <v>57</v>
      </c>
      <c r="G423" t="s">
        <v>28</v>
      </c>
      <c r="H423" s="1">
        <v>45999</v>
      </c>
      <c r="I423" s="2">
        <v>0.1</v>
      </c>
      <c r="J423" t="s">
        <v>64</v>
      </c>
      <c r="K423" s="3">
        <v>3300</v>
      </c>
      <c r="L423" t="s">
        <v>58</v>
      </c>
      <c r="M423">
        <v>2</v>
      </c>
      <c r="N423">
        <v>3</v>
      </c>
      <c r="O423">
        <v>22</v>
      </c>
      <c r="P423" t="s">
        <v>21</v>
      </c>
      <c r="Q423" s="1"/>
      <c r="U423">
        <v>1</v>
      </c>
      <c r="V423">
        <v>1</v>
      </c>
      <c r="W423">
        <v>0</v>
      </c>
    </row>
    <row r="424" spans="1:23" ht="16.5" x14ac:dyDescent="0.3">
      <c r="A424" t="s">
        <v>491</v>
      </c>
      <c r="B424" t="s">
        <v>70</v>
      </c>
      <c r="C424" t="s">
        <v>36</v>
      </c>
      <c r="D424" t="s">
        <v>26</v>
      </c>
      <c r="E424">
        <v>32</v>
      </c>
      <c r="F424" t="s">
        <v>27</v>
      </c>
      <c r="G424" t="s">
        <v>38</v>
      </c>
      <c r="H424" s="1">
        <v>43690</v>
      </c>
      <c r="I424" s="2">
        <v>6.4</v>
      </c>
      <c r="J424" t="s">
        <v>39</v>
      </c>
      <c r="K424" s="3">
        <v>5500</v>
      </c>
      <c r="L424" t="s">
        <v>58</v>
      </c>
      <c r="M424">
        <v>5</v>
      </c>
      <c r="N424">
        <v>3</v>
      </c>
      <c r="O424">
        <v>21</v>
      </c>
      <c r="P424" t="s">
        <v>21</v>
      </c>
      <c r="Q424" s="1"/>
      <c r="U424">
        <v>1</v>
      </c>
      <c r="V424">
        <v>1</v>
      </c>
      <c r="W424">
        <v>0</v>
      </c>
    </row>
    <row r="425" spans="1:23" ht="16.5" x14ac:dyDescent="0.3">
      <c r="A425" t="s">
        <v>492</v>
      </c>
      <c r="B425" t="s">
        <v>70</v>
      </c>
      <c r="C425" t="s">
        <v>25</v>
      </c>
      <c r="D425" t="s">
        <v>26</v>
      </c>
      <c r="E425">
        <v>25</v>
      </c>
      <c r="F425" t="s">
        <v>57</v>
      </c>
      <c r="G425" t="s">
        <v>38</v>
      </c>
      <c r="H425" s="1">
        <v>45688</v>
      </c>
      <c r="I425" s="2">
        <v>0.9</v>
      </c>
      <c r="J425" t="s">
        <v>64</v>
      </c>
      <c r="K425" s="3">
        <v>4650</v>
      </c>
      <c r="L425" t="s">
        <v>30</v>
      </c>
      <c r="M425">
        <v>2</v>
      </c>
      <c r="N425">
        <v>4</v>
      </c>
      <c r="O425">
        <v>21</v>
      </c>
      <c r="P425" t="s">
        <v>21</v>
      </c>
      <c r="Q425" s="1"/>
      <c r="U425">
        <v>1</v>
      </c>
      <c r="V425">
        <v>1</v>
      </c>
      <c r="W425">
        <v>0</v>
      </c>
    </row>
    <row r="426" spans="1:23" ht="16.5" x14ac:dyDescent="0.3">
      <c r="A426" t="s">
        <v>493</v>
      </c>
      <c r="B426" t="s">
        <v>73</v>
      </c>
      <c r="C426" t="s">
        <v>45</v>
      </c>
      <c r="D426" t="s">
        <v>37</v>
      </c>
      <c r="E426">
        <v>39</v>
      </c>
      <c r="F426" t="s">
        <v>46</v>
      </c>
      <c r="G426" t="s">
        <v>28</v>
      </c>
      <c r="H426" s="1">
        <v>42413</v>
      </c>
      <c r="I426" s="2">
        <v>9.9</v>
      </c>
      <c r="J426" t="s">
        <v>39</v>
      </c>
      <c r="K426" s="3">
        <v>6900</v>
      </c>
      <c r="L426" t="s">
        <v>30</v>
      </c>
      <c r="M426">
        <v>4</v>
      </c>
      <c r="N426">
        <v>3</v>
      </c>
      <c r="O426">
        <v>22</v>
      </c>
      <c r="P426" t="s">
        <v>21</v>
      </c>
      <c r="Q426" s="1"/>
      <c r="U426">
        <v>1</v>
      </c>
      <c r="V426">
        <v>1</v>
      </c>
      <c r="W426">
        <v>0</v>
      </c>
    </row>
    <row r="427" spans="1:23" ht="16.5" x14ac:dyDescent="0.3">
      <c r="A427" t="s">
        <v>494</v>
      </c>
      <c r="B427" t="s">
        <v>44</v>
      </c>
      <c r="C427" t="s">
        <v>25</v>
      </c>
      <c r="D427" t="s">
        <v>26</v>
      </c>
      <c r="E427">
        <v>21</v>
      </c>
      <c r="F427" t="s">
        <v>57</v>
      </c>
      <c r="G427" t="s">
        <v>38</v>
      </c>
      <c r="H427" s="1">
        <v>45997</v>
      </c>
      <c r="I427" s="2">
        <v>0.1</v>
      </c>
      <c r="J427" t="s">
        <v>64</v>
      </c>
      <c r="K427" s="3">
        <v>5100</v>
      </c>
      <c r="L427" t="s">
        <v>30</v>
      </c>
      <c r="M427">
        <v>3</v>
      </c>
      <c r="N427">
        <v>3</v>
      </c>
      <c r="O427">
        <v>14</v>
      </c>
      <c r="P427" t="s">
        <v>21</v>
      </c>
      <c r="Q427" s="1"/>
      <c r="U427">
        <v>1</v>
      </c>
      <c r="V427">
        <v>1</v>
      </c>
      <c r="W427">
        <v>0</v>
      </c>
    </row>
    <row r="428" spans="1:23" ht="16.5" x14ac:dyDescent="0.3">
      <c r="A428" t="s">
        <v>495</v>
      </c>
      <c r="B428" t="s">
        <v>73</v>
      </c>
      <c r="C428" t="s">
        <v>45</v>
      </c>
      <c r="D428" t="s">
        <v>26</v>
      </c>
      <c r="E428">
        <v>33</v>
      </c>
      <c r="F428" t="s">
        <v>27</v>
      </c>
      <c r="G428" t="s">
        <v>28</v>
      </c>
      <c r="H428" s="1">
        <v>44558</v>
      </c>
      <c r="I428" s="2">
        <v>4</v>
      </c>
      <c r="J428" t="s">
        <v>50</v>
      </c>
      <c r="K428" s="3">
        <v>7500</v>
      </c>
      <c r="L428" t="s">
        <v>30</v>
      </c>
      <c r="M428">
        <v>4</v>
      </c>
      <c r="N428">
        <v>4</v>
      </c>
      <c r="O428">
        <v>14</v>
      </c>
      <c r="P428" t="s">
        <v>21</v>
      </c>
      <c r="Q428" s="1"/>
      <c r="U428">
        <v>1</v>
      </c>
      <c r="V428">
        <v>1</v>
      </c>
      <c r="W428">
        <v>0</v>
      </c>
    </row>
    <row r="429" spans="1:23" ht="16.5" x14ac:dyDescent="0.3">
      <c r="A429" t="s">
        <v>496</v>
      </c>
      <c r="B429" t="s">
        <v>24</v>
      </c>
      <c r="C429" t="s">
        <v>25</v>
      </c>
      <c r="D429" t="s">
        <v>37</v>
      </c>
      <c r="E429">
        <v>27</v>
      </c>
      <c r="F429" t="s">
        <v>27</v>
      </c>
      <c r="G429" t="s">
        <v>28</v>
      </c>
      <c r="H429" s="1">
        <v>45040</v>
      </c>
      <c r="I429" s="2">
        <v>2.7</v>
      </c>
      <c r="J429" t="s">
        <v>29</v>
      </c>
      <c r="K429" s="3">
        <v>2750</v>
      </c>
      <c r="L429" t="s">
        <v>58</v>
      </c>
      <c r="M429">
        <v>3</v>
      </c>
      <c r="N429">
        <v>4</v>
      </c>
      <c r="O429">
        <v>24</v>
      </c>
      <c r="P429" t="s">
        <v>21</v>
      </c>
      <c r="Q429" s="1"/>
      <c r="U429">
        <v>1</v>
      </c>
      <c r="V429">
        <v>1</v>
      </c>
      <c r="W429">
        <v>0</v>
      </c>
    </row>
    <row r="430" spans="1:23" ht="16.5" x14ac:dyDescent="0.3">
      <c r="A430" t="s">
        <v>497</v>
      </c>
      <c r="B430" t="s">
        <v>48</v>
      </c>
      <c r="C430" t="s">
        <v>36</v>
      </c>
      <c r="D430" t="s">
        <v>37</v>
      </c>
      <c r="E430">
        <v>30</v>
      </c>
      <c r="F430" t="s">
        <v>27</v>
      </c>
      <c r="G430" t="s">
        <v>38</v>
      </c>
      <c r="H430" s="1">
        <v>43761</v>
      </c>
      <c r="I430" s="2">
        <v>6.2</v>
      </c>
      <c r="J430" t="s">
        <v>39</v>
      </c>
      <c r="K430" s="3">
        <v>8000</v>
      </c>
      <c r="L430" t="s">
        <v>30</v>
      </c>
      <c r="M430">
        <v>4</v>
      </c>
      <c r="N430">
        <v>3</v>
      </c>
      <c r="O430">
        <v>12</v>
      </c>
      <c r="P430" t="s">
        <v>21</v>
      </c>
      <c r="Q430" s="1"/>
      <c r="U430">
        <v>1</v>
      </c>
      <c r="V430">
        <v>1</v>
      </c>
      <c r="W430">
        <v>0</v>
      </c>
    </row>
    <row r="431" spans="1:23" ht="16.5" x14ac:dyDescent="0.3">
      <c r="A431" t="s">
        <v>498</v>
      </c>
      <c r="B431" t="s">
        <v>55</v>
      </c>
      <c r="C431" t="s">
        <v>25</v>
      </c>
      <c r="D431" t="s">
        <v>37</v>
      </c>
      <c r="E431">
        <v>21</v>
      </c>
      <c r="F431" t="s">
        <v>57</v>
      </c>
      <c r="G431" t="s">
        <v>38</v>
      </c>
      <c r="H431" s="1">
        <v>45924</v>
      </c>
      <c r="I431" s="2">
        <v>0.3</v>
      </c>
      <c r="J431" t="s">
        <v>64</v>
      </c>
      <c r="K431" s="3">
        <v>5100</v>
      </c>
      <c r="L431" t="s">
        <v>30</v>
      </c>
      <c r="M431">
        <v>4</v>
      </c>
      <c r="N431">
        <v>3</v>
      </c>
      <c r="O431">
        <v>39</v>
      </c>
      <c r="P431" t="s">
        <v>21</v>
      </c>
      <c r="Q431" s="1"/>
      <c r="U431">
        <v>1</v>
      </c>
      <c r="V431">
        <v>1</v>
      </c>
      <c r="W431">
        <v>0</v>
      </c>
    </row>
    <row r="432" spans="1:23" ht="16.5" x14ac:dyDescent="0.3">
      <c r="A432" t="s">
        <v>499</v>
      </c>
      <c r="B432" t="s">
        <v>48</v>
      </c>
      <c r="C432" t="s">
        <v>36</v>
      </c>
      <c r="D432" t="s">
        <v>26</v>
      </c>
      <c r="E432">
        <v>40</v>
      </c>
      <c r="F432" t="s">
        <v>46</v>
      </c>
      <c r="G432" t="s">
        <v>52</v>
      </c>
      <c r="H432" s="1">
        <v>42481</v>
      </c>
      <c r="I432" s="2">
        <v>9.6999999999999993</v>
      </c>
      <c r="J432" t="s">
        <v>39</v>
      </c>
      <c r="K432" s="3">
        <v>8300</v>
      </c>
      <c r="L432" t="s">
        <v>30</v>
      </c>
      <c r="M432">
        <v>3</v>
      </c>
      <c r="N432">
        <v>3</v>
      </c>
      <c r="O432">
        <v>29</v>
      </c>
      <c r="P432" t="s">
        <v>21</v>
      </c>
      <c r="Q432" s="1"/>
      <c r="U432">
        <v>1</v>
      </c>
      <c r="V432">
        <v>1</v>
      </c>
      <c r="W432">
        <v>0</v>
      </c>
    </row>
    <row r="433" spans="1:23" ht="16.5" x14ac:dyDescent="0.3">
      <c r="A433" t="s">
        <v>500</v>
      </c>
      <c r="B433" t="s">
        <v>70</v>
      </c>
      <c r="C433" t="s">
        <v>45</v>
      </c>
      <c r="D433" t="s">
        <v>26</v>
      </c>
      <c r="E433">
        <v>43</v>
      </c>
      <c r="F433" t="s">
        <v>46</v>
      </c>
      <c r="G433" t="s">
        <v>38</v>
      </c>
      <c r="H433" s="1">
        <v>40779</v>
      </c>
      <c r="I433" s="2">
        <v>14.4</v>
      </c>
      <c r="J433" t="s">
        <v>39</v>
      </c>
      <c r="K433" s="3">
        <v>9700</v>
      </c>
      <c r="L433" t="s">
        <v>30</v>
      </c>
      <c r="M433">
        <v>3</v>
      </c>
      <c r="N433">
        <v>4</v>
      </c>
      <c r="O433">
        <v>20</v>
      </c>
      <c r="P433" t="s">
        <v>21</v>
      </c>
      <c r="Q433" s="1"/>
      <c r="U433">
        <v>1</v>
      </c>
      <c r="V433">
        <v>1</v>
      </c>
      <c r="W433">
        <v>0</v>
      </c>
    </row>
    <row r="434" spans="1:23" ht="16.5" x14ac:dyDescent="0.3">
      <c r="A434" t="s">
        <v>501</v>
      </c>
      <c r="B434" t="s">
        <v>24</v>
      </c>
      <c r="C434" t="s">
        <v>87</v>
      </c>
      <c r="D434" t="s">
        <v>26</v>
      </c>
      <c r="E434">
        <v>38</v>
      </c>
      <c r="F434" t="s">
        <v>46</v>
      </c>
      <c r="G434" t="s">
        <v>28</v>
      </c>
      <c r="H434" s="1">
        <v>41395</v>
      </c>
      <c r="I434" s="2">
        <v>12.7</v>
      </c>
      <c r="J434" t="s">
        <v>39</v>
      </c>
      <c r="K434" s="3">
        <v>6000</v>
      </c>
      <c r="L434" t="s">
        <v>30</v>
      </c>
      <c r="M434">
        <v>3</v>
      </c>
      <c r="N434">
        <v>3</v>
      </c>
      <c r="O434">
        <v>31</v>
      </c>
      <c r="P434" t="s">
        <v>21</v>
      </c>
      <c r="Q434" s="1"/>
      <c r="U434">
        <v>1</v>
      </c>
      <c r="V434">
        <v>1</v>
      </c>
      <c r="W434">
        <v>0</v>
      </c>
    </row>
    <row r="435" spans="1:23" ht="16.5" x14ac:dyDescent="0.3">
      <c r="A435" t="s">
        <v>502</v>
      </c>
      <c r="B435" t="s">
        <v>44</v>
      </c>
      <c r="C435" t="s">
        <v>25</v>
      </c>
      <c r="D435" t="s">
        <v>37</v>
      </c>
      <c r="E435">
        <v>26</v>
      </c>
      <c r="F435" t="s">
        <v>27</v>
      </c>
      <c r="G435" t="s">
        <v>52</v>
      </c>
      <c r="H435" s="1">
        <v>44575</v>
      </c>
      <c r="I435" s="2">
        <v>4</v>
      </c>
      <c r="J435" t="s">
        <v>50</v>
      </c>
      <c r="K435" s="3">
        <v>5050</v>
      </c>
      <c r="L435" t="s">
        <v>30</v>
      </c>
      <c r="M435">
        <v>2</v>
      </c>
      <c r="N435">
        <v>3</v>
      </c>
      <c r="O435">
        <v>25</v>
      </c>
      <c r="P435" t="s">
        <v>21</v>
      </c>
      <c r="Q435" s="1"/>
      <c r="U435">
        <v>1</v>
      </c>
      <c r="V435">
        <v>1</v>
      </c>
      <c r="W435">
        <v>0</v>
      </c>
    </row>
    <row r="436" spans="1:23" ht="16.5" x14ac:dyDescent="0.3">
      <c r="A436" t="s">
        <v>503</v>
      </c>
      <c r="B436" t="s">
        <v>24</v>
      </c>
      <c r="C436" t="s">
        <v>25</v>
      </c>
      <c r="D436" t="s">
        <v>37</v>
      </c>
      <c r="E436">
        <v>27</v>
      </c>
      <c r="F436" t="s">
        <v>27</v>
      </c>
      <c r="G436" t="s">
        <v>52</v>
      </c>
      <c r="H436" s="1">
        <v>44861</v>
      </c>
      <c r="I436" s="2">
        <v>3.2</v>
      </c>
      <c r="J436" t="s">
        <v>50</v>
      </c>
      <c r="K436" s="3">
        <v>2700</v>
      </c>
      <c r="L436" t="s">
        <v>30</v>
      </c>
      <c r="M436">
        <v>3</v>
      </c>
      <c r="N436">
        <v>3</v>
      </c>
      <c r="O436">
        <v>26</v>
      </c>
      <c r="P436" t="s">
        <v>21</v>
      </c>
      <c r="Q436" s="1"/>
      <c r="U436">
        <v>1</v>
      </c>
      <c r="V436">
        <v>1</v>
      </c>
      <c r="W436">
        <v>0</v>
      </c>
    </row>
    <row r="437" spans="1:23" ht="16.5" x14ac:dyDescent="0.3">
      <c r="A437" t="s">
        <v>504</v>
      </c>
      <c r="B437" t="s">
        <v>55</v>
      </c>
      <c r="C437" t="s">
        <v>87</v>
      </c>
      <c r="D437" t="s">
        <v>26</v>
      </c>
      <c r="E437">
        <v>40</v>
      </c>
      <c r="F437" t="s">
        <v>46</v>
      </c>
      <c r="G437" t="s">
        <v>38</v>
      </c>
      <c r="H437" s="1">
        <v>40738</v>
      </c>
      <c r="I437" s="2">
        <v>14.5</v>
      </c>
      <c r="J437" t="s">
        <v>39</v>
      </c>
      <c r="K437" s="3">
        <v>11550</v>
      </c>
      <c r="L437" t="s">
        <v>30</v>
      </c>
      <c r="M437">
        <v>3</v>
      </c>
      <c r="N437">
        <v>4</v>
      </c>
      <c r="O437">
        <v>12</v>
      </c>
      <c r="P437" t="s">
        <v>21</v>
      </c>
      <c r="Q437" s="1"/>
      <c r="U437">
        <v>1</v>
      </c>
      <c r="V437">
        <v>1</v>
      </c>
      <c r="W437">
        <v>0</v>
      </c>
    </row>
    <row r="438" spans="1:23" ht="16.5" x14ac:dyDescent="0.3">
      <c r="A438" t="s">
        <v>505</v>
      </c>
      <c r="B438" t="s">
        <v>35</v>
      </c>
      <c r="C438" t="s">
        <v>45</v>
      </c>
      <c r="D438" t="s">
        <v>26</v>
      </c>
      <c r="E438">
        <v>39</v>
      </c>
      <c r="F438" t="s">
        <v>46</v>
      </c>
      <c r="G438" t="s">
        <v>38</v>
      </c>
      <c r="H438" s="1">
        <v>42465</v>
      </c>
      <c r="I438" s="2">
        <v>9.6999999999999993</v>
      </c>
      <c r="J438" t="s">
        <v>39</v>
      </c>
      <c r="K438" s="3">
        <v>4600</v>
      </c>
      <c r="L438" t="s">
        <v>58</v>
      </c>
      <c r="M438">
        <v>2</v>
      </c>
      <c r="N438">
        <v>2</v>
      </c>
      <c r="O438">
        <v>52</v>
      </c>
      <c r="P438" t="s">
        <v>21</v>
      </c>
      <c r="Q438" s="1"/>
      <c r="U438">
        <v>1</v>
      </c>
      <c r="V438">
        <v>1</v>
      </c>
      <c r="W438">
        <v>0</v>
      </c>
    </row>
    <row r="439" spans="1:23" ht="16.5" x14ac:dyDescent="0.3">
      <c r="A439" t="s">
        <v>506</v>
      </c>
      <c r="B439" t="s">
        <v>44</v>
      </c>
      <c r="C439" t="s">
        <v>36</v>
      </c>
      <c r="D439" t="s">
        <v>37</v>
      </c>
      <c r="E439">
        <v>30</v>
      </c>
      <c r="F439" t="s">
        <v>27</v>
      </c>
      <c r="G439" t="s">
        <v>28</v>
      </c>
      <c r="H439" s="1">
        <v>45149</v>
      </c>
      <c r="I439" s="2">
        <v>0.9</v>
      </c>
      <c r="J439" t="s">
        <v>64</v>
      </c>
      <c r="K439" s="3">
        <v>5350</v>
      </c>
      <c r="L439" t="s">
        <v>30</v>
      </c>
      <c r="M439">
        <v>5</v>
      </c>
      <c r="N439">
        <v>3</v>
      </c>
      <c r="O439">
        <v>46</v>
      </c>
      <c r="P439" t="s">
        <v>22</v>
      </c>
      <c r="Q439" s="1">
        <v>45466</v>
      </c>
      <c r="R439" t="s">
        <v>31</v>
      </c>
      <c r="S439" t="s">
        <v>32</v>
      </c>
      <c r="T439" t="s">
        <v>33</v>
      </c>
      <c r="U439">
        <v>1</v>
      </c>
      <c r="V439">
        <v>0</v>
      </c>
      <c r="W439">
        <v>1</v>
      </c>
    </row>
    <row r="440" spans="1:23" ht="16.5" x14ac:dyDescent="0.3">
      <c r="A440" t="s">
        <v>507</v>
      </c>
      <c r="B440" t="s">
        <v>70</v>
      </c>
      <c r="C440" t="s">
        <v>36</v>
      </c>
      <c r="D440" t="s">
        <v>37</v>
      </c>
      <c r="E440">
        <v>28</v>
      </c>
      <c r="F440" t="s">
        <v>27</v>
      </c>
      <c r="G440" t="s">
        <v>38</v>
      </c>
      <c r="H440" s="1">
        <v>45238</v>
      </c>
      <c r="I440" s="2">
        <v>2.1</v>
      </c>
      <c r="J440" t="s">
        <v>29</v>
      </c>
      <c r="K440" s="3">
        <v>4350</v>
      </c>
      <c r="L440" t="s">
        <v>30</v>
      </c>
      <c r="M440">
        <v>5</v>
      </c>
      <c r="N440">
        <v>3</v>
      </c>
      <c r="O440">
        <v>21</v>
      </c>
      <c r="P440" t="s">
        <v>21</v>
      </c>
      <c r="Q440" s="1"/>
      <c r="U440">
        <v>1</v>
      </c>
      <c r="V440">
        <v>1</v>
      </c>
      <c r="W440">
        <v>0</v>
      </c>
    </row>
    <row r="441" spans="1:23" ht="16.5" x14ac:dyDescent="0.3">
      <c r="A441" t="s">
        <v>508</v>
      </c>
      <c r="B441" t="s">
        <v>70</v>
      </c>
      <c r="C441" t="s">
        <v>25</v>
      </c>
      <c r="D441" t="s">
        <v>37</v>
      </c>
      <c r="E441">
        <v>26</v>
      </c>
      <c r="F441" t="s">
        <v>27</v>
      </c>
      <c r="G441" t="s">
        <v>28</v>
      </c>
      <c r="H441" s="1">
        <v>45064</v>
      </c>
      <c r="I441" s="2">
        <v>2.6</v>
      </c>
      <c r="J441" t="s">
        <v>29</v>
      </c>
      <c r="K441" s="3">
        <v>3950</v>
      </c>
      <c r="L441" t="s">
        <v>58</v>
      </c>
      <c r="M441">
        <v>3</v>
      </c>
      <c r="N441">
        <v>2</v>
      </c>
      <c r="O441">
        <v>13</v>
      </c>
      <c r="P441" t="s">
        <v>21</v>
      </c>
      <c r="Q441" s="1"/>
      <c r="U441">
        <v>1</v>
      </c>
      <c r="V441">
        <v>1</v>
      </c>
      <c r="W441">
        <v>0</v>
      </c>
    </row>
    <row r="442" spans="1:23" ht="16.5" x14ac:dyDescent="0.3">
      <c r="A442" t="s">
        <v>509</v>
      </c>
      <c r="B442" t="s">
        <v>24</v>
      </c>
      <c r="C442" t="s">
        <v>25</v>
      </c>
      <c r="D442" t="s">
        <v>37</v>
      </c>
      <c r="E442">
        <v>21</v>
      </c>
      <c r="F442" t="s">
        <v>57</v>
      </c>
      <c r="G442" t="s">
        <v>38</v>
      </c>
      <c r="H442" s="1">
        <v>45938</v>
      </c>
      <c r="I442" s="2">
        <v>0.2</v>
      </c>
      <c r="J442" t="s">
        <v>64</v>
      </c>
      <c r="K442" s="3">
        <v>3150</v>
      </c>
      <c r="L442" t="s">
        <v>30</v>
      </c>
      <c r="M442">
        <v>3</v>
      </c>
      <c r="N442">
        <v>4</v>
      </c>
      <c r="O442">
        <v>34</v>
      </c>
      <c r="P442" t="s">
        <v>21</v>
      </c>
      <c r="Q442" s="1"/>
      <c r="U442">
        <v>1</v>
      </c>
      <c r="V442">
        <v>1</v>
      </c>
      <c r="W442">
        <v>0</v>
      </c>
    </row>
    <row r="443" spans="1:23" ht="16.5" x14ac:dyDescent="0.3">
      <c r="A443" t="s">
        <v>510</v>
      </c>
      <c r="B443" t="s">
        <v>24</v>
      </c>
      <c r="C443" t="s">
        <v>87</v>
      </c>
      <c r="D443" t="s">
        <v>37</v>
      </c>
      <c r="E443">
        <v>45</v>
      </c>
      <c r="F443" t="s">
        <v>46</v>
      </c>
      <c r="G443" t="s">
        <v>28</v>
      </c>
      <c r="H443" s="1">
        <v>41275</v>
      </c>
      <c r="I443" s="2">
        <v>13</v>
      </c>
      <c r="J443" t="s">
        <v>39</v>
      </c>
      <c r="K443" s="3">
        <v>7900</v>
      </c>
      <c r="L443" t="s">
        <v>58</v>
      </c>
      <c r="M443">
        <v>5</v>
      </c>
      <c r="N443">
        <v>5</v>
      </c>
      <c r="O443">
        <v>24</v>
      </c>
      <c r="P443" t="s">
        <v>21</v>
      </c>
      <c r="Q443" s="1"/>
      <c r="U443">
        <v>1</v>
      </c>
      <c r="V443">
        <v>1</v>
      </c>
      <c r="W443">
        <v>0</v>
      </c>
    </row>
    <row r="444" spans="1:23" ht="16.5" x14ac:dyDescent="0.3">
      <c r="A444" t="s">
        <v>511</v>
      </c>
      <c r="B444" t="s">
        <v>48</v>
      </c>
      <c r="C444" t="s">
        <v>25</v>
      </c>
      <c r="D444" t="s">
        <v>26</v>
      </c>
      <c r="E444">
        <v>27</v>
      </c>
      <c r="F444" t="s">
        <v>27</v>
      </c>
      <c r="G444" t="s">
        <v>28</v>
      </c>
      <c r="H444" s="1">
        <v>45147</v>
      </c>
      <c r="I444" s="2">
        <v>2.4</v>
      </c>
      <c r="J444" t="s">
        <v>29</v>
      </c>
      <c r="K444" s="3">
        <v>5600</v>
      </c>
      <c r="L444" t="s">
        <v>30</v>
      </c>
      <c r="M444">
        <v>4</v>
      </c>
      <c r="N444">
        <v>3</v>
      </c>
      <c r="O444">
        <v>29</v>
      </c>
      <c r="P444" t="s">
        <v>21</v>
      </c>
      <c r="Q444" s="1"/>
      <c r="U444">
        <v>1</v>
      </c>
      <c r="V444">
        <v>1</v>
      </c>
      <c r="W444">
        <v>0</v>
      </c>
    </row>
    <row r="445" spans="1:23" ht="16.5" x14ac:dyDescent="0.3">
      <c r="A445" t="s">
        <v>512</v>
      </c>
      <c r="B445" t="s">
        <v>70</v>
      </c>
      <c r="C445" t="s">
        <v>45</v>
      </c>
      <c r="D445" t="s">
        <v>37</v>
      </c>
      <c r="E445">
        <v>45</v>
      </c>
      <c r="F445" t="s">
        <v>46</v>
      </c>
      <c r="G445" t="s">
        <v>52</v>
      </c>
      <c r="H445" s="1">
        <v>40636</v>
      </c>
      <c r="I445" s="2">
        <v>14.6</v>
      </c>
      <c r="J445" t="s">
        <v>39</v>
      </c>
      <c r="K445" s="3">
        <v>8450</v>
      </c>
      <c r="L445" t="s">
        <v>30</v>
      </c>
      <c r="M445">
        <v>3</v>
      </c>
      <c r="N445">
        <v>4</v>
      </c>
      <c r="O445">
        <v>19</v>
      </c>
      <c r="P445" t="s">
        <v>22</v>
      </c>
      <c r="Q445" s="1">
        <v>45966</v>
      </c>
      <c r="R445" t="s">
        <v>40</v>
      </c>
      <c r="S445" t="s">
        <v>182</v>
      </c>
      <c r="T445" t="s">
        <v>42</v>
      </c>
      <c r="U445">
        <v>1</v>
      </c>
      <c r="V445">
        <v>0</v>
      </c>
      <c r="W445">
        <v>1</v>
      </c>
    </row>
    <row r="446" spans="1:23" ht="16.5" x14ac:dyDescent="0.3">
      <c r="A446" t="s">
        <v>513</v>
      </c>
      <c r="B446" t="s">
        <v>73</v>
      </c>
      <c r="C446" t="s">
        <v>45</v>
      </c>
      <c r="D446" t="s">
        <v>37</v>
      </c>
      <c r="E446">
        <v>37</v>
      </c>
      <c r="F446" t="s">
        <v>46</v>
      </c>
      <c r="G446" t="s">
        <v>52</v>
      </c>
      <c r="H446" s="1">
        <v>41530</v>
      </c>
      <c r="I446" s="2">
        <v>12.3</v>
      </c>
      <c r="J446" t="s">
        <v>39</v>
      </c>
      <c r="K446" s="3">
        <v>6900</v>
      </c>
      <c r="L446" t="s">
        <v>58</v>
      </c>
      <c r="M446">
        <v>3</v>
      </c>
      <c r="N446">
        <v>2</v>
      </c>
      <c r="O446">
        <v>30</v>
      </c>
      <c r="P446" t="s">
        <v>21</v>
      </c>
      <c r="Q446" s="1"/>
      <c r="U446">
        <v>1</v>
      </c>
      <c r="V446">
        <v>1</v>
      </c>
      <c r="W446">
        <v>0</v>
      </c>
    </row>
    <row r="447" spans="1:23" ht="16.5" x14ac:dyDescent="0.3">
      <c r="A447" t="s">
        <v>514</v>
      </c>
      <c r="B447" t="s">
        <v>44</v>
      </c>
      <c r="C447" t="s">
        <v>25</v>
      </c>
      <c r="D447" t="s">
        <v>26</v>
      </c>
      <c r="E447">
        <v>24</v>
      </c>
      <c r="F447" t="s">
        <v>57</v>
      </c>
      <c r="G447" t="s">
        <v>52</v>
      </c>
      <c r="H447" s="1">
        <v>45806</v>
      </c>
      <c r="I447" s="2">
        <v>0.6</v>
      </c>
      <c r="J447" t="s">
        <v>64</v>
      </c>
      <c r="K447" s="3">
        <v>4950</v>
      </c>
      <c r="L447" t="s">
        <v>58</v>
      </c>
      <c r="M447">
        <v>4</v>
      </c>
      <c r="N447">
        <v>3</v>
      </c>
      <c r="O447">
        <v>32</v>
      </c>
      <c r="P447" t="s">
        <v>21</v>
      </c>
      <c r="Q447" s="1"/>
      <c r="U447">
        <v>1</v>
      </c>
      <c r="V447">
        <v>1</v>
      </c>
      <c r="W447">
        <v>0</v>
      </c>
    </row>
    <row r="448" spans="1:23" ht="16.5" x14ac:dyDescent="0.3">
      <c r="A448" t="s">
        <v>515</v>
      </c>
      <c r="B448" t="s">
        <v>48</v>
      </c>
      <c r="C448" t="s">
        <v>25</v>
      </c>
      <c r="D448" t="s">
        <v>37</v>
      </c>
      <c r="E448">
        <v>25</v>
      </c>
      <c r="F448" t="s">
        <v>57</v>
      </c>
      <c r="G448" t="s">
        <v>38</v>
      </c>
      <c r="H448" s="1">
        <v>45677</v>
      </c>
      <c r="I448" s="2">
        <v>0.9</v>
      </c>
      <c r="J448" t="s">
        <v>64</v>
      </c>
      <c r="K448" s="3">
        <v>5000</v>
      </c>
      <c r="L448" t="s">
        <v>30</v>
      </c>
      <c r="M448">
        <v>2</v>
      </c>
      <c r="N448">
        <v>4</v>
      </c>
      <c r="O448">
        <v>35</v>
      </c>
      <c r="P448" t="s">
        <v>21</v>
      </c>
      <c r="Q448" s="1"/>
      <c r="U448">
        <v>1</v>
      </c>
      <c r="V448">
        <v>1</v>
      </c>
      <c r="W448">
        <v>0</v>
      </c>
    </row>
    <row r="449" spans="1:23" ht="16.5" x14ac:dyDescent="0.3">
      <c r="A449" t="s">
        <v>516</v>
      </c>
      <c r="B449" t="s">
        <v>48</v>
      </c>
      <c r="C449" t="s">
        <v>36</v>
      </c>
      <c r="D449" t="s">
        <v>37</v>
      </c>
      <c r="E449">
        <v>30</v>
      </c>
      <c r="F449" t="s">
        <v>27</v>
      </c>
      <c r="G449" t="s">
        <v>38</v>
      </c>
      <c r="H449" s="1">
        <v>45614</v>
      </c>
      <c r="I449" s="2">
        <v>1.1000000000000001</v>
      </c>
      <c r="J449" t="s">
        <v>29</v>
      </c>
      <c r="K449" s="3">
        <v>7950</v>
      </c>
      <c r="L449" t="s">
        <v>30</v>
      </c>
      <c r="M449">
        <v>4</v>
      </c>
      <c r="N449">
        <v>5</v>
      </c>
      <c r="O449">
        <v>22</v>
      </c>
      <c r="P449" t="s">
        <v>21</v>
      </c>
      <c r="Q449" s="1"/>
      <c r="U449">
        <v>1</v>
      </c>
      <c r="V449">
        <v>1</v>
      </c>
      <c r="W449">
        <v>0</v>
      </c>
    </row>
    <row r="450" spans="1:23" ht="16.5" x14ac:dyDescent="0.3">
      <c r="A450" t="s">
        <v>517</v>
      </c>
      <c r="B450" t="s">
        <v>70</v>
      </c>
      <c r="C450" t="s">
        <v>87</v>
      </c>
      <c r="D450" t="s">
        <v>37</v>
      </c>
      <c r="E450">
        <v>50</v>
      </c>
      <c r="F450" t="s">
        <v>88</v>
      </c>
      <c r="G450" t="s">
        <v>28</v>
      </c>
      <c r="H450" s="1">
        <v>41896</v>
      </c>
      <c r="I450" s="2">
        <v>11.3</v>
      </c>
      <c r="J450" t="s">
        <v>39</v>
      </c>
      <c r="K450" s="3">
        <v>13000</v>
      </c>
      <c r="L450" t="s">
        <v>58</v>
      </c>
      <c r="M450">
        <v>5</v>
      </c>
      <c r="N450">
        <v>3</v>
      </c>
      <c r="O450">
        <v>11</v>
      </c>
      <c r="P450" t="s">
        <v>21</v>
      </c>
      <c r="Q450" s="1"/>
      <c r="U450">
        <v>1</v>
      </c>
      <c r="V450">
        <v>1</v>
      </c>
      <c r="W450">
        <v>0</v>
      </c>
    </row>
    <row r="451" spans="1:23" ht="16.5" x14ac:dyDescent="0.3">
      <c r="A451" t="s">
        <v>518</v>
      </c>
      <c r="B451" t="s">
        <v>44</v>
      </c>
      <c r="C451" t="s">
        <v>25</v>
      </c>
      <c r="D451" t="s">
        <v>37</v>
      </c>
      <c r="E451">
        <v>22</v>
      </c>
      <c r="F451" t="s">
        <v>57</v>
      </c>
      <c r="G451" t="s">
        <v>38</v>
      </c>
      <c r="H451" s="1">
        <v>45956</v>
      </c>
      <c r="I451" s="2">
        <v>0.2</v>
      </c>
      <c r="J451" t="s">
        <v>64</v>
      </c>
      <c r="K451" s="3">
        <v>3950</v>
      </c>
      <c r="L451" t="s">
        <v>30</v>
      </c>
      <c r="M451">
        <v>3</v>
      </c>
      <c r="N451">
        <v>2</v>
      </c>
      <c r="O451">
        <v>6</v>
      </c>
      <c r="P451" t="s">
        <v>21</v>
      </c>
      <c r="Q451" s="1"/>
      <c r="U451">
        <v>1</v>
      </c>
      <c r="V451">
        <v>1</v>
      </c>
      <c r="W451">
        <v>0</v>
      </c>
    </row>
    <row r="452" spans="1:23" ht="16.5" x14ac:dyDescent="0.3">
      <c r="A452" t="s">
        <v>519</v>
      </c>
      <c r="B452" t="s">
        <v>44</v>
      </c>
      <c r="C452" t="s">
        <v>36</v>
      </c>
      <c r="D452" t="s">
        <v>37</v>
      </c>
      <c r="E452">
        <v>21</v>
      </c>
      <c r="F452" t="s">
        <v>57</v>
      </c>
      <c r="G452" t="s">
        <v>38</v>
      </c>
      <c r="H452" s="1">
        <v>45935</v>
      </c>
      <c r="I452" s="2">
        <v>0.2</v>
      </c>
      <c r="J452" t="s">
        <v>64</v>
      </c>
      <c r="K452" s="3">
        <v>5300</v>
      </c>
      <c r="L452" t="s">
        <v>30</v>
      </c>
      <c r="M452">
        <v>4</v>
      </c>
      <c r="N452">
        <v>3</v>
      </c>
      <c r="O452">
        <v>17</v>
      </c>
      <c r="P452" t="s">
        <v>21</v>
      </c>
      <c r="Q452" s="1"/>
      <c r="U452">
        <v>1</v>
      </c>
      <c r="V452">
        <v>1</v>
      </c>
      <c r="W452">
        <v>0</v>
      </c>
    </row>
    <row r="453" spans="1:23" ht="16.5" x14ac:dyDescent="0.3">
      <c r="A453" t="s">
        <v>520</v>
      </c>
      <c r="B453" t="s">
        <v>35</v>
      </c>
      <c r="C453" t="s">
        <v>36</v>
      </c>
      <c r="D453" t="s">
        <v>26</v>
      </c>
      <c r="E453">
        <v>32</v>
      </c>
      <c r="F453" t="s">
        <v>27</v>
      </c>
      <c r="G453" t="s">
        <v>28</v>
      </c>
      <c r="H453" s="1">
        <v>45343</v>
      </c>
      <c r="I453" s="2">
        <v>1.9</v>
      </c>
      <c r="J453" t="s">
        <v>29</v>
      </c>
      <c r="K453" s="3">
        <v>4400</v>
      </c>
      <c r="L453" t="s">
        <v>58</v>
      </c>
      <c r="M453">
        <v>3</v>
      </c>
      <c r="N453">
        <v>2</v>
      </c>
      <c r="O453">
        <v>26</v>
      </c>
      <c r="P453" t="s">
        <v>21</v>
      </c>
      <c r="Q453" s="1"/>
      <c r="U453">
        <v>1</v>
      </c>
      <c r="V453">
        <v>1</v>
      </c>
      <c r="W453">
        <v>0</v>
      </c>
    </row>
    <row r="454" spans="1:23" ht="16.5" x14ac:dyDescent="0.3">
      <c r="A454" t="s">
        <v>521</v>
      </c>
      <c r="B454" t="s">
        <v>70</v>
      </c>
      <c r="C454" t="s">
        <v>25</v>
      </c>
      <c r="D454" t="s">
        <v>26</v>
      </c>
      <c r="E454">
        <v>33</v>
      </c>
      <c r="F454" t="s">
        <v>27</v>
      </c>
      <c r="G454" t="s">
        <v>38</v>
      </c>
      <c r="H454" s="1">
        <v>43381</v>
      </c>
      <c r="I454" s="2">
        <v>7.2</v>
      </c>
      <c r="J454" t="s">
        <v>39</v>
      </c>
      <c r="K454" s="3">
        <v>4450</v>
      </c>
      <c r="L454" t="s">
        <v>58</v>
      </c>
      <c r="M454">
        <v>5</v>
      </c>
      <c r="N454">
        <v>5</v>
      </c>
      <c r="O454">
        <v>38</v>
      </c>
      <c r="P454" t="s">
        <v>21</v>
      </c>
      <c r="Q454" s="1"/>
      <c r="U454">
        <v>1</v>
      </c>
      <c r="V454">
        <v>1</v>
      </c>
      <c r="W454">
        <v>0</v>
      </c>
    </row>
    <row r="455" spans="1:23" ht="16.5" x14ac:dyDescent="0.3">
      <c r="A455" t="s">
        <v>522</v>
      </c>
      <c r="B455" t="s">
        <v>35</v>
      </c>
      <c r="C455" t="s">
        <v>25</v>
      </c>
      <c r="D455" t="s">
        <v>37</v>
      </c>
      <c r="E455">
        <v>28</v>
      </c>
      <c r="F455" t="s">
        <v>27</v>
      </c>
      <c r="G455" t="s">
        <v>28</v>
      </c>
      <c r="H455" s="1">
        <v>44272</v>
      </c>
      <c r="I455" s="2">
        <v>4.8</v>
      </c>
      <c r="J455" t="s">
        <v>50</v>
      </c>
      <c r="K455" s="3">
        <v>3200</v>
      </c>
      <c r="L455" t="s">
        <v>58</v>
      </c>
      <c r="M455">
        <v>3</v>
      </c>
      <c r="N455">
        <v>4</v>
      </c>
      <c r="O455">
        <v>10</v>
      </c>
      <c r="P455" t="s">
        <v>21</v>
      </c>
      <c r="Q455" s="1"/>
      <c r="U455">
        <v>1</v>
      </c>
      <c r="V455">
        <v>1</v>
      </c>
      <c r="W455">
        <v>0</v>
      </c>
    </row>
    <row r="456" spans="1:23" ht="16.5" x14ac:dyDescent="0.3">
      <c r="A456" t="s">
        <v>523</v>
      </c>
      <c r="B456" t="s">
        <v>73</v>
      </c>
      <c r="C456" t="s">
        <v>36</v>
      </c>
      <c r="D456" t="s">
        <v>37</v>
      </c>
      <c r="E456">
        <v>38</v>
      </c>
      <c r="F456" t="s">
        <v>46</v>
      </c>
      <c r="G456" t="s">
        <v>38</v>
      </c>
      <c r="H456" s="1">
        <v>42953</v>
      </c>
      <c r="I456" s="2">
        <v>6.5</v>
      </c>
      <c r="J456" t="s">
        <v>39</v>
      </c>
      <c r="K456" s="3">
        <v>4950</v>
      </c>
      <c r="L456" t="s">
        <v>30</v>
      </c>
      <c r="M456">
        <v>2</v>
      </c>
      <c r="N456">
        <v>4</v>
      </c>
      <c r="O456">
        <v>39</v>
      </c>
      <c r="P456" t="s">
        <v>22</v>
      </c>
      <c r="Q456" s="1">
        <v>45328</v>
      </c>
      <c r="R456" t="s">
        <v>31</v>
      </c>
      <c r="S456" t="s">
        <v>103</v>
      </c>
      <c r="T456" t="s">
        <v>42</v>
      </c>
      <c r="U456">
        <v>1</v>
      </c>
      <c r="V456">
        <v>0</v>
      </c>
      <c r="W456">
        <v>1</v>
      </c>
    </row>
    <row r="457" spans="1:23" ht="16.5" x14ac:dyDescent="0.3">
      <c r="A457" t="s">
        <v>524</v>
      </c>
      <c r="B457" t="s">
        <v>35</v>
      </c>
      <c r="C457" t="s">
        <v>25</v>
      </c>
      <c r="D457" t="s">
        <v>37</v>
      </c>
      <c r="E457">
        <v>24</v>
      </c>
      <c r="F457" t="s">
        <v>57</v>
      </c>
      <c r="G457" t="s">
        <v>38</v>
      </c>
      <c r="H457" s="1">
        <v>45221</v>
      </c>
      <c r="I457" s="2">
        <v>2.2000000000000002</v>
      </c>
      <c r="J457" t="s">
        <v>29</v>
      </c>
      <c r="K457" s="3">
        <v>3350</v>
      </c>
      <c r="L457" t="s">
        <v>58</v>
      </c>
      <c r="M457">
        <v>5</v>
      </c>
      <c r="N457">
        <v>2</v>
      </c>
      <c r="O457">
        <v>18</v>
      </c>
      <c r="P457" t="s">
        <v>21</v>
      </c>
      <c r="Q457" s="1"/>
      <c r="U457">
        <v>1</v>
      </c>
      <c r="V457">
        <v>1</v>
      </c>
      <c r="W457">
        <v>0</v>
      </c>
    </row>
    <row r="458" spans="1:23" ht="16.5" x14ac:dyDescent="0.3">
      <c r="A458" t="s">
        <v>525</v>
      </c>
      <c r="B458" t="s">
        <v>70</v>
      </c>
      <c r="C458" t="s">
        <v>25</v>
      </c>
      <c r="D458" t="s">
        <v>37</v>
      </c>
      <c r="E458">
        <v>29</v>
      </c>
      <c r="F458" t="s">
        <v>27</v>
      </c>
      <c r="G458" t="s">
        <v>38</v>
      </c>
      <c r="H458" s="1">
        <v>45150</v>
      </c>
      <c r="I458" s="2">
        <v>1.2</v>
      </c>
      <c r="J458" t="s">
        <v>29</v>
      </c>
      <c r="K458" s="3">
        <v>3650</v>
      </c>
      <c r="L458" t="s">
        <v>58</v>
      </c>
      <c r="M458">
        <v>2</v>
      </c>
      <c r="N458">
        <v>5</v>
      </c>
      <c r="O458">
        <v>34</v>
      </c>
      <c r="P458" t="s">
        <v>22</v>
      </c>
      <c r="Q458" s="1">
        <v>45576</v>
      </c>
      <c r="R458" t="s">
        <v>31</v>
      </c>
      <c r="S458" t="s">
        <v>206</v>
      </c>
      <c r="T458" t="s">
        <v>60</v>
      </c>
      <c r="U458">
        <v>1</v>
      </c>
      <c r="V458">
        <v>0</v>
      </c>
      <c r="W458">
        <v>1</v>
      </c>
    </row>
    <row r="459" spans="1:23" ht="16.5" x14ac:dyDescent="0.3">
      <c r="A459" t="s">
        <v>526</v>
      </c>
      <c r="B459" t="s">
        <v>55</v>
      </c>
      <c r="C459" t="s">
        <v>25</v>
      </c>
      <c r="D459" t="s">
        <v>37</v>
      </c>
      <c r="E459">
        <v>24</v>
      </c>
      <c r="F459" t="s">
        <v>57</v>
      </c>
      <c r="G459" t="s">
        <v>28</v>
      </c>
      <c r="H459" s="1">
        <v>45157</v>
      </c>
      <c r="I459" s="2">
        <v>2.4</v>
      </c>
      <c r="J459" t="s">
        <v>29</v>
      </c>
      <c r="K459" s="3">
        <v>4800</v>
      </c>
      <c r="L459" t="s">
        <v>30</v>
      </c>
      <c r="M459">
        <v>3</v>
      </c>
      <c r="N459">
        <v>3</v>
      </c>
      <c r="O459">
        <v>28</v>
      </c>
      <c r="P459" t="s">
        <v>21</v>
      </c>
      <c r="Q459" s="1"/>
      <c r="U459">
        <v>1</v>
      </c>
      <c r="V459">
        <v>1</v>
      </c>
      <c r="W459">
        <v>0</v>
      </c>
    </row>
    <row r="460" spans="1:23" ht="16.5" x14ac:dyDescent="0.3">
      <c r="A460" t="s">
        <v>527</v>
      </c>
      <c r="B460" t="s">
        <v>70</v>
      </c>
      <c r="C460" t="s">
        <v>36</v>
      </c>
      <c r="D460" t="s">
        <v>26</v>
      </c>
      <c r="E460">
        <v>31</v>
      </c>
      <c r="F460" t="s">
        <v>27</v>
      </c>
      <c r="G460" t="s">
        <v>52</v>
      </c>
      <c r="H460" s="1">
        <v>44402</v>
      </c>
      <c r="I460" s="2">
        <v>4.4000000000000004</v>
      </c>
      <c r="J460" t="s">
        <v>50</v>
      </c>
      <c r="K460" s="3">
        <v>5150</v>
      </c>
      <c r="L460" t="s">
        <v>58</v>
      </c>
      <c r="M460">
        <v>2</v>
      </c>
      <c r="N460">
        <v>4</v>
      </c>
      <c r="O460">
        <v>29</v>
      </c>
      <c r="P460" t="s">
        <v>21</v>
      </c>
      <c r="Q460" s="1"/>
      <c r="U460">
        <v>1</v>
      </c>
      <c r="V460">
        <v>1</v>
      </c>
      <c r="W460">
        <v>0</v>
      </c>
    </row>
    <row r="461" spans="1:23" ht="16.5" x14ac:dyDescent="0.3">
      <c r="A461" t="s">
        <v>528</v>
      </c>
      <c r="B461" t="s">
        <v>48</v>
      </c>
      <c r="C461" t="s">
        <v>25</v>
      </c>
      <c r="D461" t="s">
        <v>37</v>
      </c>
      <c r="E461">
        <v>27</v>
      </c>
      <c r="F461" t="s">
        <v>27</v>
      </c>
      <c r="G461" t="s">
        <v>52</v>
      </c>
      <c r="H461" s="1">
        <v>45297</v>
      </c>
      <c r="I461" s="2">
        <v>1.1000000000000001</v>
      </c>
      <c r="J461" t="s">
        <v>29</v>
      </c>
      <c r="K461" s="3">
        <v>5400</v>
      </c>
      <c r="L461" t="s">
        <v>30</v>
      </c>
      <c r="M461">
        <v>4</v>
      </c>
      <c r="N461">
        <v>3</v>
      </c>
      <c r="O461">
        <v>33</v>
      </c>
      <c r="P461" t="s">
        <v>22</v>
      </c>
      <c r="Q461" s="1">
        <v>45701</v>
      </c>
      <c r="R461" t="s">
        <v>40</v>
      </c>
      <c r="S461" t="s">
        <v>103</v>
      </c>
      <c r="T461" t="s">
        <v>33</v>
      </c>
      <c r="U461">
        <v>1</v>
      </c>
      <c r="V461">
        <v>0</v>
      </c>
      <c r="W461">
        <v>1</v>
      </c>
    </row>
    <row r="462" spans="1:23" ht="16.5" x14ac:dyDescent="0.3">
      <c r="A462" t="s">
        <v>529</v>
      </c>
      <c r="B462" t="s">
        <v>24</v>
      </c>
      <c r="C462" t="s">
        <v>36</v>
      </c>
      <c r="D462" t="s">
        <v>37</v>
      </c>
      <c r="E462">
        <v>35</v>
      </c>
      <c r="F462" t="s">
        <v>27</v>
      </c>
      <c r="G462" t="s">
        <v>28</v>
      </c>
      <c r="H462" s="1">
        <v>43970</v>
      </c>
      <c r="I462" s="2">
        <v>5.6</v>
      </c>
      <c r="J462" t="s">
        <v>39</v>
      </c>
      <c r="K462" s="3">
        <v>4050</v>
      </c>
      <c r="L462" t="s">
        <v>30</v>
      </c>
      <c r="M462">
        <v>4</v>
      </c>
      <c r="N462">
        <v>4</v>
      </c>
      <c r="O462">
        <v>17</v>
      </c>
      <c r="P462" t="s">
        <v>21</v>
      </c>
      <c r="Q462" s="1"/>
      <c r="U462">
        <v>1</v>
      </c>
      <c r="V462">
        <v>1</v>
      </c>
      <c r="W462">
        <v>0</v>
      </c>
    </row>
    <row r="463" spans="1:23" ht="16.5" x14ac:dyDescent="0.3">
      <c r="A463" t="s">
        <v>530</v>
      </c>
      <c r="B463" t="s">
        <v>73</v>
      </c>
      <c r="C463" t="s">
        <v>45</v>
      </c>
      <c r="D463" t="s">
        <v>26</v>
      </c>
      <c r="E463">
        <v>33</v>
      </c>
      <c r="F463" t="s">
        <v>27</v>
      </c>
      <c r="G463" t="s">
        <v>38</v>
      </c>
      <c r="H463" s="1">
        <v>45280</v>
      </c>
      <c r="I463" s="2">
        <v>2</v>
      </c>
      <c r="J463" t="s">
        <v>29</v>
      </c>
      <c r="K463" s="3">
        <v>6800</v>
      </c>
      <c r="L463" t="s">
        <v>58</v>
      </c>
      <c r="M463">
        <v>1</v>
      </c>
      <c r="N463">
        <v>4</v>
      </c>
      <c r="O463">
        <v>22</v>
      </c>
      <c r="P463" t="s">
        <v>21</v>
      </c>
      <c r="Q463" s="1"/>
      <c r="U463">
        <v>1</v>
      </c>
      <c r="V463">
        <v>1</v>
      </c>
      <c r="W463">
        <v>0</v>
      </c>
    </row>
    <row r="464" spans="1:23" ht="16.5" x14ac:dyDescent="0.3">
      <c r="A464" t="s">
        <v>531</v>
      </c>
      <c r="B464" t="s">
        <v>48</v>
      </c>
      <c r="C464" t="s">
        <v>36</v>
      </c>
      <c r="D464" t="s">
        <v>37</v>
      </c>
      <c r="E464">
        <v>35</v>
      </c>
      <c r="F464" t="s">
        <v>27</v>
      </c>
      <c r="G464" t="s">
        <v>38</v>
      </c>
      <c r="H464" s="1">
        <v>45218</v>
      </c>
      <c r="I464" s="2">
        <v>2.2000000000000002</v>
      </c>
      <c r="J464" t="s">
        <v>29</v>
      </c>
      <c r="K464" s="3">
        <v>6600</v>
      </c>
      <c r="L464" t="s">
        <v>30</v>
      </c>
      <c r="M464">
        <v>4</v>
      </c>
      <c r="N464">
        <v>5</v>
      </c>
      <c r="O464">
        <v>28</v>
      </c>
      <c r="P464" t="s">
        <v>21</v>
      </c>
      <c r="Q464" s="1"/>
      <c r="U464">
        <v>1</v>
      </c>
      <c r="V464">
        <v>1</v>
      </c>
      <c r="W464">
        <v>0</v>
      </c>
    </row>
    <row r="465" spans="1:23" ht="16.5" x14ac:dyDescent="0.3">
      <c r="A465" t="s">
        <v>532</v>
      </c>
      <c r="B465" t="s">
        <v>55</v>
      </c>
      <c r="C465" t="s">
        <v>45</v>
      </c>
      <c r="D465" t="s">
        <v>26</v>
      </c>
      <c r="E465">
        <v>39</v>
      </c>
      <c r="F465" t="s">
        <v>46</v>
      </c>
      <c r="G465" t="s">
        <v>38</v>
      </c>
      <c r="H465" s="1">
        <v>42787</v>
      </c>
      <c r="I465" s="2">
        <v>8.9</v>
      </c>
      <c r="J465" t="s">
        <v>39</v>
      </c>
      <c r="K465" s="3">
        <v>8650</v>
      </c>
      <c r="L465" t="s">
        <v>30</v>
      </c>
      <c r="M465">
        <v>4</v>
      </c>
      <c r="N465">
        <v>3</v>
      </c>
      <c r="O465">
        <v>22</v>
      </c>
      <c r="P465" t="s">
        <v>21</v>
      </c>
      <c r="Q465" s="1"/>
      <c r="U465">
        <v>1</v>
      </c>
      <c r="V465">
        <v>1</v>
      </c>
      <c r="W465">
        <v>0</v>
      </c>
    </row>
    <row r="466" spans="1:23" ht="16.5" x14ac:dyDescent="0.3">
      <c r="A466" t="s">
        <v>533</v>
      </c>
      <c r="B466" t="s">
        <v>70</v>
      </c>
      <c r="C466" t="s">
        <v>25</v>
      </c>
      <c r="D466" t="s">
        <v>37</v>
      </c>
      <c r="E466">
        <v>22</v>
      </c>
      <c r="F466" t="s">
        <v>57</v>
      </c>
      <c r="G466" t="s">
        <v>38</v>
      </c>
      <c r="H466" s="1">
        <v>45891</v>
      </c>
      <c r="I466" s="2">
        <v>0.4</v>
      </c>
      <c r="J466" t="s">
        <v>64</v>
      </c>
      <c r="K466" s="3">
        <v>3900</v>
      </c>
      <c r="L466" t="s">
        <v>30</v>
      </c>
      <c r="M466">
        <v>3</v>
      </c>
      <c r="N466">
        <v>3</v>
      </c>
      <c r="O466">
        <v>33</v>
      </c>
      <c r="P466" t="s">
        <v>21</v>
      </c>
      <c r="Q466" s="1"/>
      <c r="U466">
        <v>1</v>
      </c>
      <c r="V466">
        <v>1</v>
      </c>
      <c r="W466">
        <v>0</v>
      </c>
    </row>
    <row r="467" spans="1:23" ht="16.5" x14ac:dyDescent="0.3">
      <c r="A467" t="s">
        <v>534</v>
      </c>
      <c r="B467" t="s">
        <v>24</v>
      </c>
      <c r="C467" t="s">
        <v>45</v>
      </c>
      <c r="D467" t="s">
        <v>26</v>
      </c>
      <c r="E467">
        <v>45</v>
      </c>
      <c r="F467" t="s">
        <v>46</v>
      </c>
      <c r="G467" t="s">
        <v>38</v>
      </c>
      <c r="H467" s="1">
        <v>43479</v>
      </c>
      <c r="I467" s="2">
        <v>6.2</v>
      </c>
      <c r="J467" t="s">
        <v>39</v>
      </c>
      <c r="K467" s="3">
        <v>4850</v>
      </c>
      <c r="L467" t="s">
        <v>58</v>
      </c>
      <c r="M467">
        <v>3</v>
      </c>
      <c r="N467">
        <v>4</v>
      </c>
      <c r="O467">
        <v>15</v>
      </c>
      <c r="P467" t="s">
        <v>22</v>
      </c>
      <c r="Q467" s="1">
        <v>45754</v>
      </c>
      <c r="R467" t="s">
        <v>40</v>
      </c>
      <c r="S467" t="s">
        <v>153</v>
      </c>
      <c r="T467" t="s">
        <v>60</v>
      </c>
      <c r="U467">
        <v>1</v>
      </c>
      <c r="V467">
        <v>0</v>
      </c>
      <c r="W467">
        <v>1</v>
      </c>
    </row>
    <row r="468" spans="1:23" ht="16.5" x14ac:dyDescent="0.3">
      <c r="A468" t="s">
        <v>535</v>
      </c>
      <c r="B468" t="s">
        <v>24</v>
      </c>
      <c r="C468" t="s">
        <v>25</v>
      </c>
      <c r="D468" t="s">
        <v>26</v>
      </c>
      <c r="E468">
        <v>34</v>
      </c>
      <c r="F468" t="s">
        <v>27</v>
      </c>
      <c r="G468" t="s">
        <v>38</v>
      </c>
      <c r="H468" s="1">
        <v>44836</v>
      </c>
      <c r="I468" s="2">
        <v>3.2</v>
      </c>
      <c r="J468" t="s">
        <v>50</v>
      </c>
      <c r="K468" s="3">
        <v>3150</v>
      </c>
      <c r="L468" t="s">
        <v>30</v>
      </c>
      <c r="M468">
        <v>4</v>
      </c>
      <c r="N468">
        <v>2</v>
      </c>
      <c r="O468">
        <v>22</v>
      </c>
      <c r="P468" t="s">
        <v>21</v>
      </c>
      <c r="Q468" s="1"/>
      <c r="U468">
        <v>1</v>
      </c>
      <c r="V468">
        <v>1</v>
      </c>
      <c r="W468">
        <v>0</v>
      </c>
    </row>
    <row r="469" spans="1:23" ht="16.5" x14ac:dyDescent="0.3">
      <c r="A469" t="s">
        <v>536</v>
      </c>
      <c r="B469" t="s">
        <v>70</v>
      </c>
      <c r="C469" t="s">
        <v>45</v>
      </c>
      <c r="D469" t="s">
        <v>37</v>
      </c>
      <c r="E469">
        <v>40</v>
      </c>
      <c r="F469" t="s">
        <v>46</v>
      </c>
      <c r="G469" t="s">
        <v>38</v>
      </c>
      <c r="H469" s="1">
        <v>42088</v>
      </c>
      <c r="I469" s="2">
        <v>10.8</v>
      </c>
      <c r="J469" t="s">
        <v>39</v>
      </c>
      <c r="K469" s="3">
        <v>8550</v>
      </c>
      <c r="L469" t="s">
        <v>30</v>
      </c>
      <c r="M469">
        <v>3</v>
      </c>
      <c r="N469">
        <v>3</v>
      </c>
      <c r="O469">
        <v>23</v>
      </c>
      <c r="P469" t="s">
        <v>21</v>
      </c>
      <c r="Q469" s="1"/>
      <c r="U469">
        <v>1</v>
      </c>
      <c r="V469">
        <v>1</v>
      </c>
      <c r="W469">
        <v>0</v>
      </c>
    </row>
    <row r="470" spans="1:23" ht="16.5" x14ac:dyDescent="0.3">
      <c r="A470" t="s">
        <v>537</v>
      </c>
      <c r="B470" t="s">
        <v>44</v>
      </c>
      <c r="C470" t="s">
        <v>45</v>
      </c>
      <c r="D470" t="s">
        <v>26</v>
      </c>
      <c r="E470">
        <v>37</v>
      </c>
      <c r="F470" t="s">
        <v>46</v>
      </c>
      <c r="G470" t="s">
        <v>28</v>
      </c>
      <c r="H470" s="1">
        <v>43097</v>
      </c>
      <c r="I470" s="2">
        <v>8</v>
      </c>
      <c r="J470" t="s">
        <v>39</v>
      </c>
      <c r="K470" s="3">
        <v>7500</v>
      </c>
      <c r="L470" t="s">
        <v>30</v>
      </c>
      <c r="M470">
        <v>3</v>
      </c>
      <c r="N470">
        <v>4</v>
      </c>
      <c r="O470">
        <v>0</v>
      </c>
      <c r="P470" t="s">
        <v>21</v>
      </c>
      <c r="Q470" s="1"/>
      <c r="U470">
        <v>1</v>
      </c>
      <c r="V470">
        <v>1</v>
      </c>
      <c r="W470">
        <v>0</v>
      </c>
    </row>
    <row r="471" spans="1:23" ht="16.5" x14ac:dyDescent="0.3">
      <c r="A471" t="s">
        <v>538</v>
      </c>
      <c r="B471" t="s">
        <v>24</v>
      </c>
      <c r="C471" t="s">
        <v>36</v>
      </c>
      <c r="D471" t="s">
        <v>37</v>
      </c>
      <c r="E471">
        <v>46</v>
      </c>
      <c r="F471" t="s">
        <v>88</v>
      </c>
      <c r="G471" t="s">
        <v>52</v>
      </c>
      <c r="H471" s="1">
        <v>41492</v>
      </c>
      <c r="I471" s="2">
        <v>12.4</v>
      </c>
      <c r="J471" t="s">
        <v>39</v>
      </c>
      <c r="K471" s="3">
        <v>3300</v>
      </c>
      <c r="L471" t="s">
        <v>30</v>
      </c>
      <c r="M471">
        <v>3</v>
      </c>
      <c r="N471">
        <v>4</v>
      </c>
      <c r="O471">
        <v>20</v>
      </c>
      <c r="P471" t="s">
        <v>21</v>
      </c>
      <c r="Q471" s="1"/>
      <c r="U471">
        <v>1</v>
      </c>
      <c r="V471">
        <v>1</v>
      </c>
      <c r="W471">
        <v>0</v>
      </c>
    </row>
    <row r="472" spans="1:23" ht="16.5" x14ac:dyDescent="0.3">
      <c r="A472" t="s">
        <v>539</v>
      </c>
      <c r="B472" t="s">
        <v>70</v>
      </c>
      <c r="C472" t="s">
        <v>36</v>
      </c>
      <c r="D472" t="s">
        <v>26</v>
      </c>
      <c r="E472">
        <v>38</v>
      </c>
      <c r="F472" t="s">
        <v>46</v>
      </c>
      <c r="G472" t="s">
        <v>28</v>
      </c>
      <c r="H472" s="1">
        <v>42785</v>
      </c>
      <c r="I472" s="2">
        <v>8.1999999999999993</v>
      </c>
      <c r="J472" t="s">
        <v>39</v>
      </c>
      <c r="K472" s="3">
        <v>4850</v>
      </c>
      <c r="L472" t="s">
        <v>30</v>
      </c>
      <c r="M472">
        <v>2</v>
      </c>
      <c r="N472">
        <v>4</v>
      </c>
      <c r="O472">
        <v>37</v>
      </c>
      <c r="P472" t="s">
        <v>22</v>
      </c>
      <c r="Q472" s="1">
        <v>45762</v>
      </c>
      <c r="R472" t="s">
        <v>40</v>
      </c>
      <c r="S472" t="s">
        <v>153</v>
      </c>
      <c r="T472" t="s">
        <v>85</v>
      </c>
      <c r="U472">
        <v>1</v>
      </c>
      <c r="V472">
        <v>0</v>
      </c>
      <c r="W472">
        <v>1</v>
      </c>
    </row>
    <row r="473" spans="1:23" ht="16.5" x14ac:dyDescent="0.3">
      <c r="A473" t="s">
        <v>540</v>
      </c>
      <c r="B473" t="s">
        <v>70</v>
      </c>
      <c r="C473" t="s">
        <v>36</v>
      </c>
      <c r="D473" t="s">
        <v>37</v>
      </c>
      <c r="E473">
        <v>39</v>
      </c>
      <c r="F473" t="s">
        <v>46</v>
      </c>
      <c r="G473" t="s">
        <v>38</v>
      </c>
      <c r="H473" s="1">
        <v>43976</v>
      </c>
      <c r="I473" s="2">
        <v>3.8</v>
      </c>
      <c r="J473" t="s">
        <v>50</v>
      </c>
      <c r="K473" s="3">
        <v>5300</v>
      </c>
      <c r="L473" t="s">
        <v>58</v>
      </c>
      <c r="M473">
        <v>2</v>
      </c>
      <c r="N473">
        <v>3</v>
      </c>
      <c r="O473">
        <v>44</v>
      </c>
      <c r="P473" t="s">
        <v>22</v>
      </c>
      <c r="Q473" s="1">
        <v>45346</v>
      </c>
      <c r="R473" t="s">
        <v>31</v>
      </c>
      <c r="S473" t="s">
        <v>103</v>
      </c>
      <c r="T473" t="s">
        <v>473</v>
      </c>
      <c r="U473">
        <v>1</v>
      </c>
      <c r="V473">
        <v>0</v>
      </c>
      <c r="W473">
        <v>1</v>
      </c>
    </row>
    <row r="474" spans="1:23" ht="16.5" x14ac:dyDescent="0.3">
      <c r="A474" t="s">
        <v>541</v>
      </c>
      <c r="B474" t="s">
        <v>48</v>
      </c>
      <c r="C474" t="s">
        <v>36</v>
      </c>
      <c r="D474" t="s">
        <v>37</v>
      </c>
      <c r="E474">
        <v>27</v>
      </c>
      <c r="F474" t="s">
        <v>27</v>
      </c>
      <c r="G474" t="s">
        <v>52</v>
      </c>
      <c r="H474" s="1">
        <v>45516</v>
      </c>
      <c r="I474" s="2">
        <v>1.4</v>
      </c>
      <c r="J474" t="s">
        <v>29</v>
      </c>
      <c r="K474" s="3">
        <v>8900</v>
      </c>
      <c r="L474" t="s">
        <v>30</v>
      </c>
      <c r="M474">
        <v>5</v>
      </c>
      <c r="N474">
        <v>3</v>
      </c>
      <c r="O474">
        <v>22</v>
      </c>
      <c r="P474" t="s">
        <v>21</v>
      </c>
      <c r="Q474" s="1"/>
      <c r="U474">
        <v>1</v>
      </c>
      <c r="V474">
        <v>1</v>
      </c>
      <c r="W474">
        <v>0</v>
      </c>
    </row>
    <row r="475" spans="1:23" ht="16.5" x14ac:dyDescent="0.3">
      <c r="A475" t="s">
        <v>542</v>
      </c>
      <c r="B475" t="s">
        <v>70</v>
      </c>
      <c r="C475" t="s">
        <v>25</v>
      </c>
      <c r="D475" t="s">
        <v>37</v>
      </c>
      <c r="E475">
        <v>21</v>
      </c>
      <c r="F475" t="s">
        <v>57</v>
      </c>
      <c r="G475" t="s">
        <v>38</v>
      </c>
      <c r="H475" s="1">
        <v>45954</v>
      </c>
      <c r="I475" s="2">
        <v>0.1</v>
      </c>
      <c r="J475" t="s">
        <v>64</v>
      </c>
      <c r="K475" s="3">
        <v>4300</v>
      </c>
      <c r="L475" t="s">
        <v>58</v>
      </c>
      <c r="M475">
        <v>3</v>
      </c>
      <c r="N475">
        <v>3</v>
      </c>
      <c r="O475">
        <v>25</v>
      </c>
      <c r="P475" t="s">
        <v>22</v>
      </c>
      <c r="Q475" s="1">
        <v>45989</v>
      </c>
      <c r="R475" t="s">
        <v>40</v>
      </c>
      <c r="S475" t="s">
        <v>182</v>
      </c>
      <c r="T475" t="s">
        <v>60</v>
      </c>
      <c r="U475">
        <v>1</v>
      </c>
      <c r="V475">
        <v>0</v>
      </c>
      <c r="W475">
        <v>1</v>
      </c>
    </row>
    <row r="476" spans="1:23" ht="16.5" x14ac:dyDescent="0.3">
      <c r="A476" t="s">
        <v>543</v>
      </c>
      <c r="B476" t="s">
        <v>24</v>
      </c>
      <c r="C476" t="s">
        <v>87</v>
      </c>
      <c r="D476" t="s">
        <v>26</v>
      </c>
      <c r="E476">
        <v>52</v>
      </c>
      <c r="F476" t="s">
        <v>88</v>
      </c>
      <c r="G476" t="s">
        <v>38</v>
      </c>
      <c r="H476" s="1">
        <v>40736</v>
      </c>
      <c r="I476" s="2">
        <v>14.5</v>
      </c>
      <c r="J476" t="s">
        <v>39</v>
      </c>
      <c r="K476" s="3">
        <v>6500</v>
      </c>
      <c r="L476" t="s">
        <v>58</v>
      </c>
      <c r="M476">
        <v>3</v>
      </c>
      <c r="N476">
        <v>3</v>
      </c>
      <c r="O476">
        <v>28</v>
      </c>
      <c r="P476" t="s">
        <v>21</v>
      </c>
      <c r="Q476" s="1"/>
      <c r="U476">
        <v>1</v>
      </c>
      <c r="V476">
        <v>1</v>
      </c>
      <c r="W476">
        <v>0</v>
      </c>
    </row>
    <row r="477" spans="1:23" ht="16.5" x14ac:dyDescent="0.3">
      <c r="A477" t="s">
        <v>544</v>
      </c>
      <c r="B477" t="s">
        <v>44</v>
      </c>
      <c r="C477" t="s">
        <v>45</v>
      </c>
      <c r="D477" t="s">
        <v>37</v>
      </c>
      <c r="E477">
        <v>35</v>
      </c>
      <c r="F477" t="s">
        <v>27</v>
      </c>
      <c r="G477" t="s">
        <v>28</v>
      </c>
      <c r="H477" s="1">
        <v>44422</v>
      </c>
      <c r="I477" s="2">
        <v>4.4000000000000004</v>
      </c>
      <c r="J477" t="s">
        <v>50</v>
      </c>
      <c r="K477" s="3">
        <v>11100</v>
      </c>
      <c r="L477" t="s">
        <v>30</v>
      </c>
      <c r="M477">
        <v>4</v>
      </c>
      <c r="N477">
        <v>3</v>
      </c>
      <c r="O477">
        <v>8</v>
      </c>
      <c r="P477" t="s">
        <v>21</v>
      </c>
      <c r="Q477" s="1"/>
      <c r="U477">
        <v>1</v>
      </c>
      <c r="V477">
        <v>1</v>
      </c>
      <c r="W477">
        <v>0</v>
      </c>
    </row>
    <row r="478" spans="1:23" ht="16.5" x14ac:dyDescent="0.3">
      <c r="A478" t="s">
        <v>545</v>
      </c>
      <c r="B478" t="s">
        <v>44</v>
      </c>
      <c r="C478" t="s">
        <v>25</v>
      </c>
      <c r="D478" t="s">
        <v>37</v>
      </c>
      <c r="E478">
        <v>23</v>
      </c>
      <c r="F478" t="s">
        <v>57</v>
      </c>
      <c r="G478" t="s">
        <v>38</v>
      </c>
      <c r="H478" s="1">
        <v>45453</v>
      </c>
      <c r="I478" s="2">
        <v>1.6</v>
      </c>
      <c r="J478" t="s">
        <v>29</v>
      </c>
      <c r="K478" s="3">
        <v>4500</v>
      </c>
      <c r="L478" t="s">
        <v>30</v>
      </c>
      <c r="M478">
        <v>4</v>
      </c>
      <c r="N478">
        <v>3</v>
      </c>
      <c r="O478">
        <v>23</v>
      </c>
      <c r="P478" t="s">
        <v>21</v>
      </c>
      <c r="Q478" s="1"/>
      <c r="U478">
        <v>1</v>
      </c>
      <c r="V478">
        <v>1</v>
      </c>
      <c r="W478">
        <v>0</v>
      </c>
    </row>
    <row r="479" spans="1:23" ht="16.5" x14ac:dyDescent="0.3">
      <c r="A479" t="s">
        <v>546</v>
      </c>
      <c r="B479" t="s">
        <v>48</v>
      </c>
      <c r="C479" t="s">
        <v>25</v>
      </c>
      <c r="D479" t="s">
        <v>37</v>
      </c>
      <c r="E479">
        <v>28</v>
      </c>
      <c r="F479" t="s">
        <v>27</v>
      </c>
      <c r="G479" t="s">
        <v>38</v>
      </c>
      <c r="H479" s="1">
        <v>44852</v>
      </c>
      <c r="I479" s="2">
        <v>3.2</v>
      </c>
      <c r="J479" t="s">
        <v>50</v>
      </c>
      <c r="K479" s="3">
        <v>7150</v>
      </c>
      <c r="L479" t="s">
        <v>30</v>
      </c>
      <c r="M479">
        <v>2</v>
      </c>
      <c r="N479">
        <v>3</v>
      </c>
      <c r="O479">
        <v>3</v>
      </c>
      <c r="P479" t="s">
        <v>21</v>
      </c>
      <c r="Q479" s="1"/>
      <c r="U479">
        <v>1</v>
      </c>
      <c r="V479">
        <v>1</v>
      </c>
      <c r="W479">
        <v>0</v>
      </c>
    </row>
    <row r="480" spans="1:23" ht="16.5" x14ac:dyDescent="0.3">
      <c r="A480" t="s">
        <v>547</v>
      </c>
      <c r="B480" t="s">
        <v>35</v>
      </c>
      <c r="C480" t="s">
        <v>36</v>
      </c>
      <c r="D480" t="s">
        <v>37</v>
      </c>
      <c r="E480">
        <v>37</v>
      </c>
      <c r="F480" t="s">
        <v>46</v>
      </c>
      <c r="G480" t="s">
        <v>28</v>
      </c>
      <c r="H480" s="1">
        <v>44521</v>
      </c>
      <c r="I480" s="2">
        <v>4.0999999999999996</v>
      </c>
      <c r="J480" t="s">
        <v>50</v>
      </c>
      <c r="K480" s="3">
        <v>4700</v>
      </c>
      <c r="L480" t="s">
        <v>30</v>
      </c>
      <c r="M480">
        <v>3</v>
      </c>
      <c r="N480">
        <v>3</v>
      </c>
      <c r="O480">
        <v>25</v>
      </c>
      <c r="P480" t="s">
        <v>21</v>
      </c>
      <c r="Q480" s="1"/>
      <c r="U480">
        <v>1</v>
      </c>
      <c r="V480">
        <v>1</v>
      </c>
      <c r="W480">
        <v>0</v>
      </c>
    </row>
    <row r="481" spans="1:23" ht="16.5" x14ac:dyDescent="0.3">
      <c r="A481" t="s">
        <v>548</v>
      </c>
      <c r="B481" t="s">
        <v>24</v>
      </c>
      <c r="C481" t="s">
        <v>25</v>
      </c>
      <c r="D481" t="s">
        <v>37</v>
      </c>
      <c r="E481">
        <v>35</v>
      </c>
      <c r="F481" t="s">
        <v>27</v>
      </c>
      <c r="G481" t="s">
        <v>52</v>
      </c>
      <c r="H481" s="1">
        <v>42672</v>
      </c>
      <c r="I481" s="2">
        <v>9.1999999999999993</v>
      </c>
      <c r="J481" t="s">
        <v>39</v>
      </c>
      <c r="K481" s="3">
        <v>2450</v>
      </c>
      <c r="L481" t="s">
        <v>30</v>
      </c>
      <c r="M481">
        <v>4</v>
      </c>
      <c r="N481">
        <v>3</v>
      </c>
      <c r="O481">
        <v>29</v>
      </c>
      <c r="P481" t="s">
        <v>21</v>
      </c>
      <c r="Q481" s="1"/>
      <c r="U481">
        <v>1</v>
      </c>
      <c r="V481">
        <v>1</v>
      </c>
      <c r="W481">
        <v>0</v>
      </c>
    </row>
    <row r="482" spans="1:23" ht="16.5" x14ac:dyDescent="0.3">
      <c r="A482" t="s">
        <v>549</v>
      </c>
      <c r="B482" t="s">
        <v>44</v>
      </c>
      <c r="C482" t="s">
        <v>36</v>
      </c>
      <c r="D482" t="s">
        <v>37</v>
      </c>
      <c r="E482">
        <v>29</v>
      </c>
      <c r="F482" t="s">
        <v>27</v>
      </c>
      <c r="G482" t="s">
        <v>38</v>
      </c>
      <c r="H482" s="1">
        <v>44657</v>
      </c>
      <c r="I482" s="2">
        <v>3.7</v>
      </c>
      <c r="J482" t="s">
        <v>50</v>
      </c>
      <c r="K482" s="3">
        <v>6750</v>
      </c>
      <c r="L482" t="s">
        <v>30</v>
      </c>
      <c r="M482">
        <v>4</v>
      </c>
      <c r="N482">
        <v>4</v>
      </c>
      <c r="O482">
        <v>33</v>
      </c>
      <c r="P482" t="s">
        <v>21</v>
      </c>
      <c r="Q482" s="1"/>
      <c r="U482">
        <v>1</v>
      </c>
      <c r="V482">
        <v>1</v>
      </c>
      <c r="W482">
        <v>0</v>
      </c>
    </row>
    <row r="483" spans="1:23" ht="16.5" x14ac:dyDescent="0.3">
      <c r="A483" t="s">
        <v>550</v>
      </c>
      <c r="B483" t="s">
        <v>70</v>
      </c>
      <c r="C483" t="s">
        <v>45</v>
      </c>
      <c r="D483" t="s">
        <v>26</v>
      </c>
      <c r="E483">
        <v>30</v>
      </c>
      <c r="F483" t="s">
        <v>27</v>
      </c>
      <c r="G483" t="s">
        <v>38</v>
      </c>
      <c r="H483" s="1">
        <v>45580</v>
      </c>
      <c r="I483" s="2">
        <v>0.8</v>
      </c>
      <c r="J483" t="s">
        <v>64</v>
      </c>
      <c r="K483" s="3">
        <v>6200</v>
      </c>
      <c r="L483" t="s">
        <v>30</v>
      </c>
      <c r="M483">
        <v>2</v>
      </c>
      <c r="N483">
        <v>3</v>
      </c>
      <c r="O483">
        <v>30</v>
      </c>
      <c r="P483" t="s">
        <v>22</v>
      </c>
      <c r="Q483" s="1">
        <v>45860</v>
      </c>
      <c r="R483" t="s">
        <v>40</v>
      </c>
      <c r="S483" t="s">
        <v>84</v>
      </c>
      <c r="T483" t="s">
        <v>33</v>
      </c>
      <c r="U483">
        <v>1</v>
      </c>
      <c r="V483">
        <v>0</v>
      </c>
      <c r="W483">
        <v>1</v>
      </c>
    </row>
    <row r="484" spans="1:23" ht="16.5" x14ac:dyDescent="0.3">
      <c r="A484" t="s">
        <v>551</v>
      </c>
      <c r="B484" t="s">
        <v>55</v>
      </c>
      <c r="C484" t="s">
        <v>25</v>
      </c>
      <c r="D484" t="s">
        <v>37</v>
      </c>
      <c r="E484">
        <v>21</v>
      </c>
      <c r="F484" t="s">
        <v>57</v>
      </c>
      <c r="G484" t="s">
        <v>38</v>
      </c>
      <c r="H484" s="1">
        <v>45998</v>
      </c>
      <c r="I484" s="2">
        <v>0.1</v>
      </c>
      <c r="J484" t="s">
        <v>64</v>
      </c>
      <c r="K484" s="3">
        <v>3300</v>
      </c>
      <c r="L484" t="s">
        <v>30</v>
      </c>
      <c r="M484">
        <v>4</v>
      </c>
      <c r="N484">
        <v>3</v>
      </c>
      <c r="O484">
        <v>0</v>
      </c>
      <c r="P484" t="s">
        <v>21</v>
      </c>
      <c r="Q484" s="1"/>
      <c r="U484">
        <v>1</v>
      </c>
      <c r="V484">
        <v>1</v>
      </c>
      <c r="W484">
        <v>0</v>
      </c>
    </row>
    <row r="485" spans="1:23" ht="16.5" x14ac:dyDescent="0.3">
      <c r="A485" t="s">
        <v>552</v>
      </c>
      <c r="B485" t="s">
        <v>73</v>
      </c>
      <c r="C485" t="s">
        <v>25</v>
      </c>
      <c r="D485" t="s">
        <v>26</v>
      </c>
      <c r="E485">
        <v>21</v>
      </c>
      <c r="F485" t="s">
        <v>57</v>
      </c>
      <c r="G485" t="s">
        <v>28</v>
      </c>
      <c r="H485" s="1">
        <v>45990</v>
      </c>
      <c r="I485" s="2">
        <v>0.1</v>
      </c>
      <c r="J485" t="s">
        <v>64</v>
      </c>
      <c r="K485" s="3">
        <v>4250</v>
      </c>
      <c r="L485" t="s">
        <v>30</v>
      </c>
      <c r="M485">
        <v>4</v>
      </c>
      <c r="N485">
        <v>4</v>
      </c>
      <c r="O485">
        <v>31</v>
      </c>
      <c r="P485" t="s">
        <v>21</v>
      </c>
      <c r="Q485" s="1"/>
      <c r="U485">
        <v>1</v>
      </c>
      <c r="V485">
        <v>1</v>
      </c>
      <c r="W485">
        <v>0</v>
      </c>
    </row>
    <row r="486" spans="1:23" ht="16.5" x14ac:dyDescent="0.3">
      <c r="A486" t="s">
        <v>553</v>
      </c>
      <c r="B486" t="s">
        <v>24</v>
      </c>
      <c r="C486" t="s">
        <v>36</v>
      </c>
      <c r="D486" t="s">
        <v>37</v>
      </c>
      <c r="E486">
        <v>26</v>
      </c>
      <c r="F486" t="s">
        <v>27</v>
      </c>
      <c r="G486" t="s">
        <v>38</v>
      </c>
      <c r="H486" s="1">
        <v>45580</v>
      </c>
      <c r="I486" s="2">
        <v>0.1</v>
      </c>
      <c r="J486" t="s">
        <v>64</v>
      </c>
      <c r="K486" s="3">
        <v>3100</v>
      </c>
      <c r="L486" t="s">
        <v>30</v>
      </c>
      <c r="M486">
        <v>3</v>
      </c>
      <c r="N486">
        <v>4</v>
      </c>
      <c r="O486">
        <v>38</v>
      </c>
      <c r="P486" t="s">
        <v>22</v>
      </c>
      <c r="Q486" s="1">
        <v>45606</v>
      </c>
      <c r="R486" t="s">
        <v>31</v>
      </c>
      <c r="S486" t="s">
        <v>182</v>
      </c>
      <c r="T486" t="s">
        <v>33</v>
      </c>
      <c r="U486">
        <v>1</v>
      </c>
      <c r="V486">
        <v>0</v>
      </c>
      <c r="W486">
        <v>1</v>
      </c>
    </row>
    <row r="487" spans="1:23" ht="16.5" x14ac:dyDescent="0.3">
      <c r="A487" t="s">
        <v>554</v>
      </c>
      <c r="B487" t="s">
        <v>48</v>
      </c>
      <c r="C487" t="s">
        <v>45</v>
      </c>
      <c r="D487" t="s">
        <v>37</v>
      </c>
      <c r="E487">
        <v>36</v>
      </c>
      <c r="F487" t="s">
        <v>46</v>
      </c>
      <c r="G487" t="s">
        <v>28</v>
      </c>
      <c r="H487" s="1">
        <v>42438</v>
      </c>
      <c r="I487" s="2">
        <v>9.8000000000000007</v>
      </c>
      <c r="J487" t="s">
        <v>39</v>
      </c>
      <c r="K487" s="3">
        <v>10750</v>
      </c>
      <c r="L487" t="s">
        <v>30</v>
      </c>
      <c r="M487">
        <v>4</v>
      </c>
      <c r="N487">
        <v>2</v>
      </c>
      <c r="O487">
        <v>27</v>
      </c>
      <c r="P487" t="s">
        <v>21</v>
      </c>
      <c r="Q487" s="1"/>
      <c r="U487">
        <v>1</v>
      </c>
      <c r="V487">
        <v>1</v>
      </c>
      <c r="W487">
        <v>0</v>
      </c>
    </row>
    <row r="488" spans="1:23" ht="16.5" x14ac:dyDescent="0.3">
      <c r="A488" t="s">
        <v>555</v>
      </c>
      <c r="B488" t="s">
        <v>55</v>
      </c>
      <c r="C488" t="s">
        <v>25</v>
      </c>
      <c r="D488" t="s">
        <v>37</v>
      </c>
      <c r="E488">
        <v>21</v>
      </c>
      <c r="F488" t="s">
        <v>57</v>
      </c>
      <c r="G488" t="s">
        <v>38</v>
      </c>
      <c r="H488" s="1">
        <v>45923</v>
      </c>
      <c r="I488" s="2">
        <v>0.3</v>
      </c>
      <c r="J488" t="s">
        <v>64</v>
      </c>
      <c r="K488" s="3">
        <v>4150</v>
      </c>
      <c r="L488" t="s">
        <v>30</v>
      </c>
      <c r="M488">
        <v>5</v>
      </c>
      <c r="N488">
        <v>5</v>
      </c>
      <c r="O488">
        <v>32</v>
      </c>
      <c r="P488" t="s">
        <v>21</v>
      </c>
      <c r="Q488" s="1"/>
      <c r="U488">
        <v>1</v>
      </c>
      <c r="V488">
        <v>1</v>
      </c>
      <c r="W488">
        <v>0</v>
      </c>
    </row>
    <row r="489" spans="1:23" ht="16.5" x14ac:dyDescent="0.3">
      <c r="A489" t="s">
        <v>556</v>
      </c>
      <c r="B489" t="s">
        <v>73</v>
      </c>
      <c r="C489" t="s">
        <v>36</v>
      </c>
      <c r="D489" t="s">
        <v>26</v>
      </c>
      <c r="E489">
        <v>37</v>
      </c>
      <c r="F489" t="s">
        <v>46</v>
      </c>
      <c r="G489" t="s">
        <v>38</v>
      </c>
      <c r="H489" s="1">
        <v>43857</v>
      </c>
      <c r="I489" s="2">
        <v>5.9</v>
      </c>
      <c r="J489" t="s">
        <v>39</v>
      </c>
      <c r="K489" s="3">
        <v>5200</v>
      </c>
      <c r="L489" t="s">
        <v>30</v>
      </c>
      <c r="M489">
        <v>4</v>
      </c>
      <c r="N489">
        <v>3</v>
      </c>
      <c r="O489">
        <v>17</v>
      </c>
      <c r="P489" t="s">
        <v>21</v>
      </c>
      <c r="Q489" s="1"/>
      <c r="U489">
        <v>1</v>
      </c>
      <c r="V489">
        <v>1</v>
      </c>
      <c r="W489">
        <v>0</v>
      </c>
    </row>
    <row r="490" spans="1:23" ht="16.5" x14ac:dyDescent="0.3">
      <c r="A490" t="s">
        <v>557</v>
      </c>
      <c r="B490" t="s">
        <v>70</v>
      </c>
      <c r="C490" t="s">
        <v>36</v>
      </c>
      <c r="D490" t="s">
        <v>37</v>
      </c>
      <c r="E490">
        <v>27</v>
      </c>
      <c r="F490" t="s">
        <v>27</v>
      </c>
      <c r="G490" t="s">
        <v>28</v>
      </c>
      <c r="H490" s="1">
        <v>44966</v>
      </c>
      <c r="I490" s="2">
        <v>1.9</v>
      </c>
      <c r="J490" t="s">
        <v>29</v>
      </c>
      <c r="K490" s="3">
        <v>4550</v>
      </c>
      <c r="L490" t="s">
        <v>30</v>
      </c>
      <c r="M490">
        <v>4</v>
      </c>
      <c r="N490">
        <v>3</v>
      </c>
      <c r="O490">
        <v>1</v>
      </c>
      <c r="P490" t="s">
        <v>22</v>
      </c>
      <c r="Q490" s="1">
        <v>45664</v>
      </c>
      <c r="R490" t="s">
        <v>40</v>
      </c>
      <c r="S490" t="s">
        <v>107</v>
      </c>
      <c r="T490" t="s">
        <v>33</v>
      </c>
      <c r="U490">
        <v>1</v>
      </c>
      <c r="V490">
        <v>0</v>
      </c>
      <c r="W490">
        <v>1</v>
      </c>
    </row>
    <row r="491" spans="1:23" ht="16.5" x14ac:dyDescent="0.3">
      <c r="A491" t="s">
        <v>558</v>
      </c>
      <c r="B491" t="s">
        <v>35</v>
      </c>
      <c r="C491" t="s">
        <v>25</v>
      </c>
      <c r="D491" t="s">
        <v>26</v>
      </c>
      <c r="E491">
        <v>26</v>
      </c>
      <c r="F491" t="s">
        <v>27</v>
      </c>
      <c r="G491" t="s">
        <v>38</v>
      </c>
      <c r="H491" s="1">
        <v>44869</v>
      </c>
      <c r="I491" s="2">
        <v>3.2</v>
      </c>
      <c r="J491" t="s">
        <v>50</v>
      </c>
      <c r="K491" s="3">
        <v>3600</v>
      </c>
      <c r="L491" t="s">
        <v>30</v>
      </c>
      <c r="M491">
        <v>2</v>
      </c>
      <c r="N491">
        <v>3</v>
      </c>
      <c r="O491">
        <v>19</v>
      </c>
      <c r="P491" t="s">
        <v>21</v>
      </c>
      <c r="Q491" s="1"/>
      <c r="U491">
        <v>1</v>
      </c>
      <c r="V491">
        <v>1</v>
      </c>
      <c r="W491">
        <v>0</v>
      </c>
    </row>
    <row r="492" spans="1:23" ht="16.5" x14ac:dyDescent="0.3">
      <c r="A492" t="s">
        <v>559</v>
      </c>
      <c r="B492" t="s">
        <v>73</v>
      </c>
      <c r="C492" t="s">
        <v>36</v>
      </c>
      <c r="D492" t="s">
        <v>37</v>
      </c>
      <c r="E492">
        <v>29</v>
      </c>
      <c r="F492" t="s">
        <v>27</v>
      </c>
      <c r="G492" t="s">
        <v>28</v>
      </c>
      <c r="H492" s="1">
        <v>44316</v>
      </c>
      <c r="I492" s="2">
        <v>4.7</v>
      </c>
      <c r="J492" t="s">
        <v>50</v>
      </c>
      <c r="K492" s="3">
        <v>5600</v>
      </c>
      <c r="L492" t="s">
        <v>30</v>
      </c>
      <c r="M492">
        <v>4</v>
      </c>
      <c r="N492">
        <v>4</v>
      </c>
      <c r="O492">
        <v>22</v>
      </c>
      <c r="P492" t="s">
        <v>21</v>
      </c>
      <c r="Q492" s="1"/>
      <c r="U492">
        <v>1</v>
      </c>
      <c r="V492">
        <v>1</v>
      </c>
      <c r="W492">
        <v>0</v>
      </c>
    </row>
    <row r="493" spans="1:23" ht="16.5" x14ac:dyDescent="0.3">
      <c r="A493" t="s">
        <v>560</v>
      </c>
      <c r="B493" t="s">
        <v>24</v>
      </c>
      <c r="C493" t="s">
        <v>25</v>
      </c>
      <c r="D493" t="s">
        <v>37</v>
      </c>
      <c r="E493">
        <v>21</v>
      </c>
      <c r="F493" t="s">
        <v>57</v>
      </c>
      <c r="G493" t="s">
        <v>38</v>
      </c>
      <c r="H493" s="1">
        <v>45924</v>
      </c>
      <c r="I493" s="2">
        <v>0.3</v>
      </c>
      <c r="J493" t="s">
        <v>64</v>
      </c>
      <c r="K493" s="3">
        <v>3150</v>
      </c>
      <c r="L493" t="s">
        <v>58</v>
      </c>
      <c r="M493">
        <v>3</v>
      </c>
      <c r="N493">
        <v>3</v>
      </c>
      <c r="O493">
        <v>35</v>
      </c>
      <c r="P493" t="s">
        <v>21</v>
      </c>
      <c r="Q493" s="1"/>
      <c r="U493">
        <v>1</v>
      </c>
      <c r="V493">
        <v>1</v>
      </c>
      <c r="W493">
        <v>0</v>
      </c>
    </row>
    <row r="494" spans="1:23" ht="16.5" x14ac:dyDescent="0.3">
      <c r="A494" t="s">
        <v>561</v>
      </c>
      <c r="B494" t="s">
        <v>35</v>
      </c>
      <c r="C494" t="s">
        <v>36</v>
      </c>
      <c r="D494" t="s">
        <v>37</v>
      </c>
      <c r="E494">
        <v>22</v>
      </c>
      <c r="F494" t="s">
        <v>57</v>
      </c>
      <c r="G494" t="s">
        <v>52</v>
      </c>
      <c r="H494" s="1">
        <v>45941</v>
      </c>
      <c r="I494" s="2">
        <v>0.2</v>
      </c>
      <c r="J494" t="s">
        <v>64</v>
      </c>
      <c r="K494" s="3">
        <v>4250</v>
      </c>
      <c r="L494" t="s">
        <v>30</v>
      </c>
      <c r="M494">
        <v>4</v>
      </c>
      <c r="N494">
        <v>5</v>
      </c>
      <c r="O494">
        <v>34</v>
      </c>
      <c r="P494" t="s">
        <v>21</v>
      </c>
      <c r="Q494" s="1"/>
      <c r="U494">
        <v>1</v>
      </c>
      <c r="V494">
        <v>1</v>
      </c>
      <c r="W494">
        <v>0</v>
      </c>
    </row>
    <row r="495" spans="1:23" ht="16.5" x14ac:dyDescent="0.3">
      <c r="A495" t="s">
        <v>562</v>
      </c>
      <c r="B495" t="s">
        <v>48</v>
      </c>
      <c r="C495" t="s">
        <v>36</v>
      </c>
      <c r="D495" t="s">
        <v>26</v>
      </c>
      <c r="E495">
        <v>40</v>
      </c>
      <c r="F495" t="s">
        <v>46</v>
      </c>
      <c r="G495" t="s">
        <v>38</v>
      </c>
      <c r="H495" s="1">
        <v>44473</v>
      </c>
      <c r="I495" s="2">
        <v>4.2</v>
      </c>
      <c r="J495" t="s">
        <v>50</v>
      </c>
      <c r="K495" s="3">
        <v>10450</v>
      </c>
      <c r="L495" t="s">
        <v>30</v>
      </c>
      <c r="M495">
        <v>3</v>
      </c>
      <c r="N495">
        <v>5</v>
      </c>
      <c r="O495">
        <v>12</v>
      </c>
      <c r="P495" t="s">
        <v>21</v>
      </c>
      <c r="Q495" s="1"/>
      <c r="U495">
        <v>1</v>
      </c>
      <c r="V495">
        <v>1</v>
      </c>
      <c r="W495">
        <v>0</v>
      </c>
    </row>
    <row r="496" spans="1:23" ht="16.5" x14ac:dyDescent="0.3">
      <c r="A496" t="s">
        <v>563</v>
      </c>
      <c r="B496" t="s">
        <v>24</v>
      </c>
      <c r="C496" t="s">
        <v>36</v>
      </c>
      <c r="D496" t="s">
        <v>37</v>
      </c>
      <c r="E496">
        <v>32</v>
      </c>
      <c r="F496" t="s">
        <v>27</v>
      </c>
      <c r="G496" t="s">
        <v>38</v>
      </c>
      <c r="H496" s="1">
        <v>44990</v>
      </c>
      <c r="I496" s="2">
        <v>2.5</v>
      </c>
      <c r="J496" t="s">
        <v>29</v>
      </c>
      <c r="K496" s="3">
        <v>4100</v>
      </c>
      <c r="L496" t="s">
        <v>58</v>
      </c>
      <c r="M496">
        <v>3</v>
      </c>
      <c r="N496">
        <v>2</v>
      </c>
      <c r="O496">
        <v>1</v>
      </c>
      <c r="P496" t="s">
        <v>22</v>
      </c>
      <c r="Q496" s="1">
        <v>45921</v>
      </c>
      <c r="R496" t="s">
        <v>40</v>
      </c>
      <c r="S496" t="s">
        <v>259</v>
      </c>
      <c r="T496" t="s">
        <v>60</v>
      </c>
      <c r="U496">
        <v>1</v>
      </c>
      <c r="V496">
        <v>0</v>
      </c>
      <c r="W496">
        <v>1</v>
      </c>
    </row>
    <row r="497" spans="1:23" ht="16.5" x14ac:dyDescent="0.3">
      <c r="A497" t="s">
        <v>564</v>
      </c>
      <c r="B497" t="s">
        <v>73</v>
      </c>
      <c r="C497" t="s">
        <v>36</v>
      </c>
      <c r="D497" t="s">
        <v>26</v>
      </c>
      <c r="E497">
        <v>34</v>
      </c>
      <c r="F497" t="s">
        <v>27</v>
      </c>
      <c r="G497" t="s">
        <v>52</v>
      </c>
      <c r="H497" s="1">
        <v>45227</v>
      </c>
      <c r="I497" s="2">
        <v>2.2000000000000002</v>
      </c>
      <c r="J497" t="s">
        <v>29</v>
      </c>
      <c r="K497" s="3">
        <v>4600</v>
      </c>
      <c r="L497" t="s">
        <v>30</v>
      </c>
      <c r="M497">
        <v>3</v>
      </c>
      <c r="N497">
        <v>4</v>
      </c>
      <c r="O497">
        <v>28</v>
      </c>
      <c r="P497" t="s">
        <v>21</v>
      </c>
      <c r="Q497" s="1"/>
      <c r="U497">
        <v>1</v>
      </c>
      <c r="V497">
        <v>1</v>
      </c>
      <c r="W497">
        <v>0</v>
      </c>
    </row>
    <row r="498" spans="1:23" ht="16.5" x14ac:dyDescent="0.3">
      <c r="A498" t="s">
        <v>565</v>
      </c>
      <c r="B498" t="s">
        <v>70</v>
      </c>
      <c r="C498" t="s">
        <v>45</v>
      </c>
      <c r="D498" t="s">
        <v>26</v>
      </c>
      <c r="E498">
        <v>36</v>
      </c>
      <c r="F498" t="s">
        <v>46</v>
      </c>
      <c r="G498" t="s">
        <v>38</v>
      </c>
      <c r="H498" s="1">
        <v>44823</v>
      </c>
      <c r="I498" s="2">
        <v>3.3</v>
      </c>
      <c r="J498" t="s">
        <v>50</v>
      </c>
      <c r="K498" s="3">
        <v>6200</v>
      </c>
      <c r="L498" t="s">
        <v>58</v>
      </c>
      <c r="M498">
        <v>3</v>
      </c>
      <c r="N498">
        <v>2</v>
      </c>
      <c r="O498">
        <v>33</v>
      </c>
      <c r="P498" t="s">
        <v>21</v>
      </c>
      <c r="Q498" s="1"/>
      <c r="U498">
        <v>1</v>
      </c>
      <c r="V498">
        <v>1</v>
      </c>
      <c r="W498">
        <v>0</v>
      </c>
    </row>
    <row r="499" spans="1:23" ht="16.5" x14ac:dyDescent="0.3">
      <c r="A499" t="s">
        <v>566</v>
      </c>
      <c r="B499" t="s">
        <v>48</v>
      </c>
      <c r="C499" t="s">
        <v>25</v>
      </c>
      <c r="D499" t="s">
        <v>26</v>
      </c>
      <c r="E499">
        <v>26</v>
      </c>
      <c r="F499" t="s">
        <v>27</v>
      </c>
      <c r="G499" t="s">
        <v>38</v>
      </c>
      <c r="H499" s="1">
        <v>45337</v>
      </c>
      <c r="I499" s="2">
        <v>1.9</v>
      </c>
      <c r="J499" t="s">
        <v>29</v>
      </c>
      <c r="K499" s="3">
        <v>6900</v>
      </c>
      <c r="L499" t="s">
        <v>30</v>
      </c>
      <c r="M499">
        <v>4</v>
      </c>
      <c r="N499">
        <v>3</v>
      </c>
      <c r="O499">
        <v>14</v>
      </c>
      <c r="P499" t="s">
        <v>21</v>
      </c>
      <c r="Q499" s="1"/>
      <c r="U499">
        <v>1</v>
      </c>
      <c r="V499">
        <v>1</v>
      </c>
      <c r="W499">
        <v>0</v>
      </c>
    </row>
    <row r="500" spans="1:23" ht="16.5" x14ac:dyDescent="0.3">
      <c r="A500" t="s">
        <v>567</v>
      </c>
      <c r="B500" t="s">
        <v>48</v>
      </c>
      <c r="C500" t="s">
        <v>87</v>
      </c>
      <c r="D500" t="s">
        <v>37</v>
      </c>
      <c r="E500">
        <v>44</v>
      </c>
      <c r="F500" t="s">
        <v>46</v>
      </c>
      <c r="G500" t="s">
        <v>38</v>
      </c>
      <c r="H500" s="1">
        <v>41876</v>
      </c>
      <c r="I500" s="2">
        <v>11.4</v>
      </c>
      <c r="J500" t="s">
        <v>39</v>
      </c>
      <c r="K500" s="3">
        <v>13550</v>
      </c>
      <c r="L500" t="s">
        <v>30</v>
      </c>
      <c r="M500">
        <v>2</v>
      </c>
      <c r="N500">
        <v>4</v>
      </c>
      <c r="O500">
        <v>26</v>
      </c>
      <c r="P500" t="s">
        <v>21</v>
      </c>
      <c r="Q500" s="1"/>
      <c r="U500">
        <v>1</v>
      </c>
      <c r="V500">
        <v>1</v>
      </c>
      <c r="W500">
        <v>0</v>
      </c>
    </row>
    <row r="501" spans="1:23" ht="16.5" x14ac:dyDescent="0.3">
      <c r="A501" t="s">
        <v>568</v>
      </c>
      <c r="B501" t="s">
        <v>44</v>
      </c>
      <c r="C501" t="s">
        <v>45</v>
      </c>
      <c r="D501" t="s">
        <v>37</v>
      </c>
      <c r="E501">
        <v>39</v>
      </c>
      <c r="F501" t="s">
        <v>46</v>
      </c>
      <c r="G501" t="s">
        <v>28</v>
      </c>
      <c r="H501" s="1">
        <v>44312</v>
      </c>
      <c r="I501" s="2">
        <v>4.7</v>
      </c>
      <c r="J501" t="s">
        <v>50</v>
      </c>
      <c r="K501" s="3">
        <v>9350</v>
      </c>
      <c r="L501" t="s">
        <v>58</v>
      </c>
      <c r="M501">
        <v>3</v>
      </c>
      <c r="N501">
        <v>3</v>
      </c>
      <c r="O501">
        <v>20</v>
      </c>
      <c r="P501" t="s">
        <v>21</v>
      </c>
      <c r="Q501" s="1"/>
      <c r="U501">
        <v>1</v>
      </c>
      <c r="V501">
        <v>1</v>
      </c>
      <c r="W501">
        <v>0</v>
      </c>
    </row>
    <row r="502" spans="1:23" ht="16.5" x14ac:dyDescent="0.3">
      <c r="A502" t="s">
        <v>569</v>
      </c>
      <c r="B502" t="s">
        <v>48</v>
      </c>
      <c r="C502" t="s">
        <v>87</v>
      </c>
      <c r="D502" t="s">
        <v>26</v>
      </c>
      <c r="E502">
        <v>43</v>
      </c>
      <c r="F502" t="s">
        <v>46</v>
      </c>
      <c r="G502" t="s">
        <v>38</v>
      </c>
      <c r="H502" s="1">
        <v>43199</v>
      </c>
      <c r="I502" s="2">
        <v>7.7</v>
      </c>
      <c r="J502" t="s">
        <v>39</v>
      </c>
      <c r="K502" s="3">
        <v>16050</v>
      </c>
      <c r="L502" t="s">
        <v>30</v>
      </c>
      <c r="M502">
        <v>2</v>
      </c>
      <c r="N502">
        <v>3</v>
      </c>
      <c r="O502">
        <v>42</v>
      </c>
      <c r="P502" t="s">
        <v>21</v>
      </c>
      <c r="Q502" s="1"/>
      <c r="U502">
        <v>1</v>
      </c>
      <c r="V502">
        <v>1</v>
      </c>
      <c r="W502">
        <v>0</v>
      </c>
    </row>
    <row r="503" spans="1:23" ht="16.5" x14ac:dyDescent="0.3">
      <c r="A503" t="s">
        <v>570</v>
      </c>
      <c r="B503" t="s">
        <v>35</v>
      </c>
      <c r="C503" t="s">
        <v>36</v>
      </c>
      <c r="D503" t="s">
        <v>26</v>
      </c>
      <c r="E503">
        <v>38</v>
      </c>
      <c r="F503" t="s">
        <v>46</v>
      </c>
      <c r="G503" t="s">
        <v>28</v>
      </c>
      <c r="H503" s="1">
        <v>44840</v>
      </c>
      <c r="I503" s="2">
        <v>3.2</v>
      </c>
      <c r="J503" t="s">
        <v>50</v>
      </c>
      <c r="K503" s="3">
        <v>3550</v>
      </c>
      <c r="L503" t="s">
        <v>30</v>
      </c>
      <c r="M503">
        <v>4</v>
      </c>
      <c r="N503">
        <v>3</v>
      </c>
      <c r="O503">
        <v>34</v>
      </c>
      <c r="P503" t="s">
        <v>21</v>
      </c>
      <c r="Q503" s="1"/>
      <c r="U503">
        <v>1</v>
      </c>
      <c r="V503">
        <v>1</v>
      </c>
      <c r="W503">
        <v>0</v>
      </c>
    </row>
    <row r="504" spans="1:23" ht="16.5" x14ac:dyDescent="0.3">
      <c r="A504" t="s">
        <v>571</v>
      </c>
      <c r="B504" t="s">
        <v>24</v>
      </c>
      <c r="C504" t="s">
        <v>36</v>
      </c>
      <c r="D504" t="s">
        <v>37</v>
      </c>
      <c r="E504">
        <v>31</v>
      </c>
      <c r="F504" t="s">
        <v>27</v>
      </c>
      <c r="G504" t="s">
        <v>38</v>
      </c>
      <c r="H504" s="1">
        <v>45312</v>
      </c>
      <c r="I504" s="2">
        <v>1.1000000000000001</v>
      </c>
      <c r="J504" t="s">
        <v>29</v>
      </c>
      <c r="K504" s="3">
        <v>3400</v>
      </c>
      <c r="L504" t="s">
        <v>30</v>
      </c>
      <c r="M504">
        <v>2</v>
      </c>
      <c r="N504">
        <v>2</v>
      </c>
      <c r="O504">
        <v>25</v>
      </c>
      <c r="P504" t="s">
        <v>22</v>
      </c>
      <c r="Q504" s="1">
        <v>45696</v>
      </c>
      <c r="R504" t="s">
        <v>40</v>
      </c>
      <c r="S504" t="s">
        <v>103</v>
      </c>
      <c r="T504" t="s">
        <v>473</v>
      </c>
      <c r="U504">
        <v>1</v>
      </c>
      <c r="V504">
        <v>0</v>
      </c>
      <c r="W504">
        <v>1</v>
      </c>
    </row>
    <row r="505" spans="1:23" ht="16.5" x14ac:dyDescent="0.3">
      <c r="A505" t="s">
        <v>572</v>
      </c>
      <c r="B505" t="s">
        <v>44</v>
      </c>
      <c r="C505" t="s">
        <v>36</v>
      </c>
      <c r="D505" t="s">
        <v>37</v>
      </c>
      <c r="E505">
        <v>32</v>
      </c>
      <c r="F505" t="s">
        <v>27</v>
      </c>
      <c r="G505" t="s">
        <v>28</v>
      </c>
      <c r="H505" s="1">
        <v>43224</v>
      </c>
      <c r="I505" s="2">
        <v>7.7</v>
      </c>
      <c r="J505" t="s">
        <v>39</v>
      </c>
      <c r="K505" s="3">
        <v>7400</v>
      </c>
      <c r="L505" t="s">
        <v>58</v>
      </c>
      <c r="M505">
        <v>3</v>
      </c>
      <c r="N505">
        <v>3</v>
      </c>
      <c r="O505">
        <v>16</v>
      </c>
      <c r="P505" t="s">
        <v>21</v>
      </c>
      <c r="Q505" s="1"/>
      <c r="U505">
        <v>1</v>
      </c>
      <c r="V505">
        <v>1</v>
      </c>
      <c r="W505">
        <v>0</v>
      </c>
    </row>
    <row r="506" spans="1:23" ht="16.5" x14ac:dyDescent="0.3">
      <c r="A506" t="s">
        <v>573</v>
      </c>
      <c r="B506" t="s">
        <v>55</v>
      </c>
      <c r="C506" t="s">
        <v>36</v>
      </c>
      <c r="D506" t="s">
        <v>26</v>
      </c>
      <c r="E506">
        <v>27</v>
      </c>
      <c r="F506" t="s">
        <v>27</v>
      </c>
      <c r="G506" t="s">
        <v>28</v>
      </c>
      <c r="H506" s="1">
        <v>44458</v>
      </c>
      <c r="I506" s="2">
        <v>4.3</v>
      </c>
      <c r="J506" t="s">
        <v>50</v>
      </c>
      <c r="K506" s="3">
        <v>6900</v>
      </c>
      <c r="L506" t="s">
        <v>30</v>
      </c>
      <c r="M506">
        <v>3</v>
      </c>
      <c r="N506">
        <v>3</v>
      </c>
      <c r="O506">
        <v>18</v>
      </c>
      <c r="P506" t="s">
        <v>21</v>
      </c>
      <c r="Q506" s="1"/>
      <c r="U506">
        <v>1</v>
      </c>
      <c r="V506">
        <v>1</v>
      </c>
      <c r="W506">
        <v>0</v>
      </c>
    </row>
    <row r="507" spans="1:23" ht="16.5" x14ac:dyDescent="0.3">
      <c r="A507" t="s">
        <v>574</v>
      </c>
      <c r="B507" t="s">
        <v>48</v>
      </c>
      <c r="C507" t="s">
        <v>25</v>
      </c>
      <c r="D507" t="s">
        <v>26</v>
      </c>
      <c r="E507">
        <v>25</v>
      </c>
      <c r="F507" t="s">
        <v>57</v>
      </c>
      <c r="G507" t="s">
        <v>28</v>
      </c>
      <c r="H507" s="1">
        <v>45242</v>
      </c>
      <c r="I507" s="2">
        <v>2.1</v>
      </c>
      <c r="J507" t="s">
        <v>29</v>
      </c>
      <c r="K507" s="3">
        <v>6250</v>
      </c>
      <c r="L507" t="s">
        <v>58</v>
      </c>
      <c r="M507">
        <v>4</v>
      </c>
      <c r="N507">
        <v>3</v>
      </c>
      <c r="O507">
        <v>30</v>
      </c>
      <c r="P507" t="s">
        <v>21</v>
      </c>
      <c r="Q507" s="1"/>
      <c r="U507">
        <v>1</v>
      </c>
      <c r="V507">
        <v>1</v>
      </c>
      <c r="W507">
        <v>0</v>
      </c>
    </row>
    <row r="508" spans="1:23" ht="16.5" x14ac:dyDescent="0.3">
      <c r="A508" t="s">
        <v>575</v>
      </c>
      <c r="B508" t="s">
        <v>48</v>
      </c>
      <c r="C508" t="s">
        <v>25</v>
      </c>
      <c r="D508" t="s">
        <v>37</v>
      </c>
      <c r="E508">
        <v>36</v>
      </c>
      <c r="F508" t="s">
        <v>46</v>
      </c>
      <c r="G508" t="s">
        <v>38</v>
      </c>
      <c r="H508" s="1">
        <v>42960</v>
      </c>
      <c r="I508" s="2">
        <v>8.4</v>
      </c>
      <c r="J508" t="s">
        <v>39</v>
      </c>
      <c r="K508" s="3">
        <v>5150</v>
      </c>
      <c r="L508" t="s">
        <v>30</v>
      </c>
      <c r="M508">
        <v>3</v>
      </c>
      <c r="N508">
        <v>3</v>
      </c>
      <c r="O508">
        <v>38</v>
      </c>
      <c r="P508" t="s">
        <v>21</v>
      </c>
      <c r="Q508" s="1"/>
      <c r="U508">
        <v>1</v>
      </c>
      <c r="V508">
        <v>1</v>
      </c>
      <c r="W508">
        <v>0</v>
      </c>
    </row>
    <row r="509" spans="1:23" ht="16.5" x14ac:dyDescent="0.3">
      <c r="A509" t="s">
        <v>576</v>
      </c>
      <c r="B509" t="s">
        <v>48</v>
      </c>
      <c r="C509" t="s">
        <v>25</v>
      </c>
      <c r="D509" t="s">
        <v>37</v>
      </c>
      <c r="E509">
        <v>23</v>
      </c>
      <c r="F509" t="s">
        <v>57</v>
      </c>
      <c r="G509" t="s">
        <v>38</v>
      </c>
      <c r="H509" s="1">
        <v>45580</v>
      </c>
      <c r="I509" s="2">
        <v>1.2</v>
      </c>
      <c r="J509" t="s">
        <v>29</v>
      </c>
      <c r="K509" s="3">
        <v>6400</v>
      </c>
      <c r="L509" t="s">
        <v>30</v>
      </c>
      <c r="M509">
        <v>3</v>
      </c>
      <c r="N509">
        <v>3</v>
      </c>
      <c r="O509">
        <v>9</v>
      </c>
      <c r="P509" t="s">
        <v>21</v>
      </c>
      <c r="Q509" s="1"/>
      <c r="U509">
        <v>1</v>
      </c>
      <c r="V509">
        <v>1</v>
      </c>
      <c r="W509">
        <v>0</v>
      </c>
    </row>
    <row r="510" spans="1:23" ht="16.5" x14ac:dyDescent="0.3">
      <c r="A510" t="s">
        <v>577</v>
      </c>
      <c r="B510" t="s">
        <v>44</v>
      </c>
      <c r="C510" t="s">
        <v>36</v>
      </c>
      <c r="D510" t="s">
        <v>26</v>
      </c>
      <c r="E510">
        <v>43</v>
      </c>
      <c r="F510" t="s">
        <v>46</v>
      </c>
      <c r="G510" t="s">
        <v>28</v>
      </c>
      <c r="H510" s="1">
        <v>40589</v>
      </c>
      <c r="I510" s="2">
        <v>14.9</v>
      </c>
      <c r="J510" t="s">
        <v>39</v>
      </c>
      <c r="K510" s="3">
        <v>6200</v>
      </c>
      <c r="L510" t="s">
        <v>30</v>
      </c>
      <c r="M510">
        <v>2</v>
      </c>
      <c r="N510">
        <v>5</v>
      </c>
      <c r="O510">
        <v>33</v>
      </c>
      <c r="P510" t="s">
        <v>21</v>
      </c>
      <c r="Q510" s="1"/>
      <c r="U510">
        <v>1</v>
      </c>
      <c r="V510">
        <v>1</v>
      </c>
      <c r="W510">
        <v>0</v>
      </c>
    </row>
    <row r="511" spans="1:23" ht="16.5" x14ac:dyDescent="0.3">
      <c r="A511" t="s">
        <v>578</v>
      </c>
      <c r="B511" t="s">
        <v>70</v>
      </c>
      <c r="C511" t="s">
        <v>25</v>
      </c>
      <c r="D511" t="s">
        <v>37</v>
      </c>
      <c r="E511">
        <v>24</v>
      </c>
      <c r="F511" t="s">
        <v>57</v>
      </c>
      <c r="G511" t="s">
        <v>52</v>
      </c>
      <c r="H511" s="1">
        <v>45252</v>
      </c>
      <c r="I511" s="2">
        <v>2.1</v>
      </c>
      <c r="J511" t="s">
        <v>29</v>
      </c>
      <c r="K511" s="3">
        <v>3550</v>
      </c>
      <c r="L511" t="s">
        <v>30</v>
      </c>
      <c r="M511">
        <v>3</v>
      </c>
      <c r="N511">
        <v>2</v>
      </c>
      <c r="O511">
        <v>29</v>
      </c>
      <c r="P511" t="s">
        <v>21</v>
      </c>
      <c r="Q511" s="1"/>
      <c r="U511">
        <v>1</v>
      </c>
      <c r="V511">
        <v>1</v>
      </c>
      <c r="W511">
        <v>0</v>
      </c>
    </row>
    <row r="512" spans="1:23" ht="16.5" x14ac:dyDescent="0.3">
      <c r="A512" t="s">
        <v>579</v>
      </c>
      <c r="B512" t="s">
        <v>24</v>
      </c>
      <c r="C512" t="s">
        <v>25</v>
      </c>
      <c r="D512" t="s">
        <v>37</v>
      </c>
      <c r="E512">
        <v>25</v>
      </c>
      <c r="F512" t="s">
        <v>57</v>
      </c>
      <c r="G512" t="s">
        <v>38</v>
      </c>
      <c r="H512" s="1">
        <v>45560</v>
      </c>
      <c r="I512" s="2">
        <v>1.3</v>
      </c>
      <c r="J512" t="s">
        <v>29</v>
      </c>
      <c r="K512" s="3">
        <v>3150</v>
      </c>
      <c r="L512" t="s">
        <v>30</v>
      </c>
      <c r="M512">
        <v>4</v>
      </c>
      <c r="N512">
        <v>3</v>
      </c>
      <c r="O512">
        <v>14</v>
      </c>
      <c r="P512" t="s">
        <v>21</v>
      </c>
      <c r="Q512" s="1"/>
      <c r="U512">
        <v>1</v>
      </c>
      <c r="V512">
        <v>1</v>
      </c>
      <c r="W512">
        <v>0</v>
      </c>
    </row>
    <row r="513" spans="1:23" ht="16.5" x14ac:dyDescent="0.3">
      <c r="A513" t="s">
        <v>580</v>
      </c>
      <c r="B513" t="s">
        <v>48</v>
      </c>
      <c r="C513" t="s">
        <v>25</v>
      </c>
      <c r="D513" t="s">
        <v>26</v>
      </c>
      <c r="E513">
        <v>23</v>
      </c>
      <c r="F513" t="s">
        <v>57</v>
      </c>
      <c r="G513" t="s">
        <v>38</v>
      </c>
      <c r="H513" s="1">
        <v>45643</v>
      </c>
      <c r="I513" s="2">
        <v>1</v>
      </c>
      <c r="J513" t="s">
        <v>64</v>
      </c>
      <c r="K513" s="3">
        <v>7100</v>
      </c>
      <c r="L513" t="s">
        <v>30</v>
      </c>
      <c r="M513">
        <v>5</v>
      </c>
      <c r="N513">
        <v>4</v>
      </c>
      <c r="O513">
        <v>14</v>
      </c>
      <c r="P513" t="s">
        <v>21</v>
      </c>
      <c r="Q513" s="1"/>
      <c r="U513">
        <v>1</v>
      </c>
      <c r="V513">
        <v>1</v>
      </c>
      <c r="W513">
        <v>0</v>
      </c>
    </row>
    <row r="514" spans="1:23" ht="16.5" x14ac:dyDescent="0.3">
      <c r="A514" t="s">
        <v>581</v>
      </c>
      <c r="B514" t="s">
        <v>70</v>
      </c>
      <c r="C514" t="s">
        <v>25</v>
      </c>
      <c r="D514" t="s">
        <v>37</v>
      </c>
      <c r="E514">
        <v>33</v>
      </c>
      <c r="F514" t="s">
        <v>27</v>
      </c>
      <c r="G514" t="s">
        <v>28</v>
      </c>
      <c r="H514" s="1">
        <v>43620</v>
      </c>
      <c r="I514" s="2">
        <v>6.6</v>
      </c>
      <c r="J514" t="s">
        <v>39</v>
      </c>
      <c r="K514" s="3">
        <v>4300</v>
      </c>
      <c r="L514" t="s">
        <v>30</v>
      </c>
      <c r="M514">
        <v>5</v>
      </c>
      <c r="N514">
        <v>4</v>
      </c>
      <c r="O514">
        <v>24</v>
      </c>
      <c r="P514" t="s">
        <v>21</v>
      </c>
      <c r="Q514" s="1"/>
      <c r="U514">
        <v>1</v>
      </c>
      <c r="V514">
        <v>1</v>
      </c>
      <c r="W514">
        <v>0</v>
      </c>
    </row>
    <row r="515" spans="1:23" ht="16.5" x14ac:dyDescent="0.3">
      <c r="A515" t="s">
        <v>582</v>
      </c>
      <c r="B515" t="s">
        <v>73</v>
      </c>
      <c r="C515" t="s">
        <v>25</v>
      </c>
      <c r="D515" t="s">
        <v>37</v>
      </c>
      <c r="E515">
        <v>26</v>
      </c>
      <c r="F515" t="s">
        <v>27</v>
      </c>
      <c r="G515" t="s">
        <v>28</v>
      </c>
      <c r="H515" s="1">
        <v>45546</v>
      </c>
      <c r="I515" s="2">
        <v>1.3</v>
      </c>
      <c r="J515" t="s">
        <v>29</v>
      </c>
      <c r="K515" s="3">
        <v>3650</v>
      </c>
      <c r="L515" t="s">
        <v>30</v>
      </c>
      <c r="M515">
        <v>4</v>
      </c>
      <c r="N515">
        <v>2</v>
      </c>
      <c r="O515">
        <v>31</v>
      </c>
      <c r="P515" t="s">
        <v>21</v>
      </c>
      <c r="Q515" s="1"/>
      <c r="U515">
        <v>1</v>
      </c>
      <c r="V515">
        <v>1</v>
      </c>
      <c r="W515">
        <v>0</v>
      </c>
    </row>
    <row r="516" spans="1:23" ht="16.5" x14ac:dyDescent="0.3">
      <c r="A516" t="s">
        <v>583</v>
      </c>
      <c r="B516" t="s">
        <v>48</v>
      </c>
      <c r="C516" t="s">
        <v>36</v>
      </c>
      <c r="D516" t="s">
        <v>26</v>
      </c>
      <c r="E516">
        <v>32</v>
      </c>
      <c r="F516" t="s">
        <v>27</v>
      </c>
      <c r="G516" t="s">
        <v>28</v>
      </c>
      <c r="H516" s="1">
        <v>44306</v>
      </c>
      <c r="I516" s="2">
        <v>4.7</v>
      </c>
      <c r="J516" t="s">
        <v>50</v>
      </c>
      <c r="K516" s="3">
        <v>5450</v>
      </c>
      <c r="L516" t="s">
        <v>30</v>
      </c>
      <c r="M516">
        <v>3</v>
      </c>
      <c r="N516">
        <v>2</v>
      </c>
      <c r="O516">
        <v>34</v>
      </c>
      <c r="P516" t="s">
        <v>21</v>
      </c>
      <c r="Q516" s="1"/>
      <c r="U516">
        <v>1</v>
      </c>
      <c r="V516">
        <v>1</v>
      </c>
      <c r="W516">
        <v>0</v>
      </c>
    </row>
    <row r="517" spans="1:23" ht="16.5" x14ac:dyDescent="0.3">
      <c r="A517" t="s">
        <v>584</v>
      </c>
      <c r="B517" t="s">
        <v>55</v>
      </c>
      <c r="C517" t="s">
        <v>45</v>
      </c>
      <c r="D517" t="s">
        <v>26</v>
      </c>
      <c r="E517">
        <v>44</v>
      </c>
      <c r="F517" t="s">
        <v>46</v>
      </c>
      <c r="G517" t="s">
        <v>38</v>
      </c>
      <c r="H517" s="1">
        <v>44305</v>
      </c>
      <c r="I517" s="2">
        <v>4.7</v>
      </c>
      <c r="J517" t="s">
        <v>50</v>
      </c>
      <c r="K517" s="3">
        <v>9000</v>
      </c>
      <c r="L517" t="s">
        <v>30</v>
      </c>
      <c r="M517">
        <v>3</v>
      </c>
      <c r="N517">
        <v>3</v>
      </c>
      <c r="O517">
        <v>33</v>
      </c>
      <c r="P517" t="s">
        <v>21</v>
      </c>
      <c r="Q517" s="1"/>
      <c r="U517">
        <v>1</v>
      </c>
      <c r="V517">
        <v>1</v>
      </c>
      <c r="W517">
        <v>0</v>
      </c>
    </row>
    <row r="518" spans="1:23" ht="16.5" x14ac:dyDescent="0.3">
      <c r="A518" t="s">
        <v>585</v>
      </c>
      <c r="B518" t="s">
        <v>35</v>
      </c>
      <c r="C518" t="s">
        <v>36</v>
      </c>
      <c r="D518" t="s">
        <v>26</v>
      </c>
      <c r="E518">
        <v>32</v>
      </c>
      <c r="F518" t="s">
        <v>27</v>
      </c>
      <c r="G518" t="s">
        <v>28</v>
      </c>
      <c r="H518" s="1">
        <v>43801</v>
      </c>
      <c r="I518" s="2">
        <v>6.1</v>
      </c>
      <c r="J518" t="s">
        <v>39</v>
      </c>
      <c r="K518" s="3">
        <v>4150</v>
      </c>
      <c r="L518" t="s">
        <v>30</v>
      </c>
      <c r="M518">
        <v>3</v>
      </c>
      <c r="N518">
        <v>3</v>
      </c>
      <c r="O518">
        <v>39</v>
      </c>
      <c r="P518" t="s">
        <v>21</v>
      </c>
      <c r="Q518" s="1"/>
      <c r="U518">
        <v>1</v>
      </c>
      <c r="V518">
        <v>1</v>
      </c>
      <c r="W518">
        <v>0</v>
      </c>
    </row>
    <row r="519" spans="1:23" ht="16.5" x14ac:dyDescent="0.3">
      <c r="A519" t="s">
        <v>586</v>
      </c>
      <c r="B519" t="s">
        <v>24</v>
      </c>
      <c r="C519" t="s">
        <v>87</v>
      </c>
      <c r="D519" t="s">
        <v>26</v>
      </c>
      <c r="E519">
        <v>40</v>
      </c>
      <c r="F519" t="s">
        <v>46</v>
      </c>
      <c r="G519" t="s">
        <v>28</v>
      </c>
      <c r="H519" s="1">
        <v>41116</v>
      </c>
      <c r="I519" s="2">
        <v>13.4</v>
      </c>
      <c r="J519" t="s">
        <v>39</v>
      </c>
      <c r="K519" s="3">
        <v>6050</v>
      </c>
      <c r="L519" t="s">
        <v>58</v>
      </c>
      <c r="M519">
        <v>3</v>
      </c>
      <c r="N519">
        <v>4</v>
      </c>
      <c r="O519">
        <v>14</v>
      </c>
      <c r="P519" t="s">
        <v>21</v>
      </c>
      <c r="Q519" s="1"/>
      <c r="U519">
        <v>1</v>
      </c>
      <c r="V519">
        <v>1</v>
      </c>
      <c r="W519">
        <v>0</v>
      </c>
    </row>
    <row r="520" spans="1:23" ht="16.5" x14ac:dyDescent="0.3">
      <c r="A520" t="s">
        <v>587</v>
      </c>
      <c r="B520" t="s">
        <v>35</v>
      </c>
      <c r="C520" t="s">
        <v>25</v>
      </c>
      <c r="D520" t="s">
        <v>26</v>
      </c>
      <c r="E520">
        <v>21</v>
      </c>
      <c r="F520" t="s">
        <v>57</v>
      </c>
      <c r="G520" t="s">
        <v>38</v>
      </c>
      <c r="H520" s="1">
        <v>45977</v>
      </c>
      <c r="I520" s="2">
        <v>0.1</v>
      </c>
      <c r="J520" t="s">
        <v>64</v>
      </c>
      <c r="K520" s="3">
        <v>3450</v>
      </c>
      <c r="L520" t="s">
        <v>58</v>
      </c>
      <c r="M520">
        <v>5</v>
      </c>
      <c r="N520">
        <v>5</v>
      </c>
      <c r="O520">
        <v>20</v>
      </c>
      <c r="P520" t="s">
        <v>21</v>
      </c>
      <c r="Q520" s="1"/>
      <c r="U520">
        <v>1</v>
      </c>
      <c r="V520">
        <v>1</v>
      </c>
      <c r="W520">
        <v>0</v>
      </c>
    </row>
    <row r="521" spans="1:23" ht="16.5" x14ac:dyDescent="0.3">
      <c r="A521" t="s">
        <v>588</v>
      </c>
      <c r="B521" t="s">
        <v>44</v>
      </c>
      <c r="C521" t="s">
        <v>25</v>
      </c>
      <c r="D521" t="s">
        <v>26</v>
      </c>
      <c r="E521">
        <v>21</v>
      </c>
      <c r="F521" t="s">
        <v>57</v>
      </c>
      <c r="G521" t="s">
        <v>38</v>
      </c>
      <c r="H521" s="1">
        <v>45944</v>
      </c>
      <c r="I521" s="2">
        <v>0.2</v>
      </c>
      <c r="J521" t="s">
        <v>64</v>
      </c>
      <c r="K521" s="3">
        <v>4550</v>
      </c>
      <c r="L521" t="s">
        <v>30</v>
      </c>
      <c r="M521">
        <v>4</v>
      </c>
      <c r="N521">
        <v>4</v>
      </c>
      <c r="O521">
        <v>38</v>
      </c>
      <c r="P521" t="s">
        <v>21</v>
      </c>
      <c r="Q521" s="1"/>
      <c r="U521">
        <v>1</v>
      </c>
      <c r="V521">
        <v>1</v>
      </c>
      <c r="W521">
        <v>0</v>
      </c>
    </row>
    <row r="522" spans="1:23" ht="16.5" x14ac:dyDescent="0.3">
      <c r="A522" t="s">
        <v>589</v>
      </c>
      <c r="B522" t="s">
        <v>70</v>
      </c>
      <c r="C522" t="s">
        <v>87</v>
      </c>
      <c r="D522" t="s">
        <v>37</v>
      </c>
      <c r="E522">
        <v>41</v>
      </c>
      <c r="F522" t="s">
        <v>46</v>
      </c>
      <c r="G522" t="s">
        <v>52</v>
      </c>
      <c r="H522" s="1">
        <v>41185</v>
      </c>
      <c r="I522" s="2">
        <v>12.2</v>
      </c>
      <c r="J522" t="s">
        <v>39</v>
      </c>
      <c r="K522" s="3">
        <v>8900</v>
      </c>
      <c r="L522" t="s">
        <v>58</v>
      </c>
      <c r="M522">
        <v>3</v>
      </c>
      <c r="N522">
        <v>3</v>
      </c>
      <c r="O522">
        <v>15</v>
      </c>
      <c r="P522" t="s">
        <v>22</v>
      </c>
      <c r="Q522" s="1">
        <v>45658</v>
      </c>
      <c r="R522" t="s">
        <v>40</v>
      </c>
      <c r="S522" t="s">
        <v>107</v>
      </c>
      <c r="T522" t="s">
        <v>60</v>
      </c>
      <c r="U522">
        <v>1</v>
      </c>
      <c r="V522">
        <v>0</v>
      </c>
      <c r="W522">
        <v>1</v>
      </c>
    </row>
    <row r="523" spans="1:23" ht="16.5" x14ac:dyDescent="0.3">
      <c r="A523" t="s">
        <v>590</v>
      </c>
      <c r="B523" t="s">
        <v>44</v>
      </c>
      <c r="C523" t="s">
        <v>45</v>
      </c>
      <c r="D523" t="s">
        <v>26</v>
      </c>
      <c r="E523">
        <v>38</v>
      </c>
      <c r="F523" t="s">
        <v>46</v>
      </c>
      <c r="G523" t="s">
        <v>52</v>
      </c>
      <c r="H523" s="1">
        <v>41142</v>
      </c>
      <c r="I523" s="2">
        <v>13.4</v>
      </c>
      <c r="J523" t="s">
        <v>39</v>
      </c>
      <c r="K523" s="3">
        <v>10850</v>
      </c>
      <c r="L523" t="s">
        <v>30</v>
      </c>
      <c r="M523">
        <v>4</v>
      </c>
      <c r="N523">
        <v>3</v>
      </c>
      <c r="O523">
        <v>16</v>
      </c>
      <c r="P523" t="s">
        <v>21</v>
      </c>
      <c r="Q523" s="1"/>
      <c r="U523">
        <v>1</v>
      </c>
      <c r="V523">
        <v>1</v>
      </c>
      <c r="W523">
        <v>0</v>
      </c>
    </row>
    <row r="524" spans="1:23" ht="16.5" x14ac:dyDescent="0.3">
      <c r="A524" t="s">
        <v>591</v>
      </c>
      <c r="B524" t="s">
        <v>24</v>
      </c>
      <c r="C524" t="s">
        <v>36</v>
      </c>
      <c r="D524" t="s">
        <v>37</v>
      </c>
      <c r="E524">
        <v>36</v>
      </c>
      <c r="F524" t="s">
        <v>46</v>
      </c>
      <c r="G524" t="s">
        <v>28</v>
      </c>
      <c r="H524" s="1">
        <v>43784</v>
      </c>
      <c r="I524" s="2">
        <v>6.1</v>
      </c>
      <c r="J524" t="s">
        <v>39</v>
      </c>
      <c r="K524" s="3">
        <v>4450</v>
      </c>
      <c r="L524" t="s">
        <v>30</v>
      </c>
      <c r="M524">
        <v>4</v>
      </c>
      <c r="N524">
        <v>3</v>
      </c>
      <c r="O524">
        <v>19</v>
      </c>
      <c r="P524" t="s">
        <v>21</v>
      </c>
      <c r="Q524" s="1"/>
      <c r="U524">
        <v>1</v>
      </c>
      <c r="V524">
        <v>1</v>
      </c>
      <c r="W524">
        <v>0</v>
      </c>
    </row>
    <row r="525" spans="1:23" ht="16.5" x14ac:dyDescent="0.3">
      <c r="A525" t="s">
        <v>592</v>
      </c>
      <c r="B525" t="s">
        <v>55</v>
      </c>
      <c r="C525" t="s">
        <v>25</v>
      </c>
      <c r="D525" t="s">
        <v>37</v>
      </c>
      <c r="E525">
        <v>24</v>
      </c>
      <c r="F525" t="s">
        <v>57</v>
      </c>
      <c r="G525" t="s">
        <v>38</v>
      </c>
      <c r="H525" s="1">
        <v>45399</v>
      </c>
      <c r="I525" s="2">
        <v>1.7</v>
      </c>
      <c r="J525" t="s">
        <v>29</v>
      </c>
      <c r="K525" s="3">
        <v>4800</v>
      </c>
      <c r="L525" t="s">
        <v>30</v>
      </c>
      <c r="M525">
        <v>3</v>
      </c>
      <c r="N525">
        <v>4</v>
      </c>
      <c r="O525">
        <v>28</v>
      </c>
      <c r="P525" t="s">
        <v>21</v>
      </c>
      <c r="Q525" s="1"/>
      <c r="U525">
        <v>1</v>
      </c>
      <c r="V525">
        <v>1</v>
      </c>
      <c r="W525">
        <v>0</v>
      </c>
    </row>
    <row r="526" spans="1:23" ht="16.5" x14ac:dyDescent="0.3">
      <c r="A526" t="s">
        <v>593</v>
      </c>
      <c r="B526" t="s">
        <v>24</v>
      </c>
      <c r="C526" t="s">
        <v>25</v>
      </c>
      <c r="D526" t="s">
        <v>37</v>
      </c>
      <c r="E526">
        <v>21</v>
      </c>
      <c r="F526" t="s">
        <v>57</v>
      </c>
      <c r="G526" t="s">
        <v>28</v>
      </c>
      <c r="H526" s="1">
        <v>45941</v>
      </c>
      <c r="I526" s="2">
        <v>0.2</v>
      </c>
      <c r="J526" t="s">
        <v>64</v>
      </c>
      <c r="K526" s="3">
        <v>2350</v>
      </c>
      <c r="L526" t="s">
        <v>30</v>
      </c>
      <c r="M526">
        <v>3</v>
      </c>
      <c r="N526">
        <v>4</v>
      </c>
      <c r="O526">
        <v>17</v>
      </c>
      <c r="P526" t="s">
        <v>21</v>
      </c>
      <c r="Q526" s="1"/>
      <c r="U526">
        <v>1</v>
      </c>
      <c r="V526">
        <v>1</v>
      </c>
      <c r="W526">
        <v>0</v>
      </c>
    </row>
    <row r="527" spans="1:23" ht="16.5" x14ac:dyDescent="0.3">
      <c r="A527" t="s">
        <v>594</v>
      </c>
      <c r="B527" t="s">
        <v>24</v>
      </c>
      <c r="C527" t="s">
        <v>36</v>
      </c>
      <c r="D527" t="s">
        <v>37</v>
      </c>
      <c r="E527">
        <v>31</v>
      </c>
      <c r="F527" t="s">
        <v>27</v>
      </c>
      <c r="G527" t="s">
        <v>52</v>
      </c>
      <c r="H527" s="1">
        <v>43897</v>
      </c>
      <c r="I527" s="2">
        <v>5.8</v>
      </c>
      <c r="J527" t="s">
        <v>39</v>
      </c>
      <c r="K527" s="3">
        <v>3650</v>
      </c>
      <c r="L527" t="s">
        <v>58</v>
      </c>
      <c r="M527">
        <v>5</v>
      </c>
      <c r="N527">
        <v>3</v>
      </c>
      <c r="O527">
        <v>33</v>
      </c>
      <c r="P527" t="s">
        <v>21</v>
      </c>
      <c r="Q527" s="1"/>
      <c r="U527">
        <v>1</v>
      </c>
      <c r="V527">
        <v>1</v>
      </c>
      <c r="W527">
        <v>0</v>
      </c>
    </row>
    <row r="528" spans="1:23" ht="16.5" x14ac:dyDescent="0.3">
      <c r="A528" t="s">
        <v>595</v>
      </c>
      <c r="B528" t="s">
        <v>70</v>
      </c>
      <c r="C528" t="s">
        <v>25</v>
      </c>
      <c r="D528" t="s">
        <v>26</v>
      </c>
      <c r="E528">
        <v>34</v>
      </c>
      <c r="F528" t="s">
        <v>27</v>
      </c>
      <c r="G528" t="s">
        <v>38</v>
      </c>
      <c r="H528" s="1">
        <v>45045</v>
      </c>
      <c r="I528" s="2">
        <v>1.3</v>
      </c>
      <c r="J528" t="s">
        <v>29</v>
      </c>
      <c r="K528" s="3">
        <v>4150</v>
      </c>
      <c r="L528" t="s">
        <v>58</v>
      </c>
      <c r="M528">
        <v>2</v>
      </c>
      <c r="N528">
        <v>3</v>
      </c>
      <c r="O528">
        <v>13</v>
      </c>
      <c r="P528" t="s">
        <v>22</v>
      </c>
      <c r="Q528" s="1">
        <v>45537</v>
      </c>
      <c r="R528" t="s">
        <v>31</v>
      </c>
      <c r="S528" t="s">
        <v>259</v>
      </c>
      <c r="T528" t="s">
        <v>151</v>
      </c>
      <c r="U528">
        <v>1</v>
      </c>
      <c r="V528">
        <v>0</v>
      </c>
      <c r="W528">
        <v>1</v>
      </c>
    </row>
    <row r="529" spans="1:23" ht="16.5" x14ac:dyDescent="0.3">
      <c r="A529" t="s">
        <v>596</v>
      </c>
      <c r="B529" t="s">
        <v>70</v>
      </c>
      <c r="C529" t="s">
        <v>25</v>
      </c>
      <c r="D529" t="s">
        <v>37</v>
      </c>
      <c r="E529">
        <v>31</v>
      </c>
      <c r="F529" t="s">
        <v>27</v>
      </c>
      <c r="G529" t="s">
        <v>38</v>
      </c>
      <c r="H529" s="1">
        <v>43279</v>
      </c>
      <c r="I529" s="2">
        <v>5.8</v>
      </c>
      <c r="J529" t="s">
        <v>39</v>
      </c>
      <c r="K529" s="3">
        <v>3600</v>
      </c>
      <c r="L529" t="s">
        <v>58</v>
      </c>
      <c r="M529">
        <v>3</v>
      </c>
      <c r="N529">
        <v>4</v>
      </c>
      <c r="O529">
        <v>26</v>
      </c>
      <c r="P529" t="s">
        <v>22</v>
      </c>
      <c r="Q529" s="1">
        <v>45388</v>
      </c>
      <c r="R529" t="s">
        <v>31</v>
      </c>
      <c r="S529" t="s">
        <v>153</v>
      </c>
      <c r="T529" t="s">
        <v>33</v>
      </c>
      <c r="U529">
        <v>1</v>
      </c>
      <c r="V529">
        <v>0</v>
      </c>
      <c r="W529">
        <v>1</v>
      </c>
    </row>
    <row r="530" spans="1:23" ht="16.5" x14ac:dyDescent="0.3">
      <c r="A530" t="s">
        <v>597</v>
      </c>
      <c r="B530" t="s">
        <v>24</v>
      </c>
      <c r="C530" t="s">
        <v>45</v>
      </c>
      <c r="D530" t="s">
        <v>26</v>
      </c>
      <c r="E530">
        <v>32</v>
      </c>
      <c r="F530" t="s">
        <v>27</v>
      </c>
      <c r="G530" t="s">
        <v>38</v>
      </c>
      <c r="H530" s="1">
        <v>44944</v>
      </c>
      <c r="I530" s="2">
        <v>3</v>
      </c>
      <c r="J530" t="s">
        <v>29</v>
      </c>
      <c r="K530" s="3">
        <v>5350</v>
      </c>
      <c r="L530" t="s">
        <v>30</v>
      </c>
      <c r="M530">
        <v>3</v>
      </c>
      <c r="N530">
        <v>3</v>
      </c>
      <c r="O530">
        <v>23</v>
      </c>
      <c r="P530" t="s">
        <v>21</v>
      </c>
      <c r="Q530" s="1"/>
      <c r="U530">
        <v>1</v>
      </c>
      <c r="V530">
        <v>1</v>
      </c>
      <c r="W530">
        <v>0</v>
      </c>
    </row>
    <row r="531" spans="1:23" ht="16.5" x14ac:dyDescent="0.3">
      <c r="A531" t="s">
        <v>598</v>
      </c>
      <c r="B531" t="s">
        <v>35</v>
      </c>
      <c r="C531" t="s">
        <v>45</v>
      </c>
      <c r="D531" t="s">
        <v>37</v>
      </c>
      <c r="E531">
        <v>32</v>
      </c>
      <c r="F531" t="s">
        <v>27</v>
      </c>
      <c r="G531" t="s">
        <v>38</v>
      </c>
      <c r="H531" s="1">
        <v>43494</v>
      </c>
      <c r="I531" s="2">
        <v>6.9</v>
      </c>
      <c r="J531" t="s">
        <v>39</v>
      </c>
      <c r="K531" s="3">
        <v>6600</v>
      </c>
      <c r="L531" t="s">
        <v>58</v>
      </c>
      <c r="M531">
        <v>4</v>
      </c>
      <c r="N531">
        <v>3</v>
      </c>
      <c r="O531">
        <v>12</v>
      </c>
      <c r="P531" t="s">
        <v>21</v>
      </c>
      <c r="Q531" s="1"/>
      <c r="U531">
        <v>1</v>
      </c>
      <c r="V531">
        <v>1</v>
      </c>
      <c r="W531">
        <v>0</v>
      </c>
    </row>
    <row r="532" spans="1:23" ht="16.5" x14ac:dyDescent="0.3">
      <c r="A532" t="s">
        <v>599</v>
      </c>
      <c r="B532" t="s">
        <v>70</v>
      </c>
      <c r="C532" t="s">
        <v>36</v>
      </c>
      <c r="D532" t="s">
        <v>26</v>
      </c>
      <c r="E532">
        <v>33</v>
      </c>
      <c r="F532" t="s">
        <v>27</v>
      </c>
      <c r="G532" t="s">
        <v>38</v>
      </c>
      <c r="H532" s="1">
        <v>42939</v>
      </c>
      <c r="I532" s="2">
        <v>8.4</v>
      </c>
      <c r="J532" t="s">
        <v>39</v>
      </c>
      <c r="K532" s="3">
        <v>5450</v>
      </c>
      <c r="L532" t="s">
        <v>58</v>
      </c>
      <c r="M532">
        <v>3</v>
      </c>
      <c r="N532">
        <v>3</v>
      </c>
      <c r="O532">
        <v>18</v>
      </c>
      <c r="P532" t="s">
        <v>21</v>
      </c>
      <c r="Q532" s="1"/>
      <c r="U532">
        <v>1</v>
      </c>
      <c r="V532">
        <v>1</v>
      </c>
      <c r="W532">
        <v>0</v>
      </c>
    </row>
    <row r="533" spans="1:23" ht="16.5" x14ac:dyDescent="0.3">
      <c r="A533" t="s">
        <v>600</v>
      </c>
      <c r="B533" t="s">
        <v>70</v>
      </c>
      <c r="C533" t="s">
        <v>36</v>
      </c>
      <c r="D533" t="s">
        <v>37</v>
      </c>
      <c r="E533">
        <v>32</v>
      </c>
      <c r="F533" t="s">
        <v>27</v>
      </c>
      <c r="G533" t="s">
        <v>38</v>
      </c>
      <c r="H533" s="1">
        <v>44988</v>
      </c>
      <c r="I533" s="2">
        <v>2.8</v>
      </c>
      <c r="J533" t="s">
        <v>29</v>
      </c>
      <c r="K533" s="3">
        <v>7200</v>
      </c>
      <c r="L533" t="s">
        <v>58</v>
      </c>
      <c r="M533">
        <v>3</v>
      </c>
      <c r="N533">
        <v>3</v>
      </c>
      <c r="O533">
        <v>29</v>
      </c>
      <c r="P533" t="s">
        <v>21</v>
      </c>
      <c r="Q533" s="1"/>
      <c r="U533">
        <v>1</v>
      </c>
      <c r="V533">
        <v>1</v>
      </c>
      <c r="W533">
        <v>0</v>
      </c>
    </row>
    <row r="534" spans="1:23" ht="16.5" x14ac:dyDescent="0.3">
      <c r="A534" t="s">
        <v>601</v>
      </c>
      <c r="B534" t="s">
        <v>55</v>
      </c>
      <c r="C534" t="s">
        <v>36</v>
      </c>
      <c r="D534" t="s">
        <v>26</v>
      </c>
      <c r="E534">
        <v>33</v>
      </c>
      <c r="F534" t="s">
        <v>27</v>
      </c>
      <c r="G534" t="s">
        <v>28</v>
      </c>
      <c r="H534" s="1">
        <v>45089</v>
      </c>
      <c r="I534" s="2">
        <v>2.6</v>
      </c>
      <c r="J534" t="s">
        <v>29</v>
      </c>
      <c r="K534" s="3">
        <v>5050</v>
      </c>
      <c r="L534" t="s">
        <v>30</v>
      </c>
      <c r="M534">
        <v>4</v>
      </c>
      <c r="N534">
        <v>2</v>
      </c>
      <c r="O534">
        <v>25</v>
      </c>
      <c r="P534" t="s">
        <v>21</v>
      </c>
      <c r="Q534" s="1"/>
      <c r="U534">
        <v>1</v>
      </c>
      <c r="V534">
        <v>1</v>
      </c>
      <c r="W534">
        <v>0</v>
      </c>
    </row>
    <row r="535" spans="1:23" ht="16.5" x14ac:dyDescent="0.3">
      <c r="A535" t="s">
        <v>602</v>
      </c>
      <c r="B535" t="s">
        <v>48</v>
      </c>
      <c r="C535" t="s">
        <v>36</v>
      </c>
      <c r="D535" t="s">
        <v>26</v>
      </c>
      <c r="E535">
        <v>33</v>
      </c>
      <c r="F535" t="s">
        <v>27</v>
      </c>
      <c r="G535" t="s">
        <v>38</v>
      </c>
      <c r="H535" s="1">
        <v>43863</v>
      </c>
      <c r="I535" s="2">
        <v>5.8</v>
      </c>
      <c r="J535" t="s">
        <v>39</v>
      </c>
      <c r="K535" s="3">
        <v>8850</v>
      </c>
      <c r="L535" t="s">
        <v>30</v>
      </c>
      <c r="M535">
        <v>4</v>
      </c>
      <c r="N535">
        <v>4</v>
      </c>
      <c r="O535">
        <v>28</v>
      </c>
      <c r="P535" t="s">
        <v>22</v>
      </c>
      <c r="Q535" s="1">
        <v>45987</v>
      </c>
      <c r="R535" t="s">
        <v>40</v>
      </c>
      <c r="S535" t="s">
        <v>182</v>
      </c>
      <c r="T535" t="s">
        <v>42</v>
      </c>
      <c r="U535">
        <v>1</v>
      </c>
      <c r="V535">
        <v>0</v>
      </c>
      <c r="W535">
        <v>1</v>
      </c>
    </row>
    <row r="536" spans="1:23" ht="16.5" x14ac:dyDescent="0.3">
      <c r="A536" t="s">
        <v>603</v>
      </c>
      <c r="B536" t="s">
        <v>35</v>
      </c>
      <c r="C536" t="s">
        <v>25</v>
      </c>
      <c r="D536" t="s">
        <v>37</v>
      </c>
      <c r="E536">
        <v>21</v>
      </c>
      <c r="F536" t="s">
        <v>57</v>
      </c>
      <c r="G536" t="s">
        <v>38</v>
      </c>
      <c r="H536" s="1">
        <v>45980</v>
      </c>
      <c r="I536" s="2">
        <v>0.1</v>
      </c>
      <c r="J536" t="s">
        <v>64</v>
      </c>
      <c r="K536" s="3">
        <v>3300</v>
      </c>
      <c r="L536" t="s">
        <v>30</v>
      </c>
      <c r="M536">
        <v>5</v>
      </c>
      <c r="N536">
        <v>3</v>
      </c>
      <c r="O536">
        <v>35</v>
      </c>
      <c r="P536" t="s">
        <v>21</v>
      </c>
      <c r="Q536" s="1"/>
      <c r="U536">
        <v>1</v>
      </c>
      <c r="V536">
        <v>1</v>
      </c>
      <c r="W536">
        <v>0</v>
      </c>
    </row>
    <row r="537" spans="1:23" ht="16.5" x14ac:dyDescent="0.3">
      <c r="A537" t="s">
        <v>604</v>
      </c>
      <c r="B537" t="s">
        <v>70</v>
      </c>
      <c r="C537" t="s">
        <v>25</v>
      </c>
      <c r="D537" t="s">
        <v>37</v>
      </c>
      <c r="E537">
        <v>24</v>
      </c>
      <c r="F537" t="s">
        <v>57</v>
      </c>
      <c r="G537" t="s">
        <v>38</v>
      </c>
      <c r="H537" s="1">
        <v>45667</v>
      </c>
      <c r="I537" s="2">
        <v>0.4</v>
      </c>
      <c r="J537" t="s">
        <v>64</v>
      </c>
      <c r="K537" s="3">
        <v>4000</v>
      </c>
      <c r="L537" t="s">
        <v>30</v>
      </c>
      <c r="M537">
        <v>4</v>
      </c>
      <c r="N537">
        <v>3</v>
      </c>
      <c r="O537">
        <v>16</v>
      </c>
      <c r="P537" t="s">
        <v>22</v>
      </c>
      <c r="Q537" s="1">
        <v>45808</v>
      </c>
      <c r="R537" t="s">
        <v>40</v>
      </c>
      <c r="S537" t="s">
        <v>169</v>
      </c>
      <c r="T537" t="s">
        <v>42</v>
      </c>
      <c r="U537">
        <v>1</v>
      </c>
      <c r="V537">
        <v>0</v>
      </c>
      <c r="W537">
        <v>1</v>
      </c>
    </row>
    <row r="538" spans="1:23" ht="16.5" x14ac:dyDescent="0.3">
      <c r="A538" t="s">
        <v>605</v>
      </c>
      <c r="B538" t="s">
        <v>35</v>
      </c>
      <c r="C538" t="s">
        <v>36</v>
      </c>
      <c r="D538" t="s">
        <v>26</v>
      </c>
      <c r="E538">
        <v>34</v>
      </c>
      <c r="F538" t="s">
        <v>27</v>
      </c>
      <c r="G538" t="s">
        <v>52</v>
      </c>
      <c r="H538" s="1">
        <v>43250</v>
      </c>
      <c r="I538" s="2">
        <v>7.1</v>
      </c>
      <c r="J538" t="s">
        <v>39</v>
      </c>
      <c r="K538" s="3">
        <v>3750</v>
      </c>
      <c r="L538" t="s">
        <v>58</v>
      </c>
      <c r="M538">
        <v>3</v>
      </c>
      <c r="N538">
        <v>3</v>
      </c>
      <c r="O538">
        <v>17</v>
      </c>
      <c r="P538" t="s">
        <v>22</v>
      </c>
      <c r="Q538" s="1">
        <v>45834</v>
      </c>
      <c r="R538" t="s">
        <v>40</v>
      </c>
      <c r="S538" t="s">
        <v>32</v>
      </c>
      <c r="T538" t="s">
        <v>151</v>
      </c>
      <c r="U538">
        <v>1</v>
      </c>
      <c r="V538">
        <v>0</v>
      </c>
      <c r="W538">
        <v>1</v>
      </c>
    </row>
    <row r="539" spans="1:23" ht="16.5" x14ac:dyDescent="0.3">
      <c r="A539" t="s">
        <v>606</v>
      </c>
      <c r="B539" t="s">
        <v>48</v>
      </c>
      <c r="C539" t="s">
        <v>36</v>
      </c>
      <c r="D539" t="s">
        <v>37</v>
      </c>
      <c r="E539">
        <v>26</v>
      </c>
      <c r="F539" t="s">
        <v>27</v>
      </c>
      <c r="G539" t="s">
        <v>38</v>
      </c>
      <c r="H539" s="1">
        <v>45337</v>
      </c>
      <c r="I539" s="2">
        <v>1.9</v>
      </c>
      <c r="J539" t="s">
        <v>29</v>
      </c>
      <c r="K539" s="3">
        <v>7750</v>
      </c>
      <c r="L539" t="s">
        <v>30</v>
      </c>
      <c r="M539">
        <v>5</v>
      </c>
      <c r="N539">
        <v>4</v>
      </c>
      <c r="O539">
        <v>1</v>
      </c>
      <c r="P539" t="s">
        <v>21</v>
      </c>
      <c r="Q539" s="1"/>
      <c r="U539">
        <v>1</v>
      </c>
      <c r="V539">
        <v>1</v>
      </c>
      <c r="W539">
        <v>0</v>
      </c>
    </row>
    <row r="540" spans="1:23" ht="16.5" x14ac:dyDescent="0.3">
      <c r="A540" t="s">
        <v>607</v>
      </c>
      <c r="B540" t="s">
        <v>24</v>
      </c>
      <c r="C540" t="s">
        <v>36</v>
      </c>
      <c r="D540" t="s">
        <v>26</v>
      </c>
      <c r="E540">
        <v>31</v>
      </c>
      <c r="F540" t="s">
        <v>27</v>
      </c>
      <c r="G540" t="s">
        <v>38</v>
      </c>
      <c r="H540" s="1">
        <v>44286</v>
      </c>
      <c r="I540" s="2">
        <v>4.8</v>
      </c>
      <c r="J540" t="s">
        <v>50</v>
      </c>
      <c r="K540" s="3">
        <v>3650</v>
      </c>
      <c r="L540" t="s">
        <v>30</v>
      </c>
      <c r="M540">
        <v>4</v>
      </c>
      <c r="N540">
        <v>3</v>
      </c>
      <c r="O540">
        <v>23</v>
      </c>
      <c r="P540" t="s">
        <v>21</v>
      </c>
      <c r="Q540" s="1"/>
      <c r="U540">
        <v>1</v>
      </c>
      <c r="V540">
        <v>1</v>
      </c>
      <c r="W540">
        <v>0</v>
      </c>
    </row>
    <row r="541" spans="1:23" ht="16.5" x14ac:dyDescent="0.3">
      <c r="A541" t="s">
        <v>608</v>
      </c>
      <c r="B541" t="s">
        <v>55</v>
      </c>
      <c r="C541" t="s">
        <v>25</v>
      </c>
      <c r="D541" t="s">
        <v>37</v>
      </c>
      <c r="E541">
        <v>27</v>
      </c>
      <c r="F541" t="s">
        <v>27</v>
      </c>
      <c r="G541" t="s">
        <v>38</v>
      </c>
      <c r="H541" s="1">
        <v>45257</v>
      </c>
      <c r="I541" s="2">
        <v>2.1</v>
      </c>
      <c r="J541" t="s">
        <v>29</v>
      </c>
      <c r="K541" s="3">
        <v>4750</v>
      </c>
      <c r="L541" t="s">
        <v>30</v>
      </c>
      <c r="M541">
        <v>4</v>
      </c>
      <c r="N541">
        <v>3</v>
      </c>
      <c r="O541">
        <v>32</v>
      </c>
      <c r="P541" t="s">
        <v>21</v>
      </c>
      <c r="Q541" s="1"/>
      <c r="U541">
        <v>1</v>
      </c>
      <c r="V541">
        <v>1</v>
      </c>
      <c r="W541">
        <v>0</v>
      </c>
    </row>
    <row r="542" spans="1:23" ht="16.5" x14ac:dyDescent="0.3">
      <c r="A542" t="s">
        <v>609</v>
      </c>
      <c r="B542" t="s">
        <v>35</v>
      </c>
      <c r="C542" t="s">
        <v>36</v>
      </c>
      <c r="D542" t="s">
        <v>26</v>
      </c>
      <c r="E542">
        <v>35</v>
      </c>
      <c r="F542" t="s">
        <v>27</v>
      </c>
      <c r="G542" t="s">
        <v>28</v>
      </c>
      <c r="H542" s="1">
        <v>43857</v>
      </c>
      <c r="I542" s="2">
        <v>5.9</v>
      </c>
      <c r="J542" t="s">
        <v>39</v>
      </c>
      <c r="K542" s="3">
        <v>4650</v>
      </c>
      <c r="L542" t="s">
        <v>30</v>
      </c>
      <c r="M542">
        <v>4</v>
      </c>
      <c r="N542">
        <v>5</v>
      </c>
      <c r="O542">
        <v>14</v>
      </c>
      <c r="P542" t="s">
        <v>21</v>
      </c>
      <c r="Q542" s="1"/>
      <c r="U542">
        <v>1</v>
      </c>
      <c r="V542">
        <v>1</v>
      </c>
      <c r="W542">
        <v>0</v>
      </c>
    </row>
    <row r="543" spans="1:23" ht="16.5" x14ac:dyDescent="0.3">
      <c r="A543" t="s">
        <v>610</v>
      </c>
      <c r="B543" t="s">
        <v>24</v>
      </c>
      <c r="C543" t="s">
        <v>25</v>
      </c>
      <c r="D543" t="s">
        <v>26</v>
      </c>
      <c r="E543">
        <v>28</v>
      </c>
      <c r="F543" t="s">
        <v>27</v>
      </c>
      <c r="G543" t="s">
        <v>28</v>
      </c>
      <c r="H543" s="1">
        <v>45021</v>
      </c>
      <c r="I543" s="2">
        <v>2.7</v>
      </c>
      <c r="J543" t="s">
        <v>29</v>
      </c>
      <c r="K543" s="3">
        <v>3300</v>
      </c>
      <c r="L543" t="s">
        <v>30</v>
      </c>
      <c r="M543">
        <v>4</v>
      </c>
      <c r="N543">
        <v>3</v>
      </c>
      <c r="O543">
        <v>27</v>
      </c>
      <c r="P543" t="s">
        <v>21</v>
      </c>
      <c r="Q543" s="1"/>
      <c r="U543">
        <v>1</v>
      </c>
      <c r="V543">
        <v>1</v>
      </c>
      <c r="W543">
        <v>0</v>
      </c>
    </row>
    <row r="544" spans="1:23" ht="16.5" x14ac:dyDescent="0.3">
      <c r="A544" t="s">
        <v>611</v>
      </c>
      <c r="B544" t="s">
        <v>55</v>
      </c>
      <c r="C544" t="s">
        <v>45</v>
      </c>
      <c r="D544" t="s">
        <v>37</v>
      </c>
      <c r="E544">
        <v>44</v>
      </c>
      <c r="F544" t="s">
        <v>46</v>
      </c>
      <c r="G544" t="s">
        <v>28</v>
      </c>
      <c r="H544" s="1">
        <v>44472</v>
      </c>
      <c r="I544" s="2">
        <v>4.2</v>
      </c>
      <c r="J544" t="s">
        <v>50</v>
      </c>
      <c r="K544" s="3">
        <v>8550</v>
      </c>
      <c r="L544" t="s">
        <v>30</v>
      </c>
      <c r="M544">
        <v>3</v>
      </c>
      <c r="N544">
        <v>2</v>
      </c>
      <c r="O544">
        <v>14</v>
      </c>
      <c r="P544" t="s">
        <v>21</v>
      </c>
      <c r="Q544" s="1"/>
      <c r="U544">
        <v>1</v>
      </c>
      <c r="V544">
        <v>1</v>
      </c>
      <c r="W544">
        <v>0</v>
      </c>
    </row>
    <row r="545" spans="1:23" ht="16.5" x14ac:dyDescent="0.3">
      <c r="A545" t="s">
        <v>612</v>
      </c>
      <c r="B545" t="s">
        <v>44</v>
      </c>
      <c r="C545" t="s">
        <v>87</v>
      </c>
      <c r="D545" t="s">
        <v>26</v>
      </c>
      <c r="E545">
        <v>40</v>
      </c>
      <c r="F545" t="s">
        <v>46</v>
      </c>
      <c r="G545" t="s">
        <v>28</v>
      </c>
      <c r="H545" s="1">
        <v>44479</v>
      </c>
      <c r="I545" s="2">
        <v>4.2</v>
      </c>
      <c r="J545" t="s">
        <v>50</v>
      </c>
      <c r="K545" s="3">
        <v>12550</v>
      </c>
      <c r="L545" t="s">
        <v>30</v>
      </c>
      <c r="M545">
        <v>3</v>
      </c>
      <c r="N545">
        <v>3</v>
      </c>
      <c r="O545">
        <v>34</v>
      </c>
      <c r="P545" t="s">
        <v>21</v>
      </c>
      <c r="Q545" s="1"/>
      <c r="U545">
        <v>1</v>
      </c>
      <c r="V545">
        <v>1</v>
      </c>
      <c r="W545">
        <v>0</v>
      </c>
    </row>
    <row r="546" spans="1:23" ht="16.5" x14ac:dyDescent="0.3">
      <c r="A546" t="s">
        <v>613</v>
      </c>
      <c r="B546" t="s">
        <v>35</v>
      </c>
      <c r="C546" t="s">
        <v>25</v>
      </c>
      <c r="D546" t="s">
        <v>26</v>
      </c>
      <c r="E546">
        <v>29</v>
      </c>
      <c r="F546" t="s">
        <v>27</v>
      </c>
      <c r="G546" t="s">
        <v>38</v>
      </c>
      <c r="H546" s="1">
        <v>44847</v>
      </c>
      <c r="I546" s="2">
        <v>3.2</v>
      </c>
      <c r="J546" t="s">
        <v>50</v>
      </c>
      <c r="K546" s="3">
        <v>3200</v>
      </c>
      <c r="L546" t="s">
        <v>30</v>
      </c>
      <c r="M546">
        <v>3</v>
      </c>
      <c r="N546">
        <v>3</v>
      </c>
      <c r="O546">
        <v>6</v>
      </c>
      <c r="P546" t="s">
        <v>21</v>
      </c>
      <c r="Q546" s="1"/>
      <c r="U546">
        <v>1</v>
      </c>
      <c r="V546">
        <v>1</v>
      </c>
      <c r="W546">
        <v>0</v>
      </c>
    </row>
    <row r="547" spans="1:23" ht="16.5" x14ac:dyDescent="0.3">
      <c r="A547" t="s">
        <v>614</v>
      </c>
      <c r="B547" t="s">
        <v>44</v>
      </c>
      <c r="C547" t="s">
        <v>25</v>
      </c>
      <c r="D547" t="s">
        <v>37</v>
      </c>
      <c r="E547">
        <v>30</v>
      </c>
      <c r="F547" t="s">
        <v>27</v>
      </c>
      <c r="G547" t="s">
        <v>52</v>
      </c>
      <c r="H547" s="1">
        <v>44700</v>
      </c>
      <c r="I547" s="2">
        <v>3.6</v>
      </c>
      <c r="J547" t="s">
        <v>50</v>
      </c>
      <c r="K547" s="3">
        <v>4800</v>
      </c>
      <c r="L547" t="s">
        <v>30</v>
      </c>
      <c r="M547">
        <v>2</v>
      </c>
      <c r="N547">
        <v>2</v>
      </c>
      <c r="O547">
        <v>23</v>
      </c>
      <c r="P547" t="s">
        <v>21</v>
      </c>
      <c r="Q547" s="1"/>
      <c r="U547">
        <v>1</v>
      </c>
      <c r="V547">
        <v>1</v>
      </c>
      <c r="W547">
        <v>0</v>
      </c>
    </row>
    <row r="548" spans="1:23" ht="16.5" x14ac:dyDescent="0.3">
      <c r="A548" t="s">
        <v>615</v>
      </c>
      <c r="B548" t="s">
        <v>24</v>
      </c>
      <c r="C548" t="s">
        <v>36</v>
      </c>
      <c r="D548" t="s">
        <v>37</v>
      </c>
      <c r="E548">
        <v>31</v>
      </c>
      <c r="F548" t="s">
        <v>27</v>
      </c>
      <c r="G548" t="s">
        <v>28</v>
      </c>
      <c r="H548" s="1">
        <v>44928</v>
      </c>
      <c r="I548" s="2">
        <v>2.6</v>
      </c>
      <c r="J548" t="s">
        <v>29</v>
      </c>
      <c r="K548" s="3">
        <v>3500</v>
      </c>
      <c r="L548" t="s">
        <v>30</v>
      </c>
      <c r="M548">
        <v>2</v>
      </c>
      <c r="N548">
        <v>4</v>
      </c>
      <c r="O548">
        <v>20</v>
      </c>
      <c r="P548" t="s">
        <v>22</v>
      </c>
      <c r="Q548" s="1">
        <v>45872</v>
      </c>
      <c r="R548" t="s">
        <v>40</v>
      </c>
      <c r="S548" t="s">
        <v>41</v>
      </c>
      <c r="T548" t="s">
        <v>60</v>
      </c>
      <c r="U548">
        <v>1</v>
      </c>
      <c r="V548">
        <v>0</v>
      </c>
      <c r="W548">
        <v>1</v>
      </c>
    </row>
    <row r="549" spans="1:23" ht="16.5" x14ac:dyDescent="0.3">
      <c r="A549" t="s">
        <v>616</v>
      </c>
      <c r="B549" t="s">
        <v>35</v>
      </c>
      <c r="C549" t="s">
        <v>45</v>
      </c>
      <c r="D549" t="s">
        <v>26</v>
      </c>
      <c r="E549">
        <v>39</v>
      </c>
      <c r="F549" t="s">
        <v>46</v>
      </c>
      <c r="G549" t="s">
        <v>28</v>
      </c>
      <c r="H549" s="1">
        <v>42934</v>
      </c>
      <c r="I549" s="2">
        <v>8.5</v>
      </c>
      <c r="J549" t="s">
        <v>39</v>
      </c>
      <c r="K549" s="3">
        <v>8400</v>
      </c>
      <c r="L549" t="s">
        <v>58</v>
      </c>
      <c r="M549">
        <v>2</v>
      </c>
      <c r="N549">
        <v>5</v>
      </c>
      <c r="O549">
        <v>6</v>
      </c>
      <c r="P549" t="s">
        <v>21</v>
      </c>
      <c r="Q549" s="1"/>
      <c r="U549">
        <v>1</v>
      </c>
      <c r="V549">
        <v>1</v>
      </c>
      <c r="W549">
        <v>0</v>
      </c>
    </row>
    <row r="550" spans="1:23" ht="16.5" x14ac:dyDescent="0.3">
      <c r="A550" t="s">
        <v>617</v>
      </c>
      <c r="B550" t="s">
        <v>24</v>
      </c>
      <c r="C550" t="s">
        <v>36</v>
      </c>
      <c r="D550" t="s">
        <v>26</v>
      </c>
      <c r="E550">
        <v>31</v>
      </c>
      <c r="F550" t="s">
        <v>27</v>
      </c>
      <c r="G550" t="s">
        <v>28</v>
      </c>
      <c r="H550" s="1">
        <v>45567</v>
      </c>
      <c r="I550" s="2">
        <v>1.2</v>
      </c>
      <c r="J550" t="s">
        <v>29</v>
      </c>
      <c r="K550" s="3">
        <v>3650</v>
      </c>
      <c r="L550" t="s">
        <v>30</v>
      </c>
      <c r="M550">
        <v>3</v>
      </c>
      <c r="N550">
        <v>3</v>
      </c>
      <c r="O550">
        <v>23</v>
      </c>
      <c r="P550" t="s">
        <v>21</v>
      </c>
      <c r="Q550" s="1"/>
      <c r="U550">
        <v>1</v>
      </c>
      <c r="V550">
        <v>1</v>
      </c>
      <c r="W550">
        <v>0</v>
      </c>
    </row>
    <row r="551" spans="1:23" ht="16.5" x14ac:dyDescent="0.3">
      <c r="A551" t="s">
        <v>618</v>
      </c>
      <c r="B551" t="s">
        <v>24</v>
      </c>
      <c r="C551" t="s">
        <v>45</v>
      </c>
      <c r="D551" t="s">
        <v>37</v>
      </c>
      <c r="E551">
        <v>38</v>
      </c>
      <c r="F551" t="s">
        <v>46</v>
      </c>
      <c r="G551" t="s">
        <v>38</v>
      </c>
      <c r="H551" s="1">
        <v>41677</v>
      </c>
      <c r="I551" s="2">
        <v>11.9</v>
      </c>
      <c r="J551" t="s">
        <v>39</v>
      </c>
      <c r="K551" s="3">
        <v>4350</v>
      </c>
      <c r="L551" t="s">
        <v>30</v>
      </c>
      <c r="M551">
        <v>2</v>
      </c>
      <c r="N551">
        <v>3</v>
      </c>
      <c r="O551">
        <v>33</v>
      </c>
      <c r="P551" t="s">
        <v>21</v>
      </c>
      <c r="Q551" s="1"/>
      <c r="U551">
        <v>1</v>
      </c>
      <c r="V551">
        <v>1</v>
      </c>
      <c r="W551">
        <v>0</v>
      </c>
    </row>
    <row r="552" spans="1:23" ht="16.5" x14ac:dyDescent="0.3">
      <c r="A552" t="s">
        <v>619</v>
      </c>
      <c r="B552" t="s">
        <v>35</v>
      </c>
      <c r="C552" t="s">
        <v>36</v>
      </c>
      <c r="D552" t="s">
        <v>26</v>
      </c>
      <c r="E552">
        <v>27</v>
      </c>
      <c r="F552" t="s">
        <v>27</v>
      </c>
      <c r="G552" t="s">
        <v>38</v>
      </c>
      <c r="H552" s="1">
        <v>44979</v>
      </c>
      <c r="I552" s="2">
        <v>2.9</v>
      </c>
      <c r="J552" t="s">
        <v>29</v>
      </c>
      <c r="K552" s="3">
        <v>3950</v>
      </c>
      <c r="L552" t="s">
        <v>30</v>
      </c>
      <c r="M552">
        <v>3</v>
      </c>
      <c r="N552">
        <v>3</v>
      </c>
      <c r="O552">
        <v>12</v>
      </c>
      <c r="P552" t="s">
        <v>21</v>
      </c>
      <c r="Q552" s="1"/>
      <c r="U552">
        <v>1</v>
      </c>
      <c r="V552">
        <v>1</v>
      </c>
      <c r="W552">
        <v>0</v>
      </c>
    </row>
    <row r="553" spans="1:23" ht="16.5" x14ac:dyDescent="0.3">
      <c r="A553" t="s">
        <v>620</v>
      </c>
      <c r="B553" t="s">
        <v>70</v>
      </c>
      <c r="C553" t="s">
        <v>25</v>
      </c>
      <c r="D553" t="s">
        <v>26</v>
      </c>
      <c r="E553">
        <v>28</v>
      </c>
      <c r="F553" t="s">
        <v>27</v>
      </c>
      <c r="G553" t="s">
        <v>38</v>
      </c>
      <c r="H553" s="1">
        <v>45098</v>
      </c>
      <c r="I553" s="2">
        <v>1.1000000000000001</v>
      </c>
      <c r="J553" t="s">
        <v>29</v>
      </c>
      <c r="K553" s="3">
        <v>3200</v>
      </c>
      <c r="L553" t="s">
        <v>58</v>
      </c>
      <c r="M553">
        <v>2</v>
      </c>
      <c r="N553">
        <v>5</v>
      </c>
      <c r="O553">
        <v>33</v>
      </c>
      <c r="P553" t="s">
        <v>22</v>
      </c>
      <c r="Q553" s="1">
        <v>45484</v>
      </c>
      <c r="R553" t="s">
        <v>31</v>
      </c>
      <c r="S553" t="s">
        <v>84</v>
      </c>
      <c r="T553" t="s">
        <v>33</v>
      </c>
      <c r="U553">
        <v>1</v>
      </c>
      <c r="V553">
        <v>0</v>
      </c>
      <c r="W553">
        <v>1</v>
      </c>
    </row>
    <row r="554" spans="1:23" ht="16.5" x14ac:dyDescent="0.3">
      <c r="A554" t="s">
        <v>621</v>
      </c>
      <c r="B554" t="s">
        <v>70</v>
      </c>
      <c r="C554" t="s">
        <v>87</v>
      </c>
      <c r="D554" t="s">
        <v>37</v>
      </c>
      <c r="E554">
        <v>46</v>
      </c>
      <c r="F554" t="s">
        <v>88</v>
      </c>
      <c r="G554" t="s">
        <v>28</v>
      </c>
      <c r="H554" s="1">
        <v>42777</v>
      </c>
      <c r="I554" s="2">
        <v>8.9</v>
      </c>
      <c r="J554" t="s">
        <v>39</v>
      </c>
      <c r="K554" s="3">
        <v>12600</v>
      </c>
      <c r="L554" t="s">
        <v>30</v>
      </c>
      <c r="M554">
        <v>5</v>
      </c>
      <c r="N554">
        <v>4</v>
      </c>
      <c r="O554">
        <v>29</v>
      </c>
      <c r="P554" t="s">
        <v>21</v>
      </c>
      <c r="Q554" s="1"/>
      <c r="U554">
        <v>1</v>
      </c>
      <c r="V554">
        <v>1</v>
      </c>
      <c r="W554">
        <v>0</v>
      </c>
    </row>
    <row r="555" spans="1:23" ht="16.5" x14ac:dyDescent="0.3">
      <c r="A555" t="s">
        <v>622</v>
      </c>
      <c r="B555" t="s">
        <v>48</v>
      </c>
      <c r="C555" t="s">
        <v>36</v>
      </c>
      <c r="D555" t="s">
        <v>37</v>
      </c>
      <c r="E555">
        <v>32</v>
      </c>
      <c r="F555" t="s">
        <v>27</v>
      </c>
      <c r="G555" t="s">
        <v>38</v>
      </c>
      <c r="H555" s="1">
        <v>42867</v>
      </c>
      <c r="I555" s="2">
        <v>8.6</v>
      </c>
      <c r="J555" t="s">
        <v>39</v>
      </c>
      <c r="K555" s="3">
        <v>8550</v>
      </c>
      <c r="L555" t="s">
        <v>30</v>
      </c>
      <c r="M555">
        <v>5</v>
      </c>
      <c r="N555">
        <v>3</v>
      </c>
      <c r="O555">
        <v>22</v>
      </c>
      <c r="P555" t="s">
        <v>21</v>
      </c>
      <c r="Q555" s="1"/>
      <c r="U555">
        <v>1</v>
      </c>
      <c r="V555">
        <v>1</v>
      </c>
      <c r="W555">
        <v>0</v>
      </c>
    </row>
    <row r="556" spans="1:23" ht="16.5" x14ac:dyDescent="0.3">
      <c r="A556" t="s">
        <v>623</v>
      </c>
      <c r="B556" t="s">
        <v>70</v>
      </c>
      <c r="C556" t="s">
        <v>36</v>
      </c>
      <c r="D556" t="s">
        <v>37</v>
      </c>
      <c r="E556">
        <v>31</v>
      </c>
      <c r="F556" t="s">
        <v>27</v>
      </c>
      <c r="G556" t="s">
        <v>38</v>
      </c>
      <c r="H556" s="1">
        <v>45281</v>
      </c>
      <c r="I556" s="2">
        <v>2</v>
      </c>
      <c r="J556" t="s">
        <v>29</v>
      </c>
      <c r="K556" s="3">
        <v>4950</v>
      </c>
      <c r="L556" t="s">
        <v>30</v>
      </c>
      <c r="M556">
        <v>5</v>
      </c>
      <c r="N556">
        <v>3</v>
      </c>
      <c r="O556">
        <v>30</v>
      </c>
      <c r="P556" t="s">
        <v>21</v>
      </c>
      <c r="Q556" s="1"/>
      <c r="U556">
        <v>1</v>
      </c>
      <c r="V556">
        <v>1</v>
      </c>
      <c r="W556">
        <v>0</v>
      </c>
    </row>
    <row r="557" spans="1:23" ht="16.5" x14ac:dyDescent="0.3">
      <c r="A557" t="s">
        <v>624</v>
      </c>
      <c r="B557" t="s">
        <v>55</v>
      </c>
      <c r="C557" t="s">
        <v>25</v>
      </c>
      <c r="D557" t="s">
        <v>26</v>
      </c>
      <c r="E557">
        <v>27</v>
      </c>
      <c r="F557" t="s">
        <v>27</v>
      </c>
      <c r="G557" t="s">
        <v>28</v>
      </c>
      <c r="H557" s="1">
        <v>44381</v>
      </c>
      <c r="I557" s="2">
        <v>4.5</v>
      </c>
      <c r="J557" t="s">
        <v>50</v>
      </c>
      <c r="K557" s="3">
        <v>5500</v>
      </c>
      <c r="L557" t="s">
        <v>30</v>
      </c>
      <c r="M557">
        <v>3</v>
      </c>
      <c r="N557">
        <v>5</v>
      </c>
      <c r="O557">
        <v>37</v>
      </c>
      <c r="P557" t="s">
        <v>21</v>
      </c>
      <c r="Q557" s="1"/>
      <c r="U557">
        <v>1</v>
      </c>
      <c r="V557">
        <v>1</v>
      </c>
      <c r="W557">
        <v>0</v>
      </c>
    </row>
    <row r="558" spans="1:23" ht="16.5" x14ac:dyDescent="0.3">
      <c r="A558" t="s">
        <v>625</v>
      </c>
      <c r="B558" t="s">
        <v>24</v>
      </c>
      <c r="C558" t="s">
        <v>45</v>
      </c>
      <c r="D558" t="s">
        <v>26</v>
      </c>
      <c r="E558">
        <v>38</v>
      </c>
      <c r="F558" t="s">
        <v>46</v>
      </c>
      <c r="G558" t="s">
        <v>28</v>
      </c>
      <c r="H558" s="1">
        <v>44582</v>
      </c>
      <c r="I558" s="2">
        <v>3.9</v>
      </c>
      <c r="J558" t="s">
        <v>50</v>
      </c>
      <c r="K558" s="3">
        <v>5300</v>
      </c>
      <c r="L558" t="s">
        <v>58</v>
      </c>
      <c r="M558">
        <v>3</v>
      </c>
      <c r="N558">
        <v>5</v>
      </c>
      <c r="O558">
        <v>18</v>
      </c>
      <c r="P558" t="s">
        <v>21</v>
      </c>
      <c r="Q558" s="1"/>
      <c r="U558">
        <v>1</v>
      </c>
      <c r="V558">
        <v>1</v>
      </c>
      <c r="W558">
        <v>0</v>
      </c>
    </row>
    <row r="559" spans="1:23" ht="16.5" x14ac:dyDescent="0.3">
      <c r="A559" t="s">
        <v>626</v>
      </c>
      <c r="B559" t="s">
        <v>35</v>
      </c>
      <c r="C559" t="s">
        <v>45</v>
      </c>
      <c r="D559" t="s">
        <v>26</v>
      </c>
      <c r="E559">
        <v>39</v>
      </c>
      <c r="F559" t="s">
        <v>46</v>
      </c>
      <c r="G559" t="s">
        <v>38</v>
      </c>
      <c r="H559" s="1">
        <v>42607</v>
      </c>
      <c r="I559" s="2">
        <v>9.3000000000000007</v>
      </c>
      <c r="J559" t="s">
        <v>39</v>
      </c>
      <c r="K559" s="3">
        <v>5900</v>
      </c>
      <c r="L559" t="s">
        <v>30</v>
      </c>
      <c r="M559">
        <v>5</v>
      </c>
      <c r="N559">
        <v>4</v>
      </c>
      <c r="O559">
        <v>8</v>
      </c>
      <c r="P559" t="s">
        <v>21</v>
      </c>
      <c r="Q559" s="1"/>
      <c r="U559">
        <v>1</v>
      </c>
      <c r="V559">
        <v>1</v>
      </c>
      <c r="W559">
        <v>0</v>
      </c>
    </row>
    <row r="560" spans="1:23" ht="16.5" x14ac:dyDescent="0.3">
      <c r="A560" t="s">
        <v>627</v>
      </c>
      <c r="B560" t="s">
        <v>24</v>
      </c>
      <c r="C560" t="s">
        <v>25</v>
      </c>
      <c r="D560" t="s">
        <v>26</v>
      </c>
      <c r="E560">
        <v>28</v>
      </c>
      <c r="F560" t="s">
        <v>27</v>
      </c>
      <c r="G560" t="s">
        <v>28</v>
      </c>
      <c r="H560" s="1">
        <v>45274</v>
      </c>
      <c r="I560" s="2">
        <v>2</v>
      </c>
      <c r="J560" t="s">
        <v>29</v>
      </c>
      <c r="K560" s="3">
        <v>2850</v>
      </c>
      <c r="L560" t="s">
        <v>30</v>
      </c>
      <c r="M560">
        <v>3</v>
      </c>
      <c r="N560">
        <v>4</v>
      </c>
      <c r="O560">
        <v>25</v>
      </c>
      <c r="P560" t="s">
        <v>21</v>
      </c>
      <c r="Q560" s="1"/>
      <c r="U560">
        <v>1</v>
      </c>
      <c r="V560">
        <v>1</v>
      </c>
      <c r="W560">
        <v>0</v>
      </c>
    </row>
    <row r="561" spans="1:23" ht="16.5" x14ac:dyDescent="0.3">
      <c r="A561" t="s">
        <v>628</v>
      </c>
      <c r="B561" t="s">
        <v>35</v>
      </c>
      <c r="C561" t="s">
        <v>36</v>
      </c>
      <c r="D561" t="s">
        <v>37</v>
      </c>
      <c r="E561">
        <v>24</v>
      </c>
      <c r="F561" t="s">
        <v>57</v>
      </c>
      <c r="G561" t="s">
        <v>28</v>
      </c>
      <c r="H561" s="1">
        <v>45461</v>
      </c>
      <c r="I561" s="2">
        <v>1.5</v>
      </c>
      <c r="J561" t="s">
        <v>29</v>
      </c>
      <c r="K561" s="3">
        <v>4400</v>
      </c>
      <c r="L561" t="s">
        <v>58</v>
      </c>
      <c r="M561">
        <v>4</v>
      </c>
      <c r="N561">
        <v>2</v>
      </c>
      <c r="O561">
        <v>31</v>
      </c>
      <c r="P561" t="s">
        <v>21</v>
      </c>
      <c r="Q561" s="1"/>
      <c r="U561">
        <v>1</v>
      </c>
      <c r="V561">
        <v>1</v>
      </c>
      <c r="W561">
        <v>0</v>
      </c>
    </row>
    <row r="562" spans="1:23" ht="16.5" x14ac:dyDescent="0.3">
      <c r="A562" t="s">
        <v>629</v>
      </c>
      <c r="B562" t="s">
        <v>70</v>
      </c>
      <c r="C562" t="s">
        <v>25</v>
      </c>
      <c r="D562" t="s">
        <v>37</v>
      </c>
      <c r="E562">
        <v>31</v>
      </c>
      <c r="F562" t="s">
        <v>27</v>
      </c>
      <c r="G562" t="s">
        <v>38</v>
      </c>
      <c r="H562" s="1">
        <v>43718</v>
      </c>
      <c r="I562" s="2">
        <v>6.3</v>
      </c>
      <c r="J562" t="s">
        <v>39</v>
      </c>
      <c r="K562" s="3">
        <v>4550</v>
      </c>
      <c r="L562" t="s">
        <v>30</v>
      </c>
      <c r="M562">
        <v>3</v>
      </c>
      <c r="N562">
        <v>3</v>
      </c>
      <c r="O562">
        <v>8</v>
      </c>
      <c r="P562" t="s">
        <v>21</v>
      </c>
      <c r="Q562" s="1"/>
      <c r="U562">
        <v>1</v>
      </c>
      <c r="V562">
        <v>1</v>
      </c>
      <c r="W562">
        <v>0</v>
      </c>
    </row>
    <row r="563" spans="1:23" ht="16.5" x14ac:dyDescent="0.3">
      <c r="A563" t="s">
        <v>630</v>
      </c>
      <c r="B563" t="s">
        <v>70</v>
      </c>
      <c r="C563" t="s">
        <v>45</v>
      </c>
      <c r="D563" t="s">
        <v>26</v>
      </c>
      <c r="E563">
        <v>39</v>
      </c>
      <c r="F563" t="s">
        <v>46</v>
      </c>
      <c r="G563" t="s">
        <v>38</v>
      </c>
      <c r="H563" s="1">
        <v>45099</v>
      </c>
      <c r="I563" s="2">
        <v>2.5</v>
      </c>
      <c r="J563" t="s">
        <v>29</v>
      </c>
      <c r="K563" s="3">
        <v>6850</v>
      </c>
      <c r="L563" t="s">
        <v>58</v>
      </c>
      <c r="M563">
        <v>2</v>
      </c>
      <c r="N563">
        <v>3</v>
      </c>
      <c r="O563">
        <v>23</v>
      </c>
      <c r="P563" t="s">
        <v>21</v>
      </c>
      <c r="Q563" s="1"/>
      <c r="U563">
        <v>1</v>
      </c>
      <c r="V563">
        <v>1</v>
      </c>
      <c r="W563">
        <v>0</v>
      </c>
    </row>
    <row r="564" spans="1:23" ht="16.5" x14ac:dyDescent="0.3">
      <c r="A564" t="s">
        <v>631</v>
      </c>
      <c r="B564" t="s">
        <v>35</v>
      </c>
      <c r="C564" t="s">
        <v>36</v>
      </c>
      <c r="D564" t="s">
        <v>37</v>
      </c>
      <c r="E564">
        <v>26</v>
      </c>
      <c r="F564" t="s">
        <v>27</v>
      </c>
      <c r="G564" t="s">
        <v>38</v>
      </c>
      <c r="H564" s="1">
        <v>45023</v>
      </c>
      <c r="I564" s="2">
        <v>2.7</v>
      </c>
      <c r="J564" t="s">
        <v>29</v>
      </c>
      <c r="K564" s="3">
        <v>4300</v>
      </c>
      <c r="L564" t="s">
        <v>58</v>
      </c>
      <c r="M564">
        <v>4</v>
      </c>
      <c r="N564">
        <v>4</v>
      </c>
      <c r="O564">
        <v>25</v>
      </c>
      <c r="P564" t="s">
        <v>21</v>
      </c>
      <c r="Q564" s="1"/>
      <c r="U564">
        <v>1</v>
      </c>
      <c r="V564">
        <v>1</v>
      </c>
      <c r="W564">
        <v>0</v>
      </c>
    </row>
    <row r="565" spans="1:23" ht="16.5" x14ac:dyDescent="0.3">
      <c r="A565" t="s">
        <v>632</v>
      </c>
      <c r="B565" t="s">
        <v>48</v>
      </c>
      <c r="C565" t="s">
        <v>87</v>
      </c>
      <c r="D565" t="s">
        <v>37</v>
      </c>
      <c r="E565">
        <v>46</v>
      </c>
      <c r="F565" t="s">
        <v>88</v>
      </c>
      <c r="G565" t="s">
        <v>38</v>
      </c>
      <c r="H565" s="1">
        <v>41668</v>
      </c>
      <c r="I565" s="2">
        <v>11.9</v>
      </c>
      <c r="J565" t="s">
        <v>39</v>
      </c>
      <c r="K565" s="3">
        <v>16350</v>
      </c>
      <c r="L565" t="s">
        <v>58</v>
      </c>
      <c r="M565">
        <v>2</v>
      </c>
      <c r="N565">
        <v>3</v>
      </c>
      <c r="O565">
        <v>20</v>
      </c>
      <c r="P565" t="s">
        <v>21</v>
      </c>
      <c r="Q565" s="1"/>
      <c r="U565">
        <v>1</v>
      </c>
      <c r="V565">
        <v>1</v>
      </c>
      <c r="W565">
        <v>0</v>
      </c>
    </row>
    <row r="566" spans="1:23" ht="16.5" x14ac:dyDescent="0.3">
      <c r="A566" t="s">
        <v>633</v>
      </c>
      <c r="B566" t="s">
        <v>48</v>
      </c>
      <c r="C566" t="s">
        <v>36</v>
      </c>
      <c r="D566" t="s">
        <v>37</v>
      </c>
      <c r="E566">
        <v>32</v>
      </c>
      <c r="F566" t="s">
        <v>27</v>
      </c>
      <c r="G566" t="s">
        <v>28</v>
      </c>
      <c r="H566" s="1">
        <v>45002</v>
      </c>
      <c r="I566" s="2">
        <v>2.8</v>
      </c>
      <c r="J566" t="s">
        <v>29</v>
      </c>
      <c r="K566" s="3">
        <v>8400</v>
      </c>
      <c r="L566" t="s">
        <v>30</v>
      </c>
      <c r="M566">
        <v>4</v>
      </c>
      <c r="N566">
        <v>4</v>
      </c>
      <c r="O566">
        <v>32</v>
      </c>
      <c r="P566" t="s">
        <v>21</v>
      </c>
      <c r="Q566" s="1"/>
      <c r="U566">
        <v>1</v>
      </c>
      <c r="V566">
        <v>1</v>
      </c>
      <c r="W566">
        <v>0</v>
      </c>
    </row>
    <row r="567" spans="1:23" ht="16.5" x14ac:dyDescent="0.3">
      <c r="A567" t="s">
        <v>634</v>
      </c>
      <c r="B567" t="s">
        <v>44</v>
      </c>
      <c r="C567" t="s">
        <v>36</v>
      </c>
      <c r="D567" t="s">
        <v>37</v>
      </c>
      <c r="E567">
        <v>36</v>
      </c>
      <c r="F567" t="s">
        <v>46</v>
      </c>
      <c r="G567" t="s">
        <v>28</v>
      </c>
      <c r="H567" s="1">
        <v>45269</v>
      </c>
      <c r="I567" s="2">
        <v>2.1</v>
      </c>
      <c r="J567" t="s">
        <v>29</v>
      </c>
      <c r="K567" s="3">
        <v>6800</v>
      </c>
      <c r="L567" t="s">
        <v>30</v>
      </c>
      <c r="M567">
        <v>3</v>
      </c>
      <c r="N567">
        <v>5</v>
      </c>
      <c r="O567">
        <v>34</v>
      </c>
      <c r="P567" t="s">
        <v>21</v>
      </c>
      <c r="Q567" s="1"/>
      <c r="U567">
        <v>1</v>
      </c>
      <c r="V567">
        <v>1</v>
      </c>
      <c r="W567">
        <v>0</v>
      </c>
    </row>
    <row r="568" spans="1:23" ht="16.5" x14ac:dyDescent="0.3">
      <c r="A568" t="s">
        <v>635</v>
      </c>
      <c r="B568" t="s">
        <v>44</v>
      </c>
      <c r="C568" t="s">
        <v>25</v>
      </c>
      <c r="D568" t="s">
        <v>26</v>
      </c>
      <c r="E568">
        <v>29</v>
      </c>
      <c r="F568" t="s">
        <v>27</v>
      </c>
      <c r="G568" t="s">
        <v>38</v>
      </c>
      <c r="H568" s="1">
        <v>44520</v>
      </c>
      <c r="I568" s="2">
        <v>4.0999999999999996</v>
      </c>
      <c r="J568" t="s">
        <v>50</v>
      </c>
      <c r="K568" s="3">
        <v>4400</v>
      </c>
      <c r="L568" t="s">
        <v>30</v>
      </c>
      <c r="M568">
        <v>4</v>
      </c>
      <c r="N568">
        <v>3</v>
      </c>
      <c r="O568">
        <v>25</v>
      </c>
      <c r="P568" t="s">
        <v>21</v>
      </c>
      <c r="Q568" s="1"/>
      <c r="U568">
        <v>1</v>
      </c>
      <c r="V568">
        <v>1</v>
      </c>
      <c r="W568">
        <v>0</v>
      </c>
    </row>
    <row r="569" spans="1:23" ht="16.5" x14ac:dyDescent="0.3">
      <c r="A569" t="s">
        <v>636</v>
      </c>
      <c r="B569" t="s">
        <v>35</v>
      </c>
      <c r="C569" t="s">
        <v>25</v>
      </c>
      <c r="D569" t="s">
        <v>26</v>
      </c>
      <c r="E569">
        <v>30</v>
      </c>
      <c r="F569" t="s">
        <v>27</v>
      </c>
      <c r="G569" t="s">
        <v>52</v>
      </c>
      <c r="H569" s="1">
        <v>44968</v>
      </c>
      <c r="I569" s="2">
        <v>2.9</v>
      </c>
      <c r="J569" t="s">
        <v>29</v>
      </c>
      <c r="K569" s="3">
        <v>3600</v>
      </c>
      <c r="L569" t="s">
        <v>30</v>
      </c>
      <c r="M569">
        <v>5</v>
      </c>
      <c r="N569">
        <v>5</v>
      </c>
      <c r="O569">
        <v>18</v>
      </c>
      <c r="P569" t="s">
        <v>21</v>
      </c>
      <c r="Q569" s="1"/>
      <c r="U569">
        <v>1</v>
      </c>
      <c r="V569">
        <v>1</v>
      </c>
      <c r="W569">
        <v>0</v>
      </c>
    </row>
    <row r="570" spans="1:23" ht="16.5" x14ac:dyDescent="0.3">
      <c r="A570" t="s">
        <v>637</v>
      </c>
      <c r="B570" t="s">
        <v>24</v>
      </c>
      <c r="C570" t="s">
        <v>25</v>
      </c>
      <c r="D570" t="s">
        <v>26</v>
      </c>
      <c r="E570">
        <v>32</v>
      </c>
      <c r="F570" t="s">
        <v>27</v>
      </c>
      <c r="G570" t="s">
        <v>38</v>
      </c>
      <c r="H570" s="1">
        <v>44618</v>
      </c>
      <c r="I570" s="2">
        <v>3</v>
      </c>
      <c r="J570" t="s">
        <v>29</v>
      </c>
      <c r="K570" s="3">
        <v>2050</v>
      </c>
      <c r="L570" t="s">
        <v>30</v>
      </c>
      <c r="M570">
        <v>5</v>
      </c>
      <c r="N570">
        <v>3</v>
      </c>
      <c r="O570">
        <v>37</v>
      </c>
      <c r="P570" t="s">
        <v>22</v>
      </c>
      <c r="Q570" s="1">
        <v>45698</v>
      </c>
      <c r="R570" t="s">
        <v>40</v>
      </c>
      <c r="S570" t="s">
        <v>103</v>
      </c>
      <c r="T570" t="s">
        <v>33</v>
      </c>
      <c r="U570">
        <v>1</v>
      </c>
      <c r="V570">
        <v>0</v>
      </c>
      <c r="W570">
        <v>1</v>
      </c>
    </row>
    <row r="571" spans="1:23" ht="16.5" x14ac:dyDescent="0.3">
      <c r="A571" t="s">
        <v>638</v>
      </c>
      <c r="B571" t="s">
        <v>73</v>
      </c>
      <c r="C571" t="s">
        <v>25</v>
      </c>
      <c r="D571" t="s">
        <v>37</v>
      </c>
      <c r="E571">
        <v>30</v>
      </c>
      <c r="F571" t="s">
        <v>27</v>
      </c>
      <c r="G571" t="s">
        <v>28</v>
      </c>
      <c r="H571" s="1">
        <v>44216</v>
      </c>
      <c r="I571" s="2">
        <v>4.9000000000000004</v>
      </c>
      <c r="J571" t="s">
        <v>50</v>
      </c>
      <c r="K571" s="3">
        <v>4700</v>
      </c>
      <c r="L571" t="s">
        <v>30</v>
      </c>
      <c r="M571">
        <v>2</v>
      </c>
      <c r="N571">
        <v>3</v>
      </c>
      <c r="O571">
        <v>22</v>
      </c>
      <c r="P571" t="s">
        <v>21</v>
      </c>
      <c r="Q571" s="1"/>
      <c r="U571">
        <v>1</v>
      </c>
      <c r="V571">
        <v>1</v>
      </c>
      <c r="W571">
        <v>0</v>
      </c>
    </row>
    <row r="572" spans="1:23" ht="16.5" x14ac:dyDescent="0.3">
      <c r="A572" t="s">
        <v>639</v>
      </c>
      <c r="B572" t="s">
        <v>35</v>
      </c>
      <c r="C572" t="s">
        <v>45</v>
      </c>
      <c r="D572" t="s">
        <v>37</v>
      </c>
      <c r="E572">
        <v>44</v>
      </c>
      <c r="F572" t="s">
        <v>46</v>
      </c>
      <c r="G572" t="s">
        <v>38</v>
      </c>
      <c r="H572" s="1">
        <v>44463</v>
      </c>
      <c r="I572" s="2">
        <v>4.3</v>
      </c>
      <c r="J572" t="s">
        <v>50</v>
      </c>
      <c r="K572" s="3">
        <v>6900</v>
      </c>
      <c r="L572" t="s">
        <v>58</v>
      </c>
      <c r="M572">
        <v>3</v>
      </c>
      <c r="N572">
        <v>3</v>
      </c>
      <c r="O572">
        <v>21</v>
      </c>
      <c r="P572" t="s">
        <v>21</v>
      </c>
      <c r="Q572" s="1"/>
      <c r="U572">
        <v>1</v>
      </c>
      <c r="V572">
        <v>1</v>
      </c>
      <c r="W572">
        <v>0</v>
      </c>
    </row>
    <row r="573" spans="1:23" ht="16.5" x14ac:dyDescent="0.3">
      <c r="A573" t="s">
        <v>640</v>
      </c>
      <c r="B573" t="s">
        <v>24</v>
      </c>
      <c r="C573" t="s">
        <v>36</v>
      </c>
      <c r="D573" t="s">
        <v>37</v>
      </c>
      <c r="E573">
        <v>24</v>
      </c>
      <c r="F573" t="s">
        <v>57</v>
      </c>
      <c r="G573" t="s">
        <v>38</v>
      </c>
      <c r="H573" s="1">
        <v>45345</v>
      </c>
      <c r="I573" s="2">
        <v>0.6</v>
      </c>
      <c r="J573" t="s">
        <v>64</v>
      </c>
      <c r="K573" s="3">
        <v>3800</v>
      </c>
      <c r="L573" t="s">
        <v>58</v>
      </c>
      <c r="M573">
        <v>2</v>
      </c>
      <c r="N573">
        <v>5</v>
      </c>
      <c r="O573">
        <v>31</v>
      </c>
      <c r="P573" t="s">
        <v>22</v>
      </c>
      <c r="Q573" s="1">
        <v>45556</v>
      </c>
      <c r="R573" t="s">
        <v>31</v>
      </c>
      <c r="S573" t="s">
        <v>259</v>
      </c>
      <c r="T573" t="s">
        <v>60</v>
      </c>
      <c r="U573">
        <v>1</v>
      </c>
      <c r="V573">
        <v>0</v>
      </c>
      <c r="W573">
        <v>1</v>
      </c>
    </row>
    <row r="574" spans="1:23" ht="16.5" x14ac:dyDescent="0.3">
      <c r="A574" t="s">
        <v>641</v>
      </c>
      <c r="B574" t="s">
        <v>48</v>
      </c>
      <c r="C574" t="s">
        <v>87</v>
      </c>
      <c r="D574" t="s">
        <v>37</v>
      </c>
      <c r="E574">
        <v>45</v>
      </c>
      <c r="F574" t="s">
        <v>46</v>
      </c>
      <c r="G574" t="s">
        <v>38</v>
      </c>
      <c r="H574" s="1">
        <v>41550</v>
      </c>
      <c r="I574" s="2">
        <v>10.9</v>
      </c>
      <c r="J574" t="s">
        <v>39</v>
      </c>
      <c r="K574" s="3">
        <v>14450</v>
      </c>
      <c r="L574" t="s">
        <v>30</v>
      </c>
      <c r="M574">
        <v>3</v>
      </c>
      <c r="N574">
        <v>4</v>
      </c>
      <c r="O574">
        <v>16</v>
      </c>
      <c r="P574" t="s">
        <v>22</v>
      </c>
      <c r="Q574" s="1">
        <v>45521</v>
      </c>
      <c r="R574" t="s">
        <v>31</v>
      </c>
      <c r="S574" t="s">
        <v>41</v>
      </c>
      <c r="T574" t="s">
        <v>33</v>
      </c>
      <c r="U574">
        <v>1</v>
      </c>
      <c r="V574">
        <v>0</v>
      </c>
      <c r="W574">
        <v>1</v>
      </c>
    </row>
    <row r="575" spans="1:23" ht="16.5" x14ac:dyDescent="0.3">
      <c r="A575" t="s">
        <v>642</v>
      </c>
      <c r="B575" t="s">
        <v>48</v>
      </c>
      <c r="C575" t="s">
        <v>36</v>
      </c>
      <c r="D575" t="s">
        <v>37</v>
      </c>
      <c r="E575">
        <v>35</v>
      </c>
      <c r="F575" t="s">
        <v>27</v>
      </c>
      <c r="G575" t="s">
        <v>38</v>
      </c>
      <c r="H575" s="1">
        <v>45213</v>
      </c>
      <c r="I575" s="2">
        <v>2.2000000000000002</v>
      </c>
      <c r="J575" t="s">
        <v>29</v>
      </c>
      <c r="K575" s="3">
        <v>7800</v>
      </c>
      <c r="L575" t="s">
        <v>58</v>
      </c>
      <c r="M575">
        <v>4</v>
      </c>
      <c r="N575">
        <v>5</v>
      </c>
      <c r="O575">
        <v>31</v>
      </c>
      <c r="P575" t="s">
        <v>21</v>
      </c>
      <c r="Q575" s="1"/>
      <c r="U575">
        <v>1</v>
      </c>
      <c r="V575">
        <v>1</v>
      </c>
      <c r="W575">
        <v>0</v>
      </c>
    </row>
    <row r="576" spans="1:23" ht="16.5" x14ac:dyDescent="0.3">
      <c r="A576" t="s">
        <v>643</v>
      </c>
      <c r="B576" t="s">
        <v>24</v>
      </c>
      <c r="C576" t="s">
        <v>87</v>
      </c>
      <c r="D576" t="s">
        <v>37</v>
      </c>
      <c r="E576">
        <v>40</v>
      </c>
      <c r="F576" t="s">
        <v>46</v>
      </c>
      <c r="G576" t="s">
        <v>38</v>
      </c>
      <c r="H576" s="1">
        <v>42332</v>
      </c>
      <c r="I576" s="2">
        <v>10.1</v>
      </c>
      <c r="J576" t="s">
        <v>39</v>
      </c>
      <c r="K576" s="3">
        <v>7900</v>
      </c>
      <c r="L576" t="s">
        <v>30</v>
      </c>
      <c r="M576">
        <v>4</v>
      </c>
      <c r="N576">
        <v>2</v>
      </c>
      <c r="O576">
        <v>24</v>
      </c>
      <c r="P576" t="s">
        <v>21</v>
      </c>
      <c r="Q576" s="1"/>
      <c r="U576">
        <v>1</v>
      </c>
      <c r="V576">
        <v>1</v>
      </c>
      <c r="W576">
        <v>0</v>
      </c>
    </row>
    <row r="577" spans="1:23" ht="16.5" x14ac:dyDescent="0.3">
      <c r="A577" t="s">
        <v>644</v>
      </c>
      <c r="B577" t="s">
        <v>73</v>
      </c>
      <c r="C577" t="s">
        <v>25</v>
      </c>
      <c r="D577" t="s">
        <v>37</v>
      </c>
      <c r="E577">
        <v>36</v>
      </c>
      <c r="F577" t="s">
        <v>46</v>
      </c>
      <c r="G577" t="s">
        <v>28</v>
      </c>
      <c r="H577" s="1">
        <v>43908</v>
      </c>
      <c r="I577" s="2">
        <v>5.8</v>
      </c>
      <c r="J577" t="s">
        <v>39</v>
      </c>
      <c r="K577" s="3">
        <v>3850</v>
      </c>
      <c r="L577" t="s">
        <v>30</v>
      </c>
      <c r="M577">
        <v>3</v>
      </c>
      <c r="N577">
        <v>3</v>
      </c>
      <c r="O577">
        <v>35</v>
      </c>
      <c r="P577" t="s">
        <v>21</v>
      </c>
      <c r="Q577" s="1"/>
      <c r="U577">
        <v>1</v>
      </c>
      <c r="V577">
        <v>1</v>
      </c>
      <c r="W577">
        <v>0</v>
      </c>
    </row>
    <row r="578" spans="1:23" ht="16.5" x14ac:dyDescent="0.3">
      <c r="A578" t="s">
        <v>645</v>
      </c>
      <c r="B578" t="s">
        <v>55</v>
      </c>
      <c r="C578" t="s">
        <v>25</v>
      </c>
      <c r="D578" t="s">
        <v>26</v>
      </c>
      <c r="E578">
        <v>25</v>
      </c>
      <c r="F578" t="s">
        <v>57</v>
      </c>
      <c r="G578" t="s">
        <v>38</v>
      </c>
      <c r="H578" s="1">
        <v>45499</v>
      </c>
      <c r="I578" s="2">
        <v>1.4</v>
      </c>
      <c r="J578" t="s">
        <v>29</v>
      </c>
      <c r="K578" s="3">
        <v>3550</v>
      </c>
      <c r="L578" t="s">
        <v>58</v>
      </c>
      <c r="M578">
        <v>3</v>
      </c>
      <c r="N578">
        <v>3</v>
      </c>
      <c r="O578">
        <v>38</v>
      </c>
      <c r="P578" t="s">
        <v>21</v>
      </c>
      <c r="Q578" s="1"/>
      <c r="U578">
        <v>1</v>
      </c>
      <c r="V578">
        <v>1</v>
      </c>
      <c r="W578">
        <v>0</v>
      </c>
    </row>
    <row r="579" spans="1:23" ht="16.5" x14ac:dyDescent="0.3">
      <c r="A579" t="s">
        <v>646</v>
      </c>
      <c r="B579" t="s">
        <v>35</v>
      </c>
      <c r="C579" t="s">
        <v>36</v>
      </c>
      <c r="D579" t="s">
        <v>37</v>
      </c>
      <c r="E579">
        <v>36</v>
      </c>
      <c r="F579" t="s">
        <v>46</v>
      </c>
      <c r="G579" t="s">
        <v>38</v>
      </c>
      <c r="H579" s="1">
        <v>41706</v>
      </c>
      <c r="I579" s="2">
        <v>10.4</v>
      </c>
      <c r="J579" t="s">
        <v>39</v>
      </c>
      <c r="K579" s="3">
        <v>4600</v>
      </c>
      <c r="L579" t="s">
        <v>58</v>
      </c>
      <c r="M579">
        <v>1</v>
      </c>
      <c r="N579">
        <v>5</v>
      </c>
      <c r="O579">
        <v>24</v>
      </c>
      <c r="P579" t="s">
        <v>22</v>
      </c>
      <c r="Q579" s="1">
        <v>45495</v>
      </c>
      <c r="R579" t="s">
        <v>31</v>
      </c>
      <c r="S579" t="s">
        <v>84</v>
      </c>
      <c r="T579" t="s">
        <v>60</v>
      </c>
      <c r="U579">
        <v>1</v>
      </c>
      <c r="V579">
        <v>0</v>
      </c>
      <c r="W579">
        <v>1</v>
      </c>
    </row>
    <row r="580" spans="1:23" ht="16.5" x14ac:dyDescent="0.3">
      <c r="A580" t="s">
        <v>647</v>
      </c>
      <c r="B580" t="s">
        <v>48</v>
      </c>
      <c r="C580" t="s">
        <v>36</v>
      </c>
      <c r="D580" t="s">
        <v>26</v>
      </c>
      <c r="E580">
        <v>32</v>
      </c>
      <c r="F580" t="s">
        <v>27</v>
      </c>
      <c r="G580" t="s">
        <v>28</v>
      </c>
      <c r="H580" s="1">
        <v>43097</v>
      </c>
      <c r="I580" s="2">
        <v>8</v>
      </c>
      <c r="J580" t="s">
        <v>39</v>
      </c>
      <c r="K580" s="3">
        <v>9250</v>
      </c>
      <c r="L580" t="s">
        <v>30</v>
      </c>
      <c r="M580">
        <v>3</v>
      </c>
      <c r="N580">
        <v>4</v>
      </c>
      <c r="O580">
        <v>23</v>
      </c>
      <c r="P580" t="s">
        <v>21</v>
      </c>
      <c r="Q580" s="1"/>
      <c r="U580">
        <v>1</v>
      </c>
      <c r="V580">
        <v>1</v>
      </c>
      <c r="W580">
        <v>0</v>
      </c>
    </row>
    <row r="581" spans="1:23" ht="16.5" x14ac:dyDescent="0.3">
      <c r="A581" t="s">
        <v>648</v>
      </c>
      <c r="B581" t="s">
        <v>24</v>
      </c>
      <c r="C581" t="s">
        <v>25</v>
      </c>
      <c r="D581" t="s">
        <v>26</v>
      </c>
      <c r="E581">
        <v>21</v>
      </c>
      <c r="F581" t="s">
        <v>57</v>
      </c>
      <c r="G581" t="s">
        <v>38</v>
      </c>
      <c r="H581" s="1">
        <v>46003</v>
      </c>
      <c r="I581" s="2">
        <v>0</v>
      </c>
      <c r="J581" t="s">
        <v>64</v>
      </c>
      <c r="K581" s="3">
        <v>2250</v>
      </c>
      <c r="L581" t="s">
        <v>58</v>
      </c>
      <c r="M581">
        <v>2</v>
      </c>
      <c r="N581">
        <v>4</v>
      </c>
      <c r="O581">
        <v>27</v>
      </c>
      <c r="P581" t="s">
        <v>22</v>
      </c>
      <c r="Q581" s="1">
        <v>46018</v>
      </c>
      <c r="R581" t="s">
        <v>40</v>
      </c>
      <c r="S581" t="s">
        <v>92</v>
      </c>
      <c r="T581" t="s">
        <v>33</v>
      </c>
      <c r="U581">
        <v>1</v>
      </c>
      <c r="V581">
        <v>0</v>
      </c>
      <c r="W581">
        <v>1</v>
      </c>
    </row>
    <row r="582" spans="1:23" ht="16.5" x14ac:dyDescent="0.3">
      <c r="A582" t="s">
        <v>649</v>
      </c>
      <c r="B582" t="s">
        <v>35</v>
      </c>
      <c r="C582" t="s">
        <v>87</v>
      </c>
      <c r="D582" t="s">
        <v>37</v>
      </c>
      <c r="E582">
        <v>44</v>
      </c>
      <c r="F582" t="s">
        <v>46</v>
      </c>
      <c r="G582" t="s">
        <v>52</v>
      </c>
      <c r="H582" s="1">
        <v>44123</v>
      </c>
      <c r="I582" s="2">
        <v>5.2</v>
      </c>
      <c r="J582" t="s">
        <v>39</v>
      </c>
      <c r="K582" s="3">
        <v>8000</v>
      </c>
      <c r="L582" t="s">
        <v>58</v>
      </c>
      <c r="M582">
        <v>4</v>
      </c>
      <c r="N582">
        <v>4</v>
      </c>
      <c r="O582">
        <v>49</v>
      </c>
      <c r="P582" t="s">
        <v>21</v>
      </c>
      <c r="Q582" s="1"/>
      <c r="U582">
        <v>1</v>
      </c>
      <c r="V582">
        <v>1</v>
      </c>
      <c r="W582">
        <v>0</v>
      </c>
    </row>
    <row r="583" spans="1:23" ht="16.5" x14ac:dyDescent="0.3">
      <c r="A583" t="s">
        <v>650</v>
      </c>
      <c r="B583" t="s">
        <v>24</v>
      </c>
      <c r="C583" t="s">
        <v>36</v>
      </c>
      <c r="D583" t="s">
        <v>37</v>
      </c>
      <c r="E583">
        <v>28</v>
      </c>
      <c r="F583" t="s">
        <v>27</v>
      </c>
      <c r="G583" t="s">
        <v>38</v>
      </c>
      <c r="H583" s="1">
        <v>45684</v>
      </c>
      <c r="I583" s="2">
        <v>0.9</v>
      </c>
      <c r="J583" t="s">
        <v>64</v>
      </c>
      <c r="K583" s="3">
        <v>4650</v>
      </c>
      <c r="L583" t="s">
        <v>58</v>
      </c>
      <c r="M583">
        <v>3</v>
      </c>
      <c r="N583">
        <v>3</v>
      </c>
      <c r="O583">
        <v>27</v>
      </c>
      <c r="P583" t="s">
        <v>21</v>
      </c>
      <c r="Q583" s="1"/>
      <c r="U583">
        <v>1</v>
      </c>
      <c r="V583">
        <v>1</v>
      </c>
      <c r="W583">
        <v>0</v>
      </c>
    </row>
    <row r="584" spans="1:23" ht="16.5" x14ac:dyDescent="0.3">
      <c r="A584" t="s">
        <v>651</v>
      </c>
      <c r="B584" t="s">
        <v>24</v>
      </c>
      <c r="C584" t="s">
        <v>45</v>
      </c>
      <c r="D584" t="s">
        <v>37</v>
      </c>
      <c r="E584">
        <v>37</v>
      </c>
      <c r="F584" t="s">
        <v>46</v>
      </c>
      <c r="G584" t="s">
        <v>28</v>
      </c>
      <c r="H584" s="1">
        <v>42105</v>
      </c>
      <c r="I584" s="2">
        <v>10.7</v>
      </c>
      <c r="J584" t="s">
        <v>39</v>
      </c>
      <c r="K584" s="3">
        <v>5200</v>
      </c>
      <c r="L584" t="s">
        <v>58</v>
      </c>
      <c r="M584">
        <v>3</v>
      </c>
      <c r="N584">
        <v>2</v>
      </c>
      <c r="O584">
        <v>29</v>
      </c>
      <c r="P584" t="s">
        <v>21</v>
      </c>
      <c r="Q584" s="1"/>
      <c r="U584">
        <v>1</v>
      </c>
      <c r="V584">
        <v>1</v>
      </c>
      <c r="W584">
        <v>0</v>
      </c>
    </row>
    <row r="585" spans="1:23" ht="16.5" x14ac:dyDescent="0.3">
      <c r="A585" t="s">
        <v>652</v>
      </c>
      <c r="B585" t="s">
        <v>24</v>
      </c>
      <c r="C585" t="s">
        <v>45</v>
      </c>
      <c r="D585" t="s">
        <v>37</v>
      </c>
      <c r="E585">
        <v>47</v>
      </c>
      <c r="F585" t="s">
        <v>88</v>
      </c>
      <c r="G585" t="s">
        <v>52</v>
      </c>
      <c r="H585" s="1">
        <v>41812</v>
      </c>
      <c r="I585" s="2">
        <v>11.5</v>
      </c>
      <c r="J585" t="s">
        <v>39</v>
      </c>
      <c r="K585" s="3">
        <v>6650</v>
      </c>
      <c r="L585" t="s">
        <v>30</v>
      </c>
      <c r="M585">
        <v>4</v>
      </c>
      <c r="N585">
        <v>3</v>
      </c>
      <c r="O585">
        <v>17</v>
      </c>
      <c r="P585" t="s">
        <v>21</v>
      </c>
      <c r="Q585" s="1"/>
      <c r="U585">
        <v>1</v>
      </c>
      <c r="V585">
        <v>1</v>
      </c>
      <c r="W585">
        <v>0</v>
      </c>
    </row>
    <row r="586" spans="1:23" ht="16.5" x14ac:dyDescent="0.3">
      <c r="A586" t="s">
        <v>653</v>
      </c>
      <c r="B586" t="s">
        <v>24</v>
      </c>
      <c r="C586" t="s">
        <v>36</v>
      </c>
      <c r="D586" t="s">
        <v>37</v>
      </c>
      <c r="E586">
        <v>23</v>
      </c>
      <c r="F586" t="s">
        <v>57</v>
      </c>
      <c r="G586" t="s">
        <v>38</v>
      </c>
      <c r="H586" s="1">
        <v>45794</v>
      </c>
      <c r="I586" s="2">
        <v>0.6</v>
      </c>
      <c r="J586" t="s">
        <v>64</v>
      </c>
      <c r="K586" s="3">
        <v>3800</v>
      </c>
      <c r="L586" t="s">
        <v>58</v>
      </c>
      <c r="M586">
        <v>3</v>
      </c>
      <c r="N586">
        <v>3</v>
      </c>
      <c r="O586">
        <v>20</v>
      </c>
      <c r="P586" t="s">
        <v>21</v>
      </c>
      <c r="Q586" s="1"/>
      <c r="U586">
        <v>1</v>
      </c>
      <c r="V586">
        <v>1</v>
      </c>
      <c r="W586">
        <v>0</v>
      </c>
    </row>
    <row r="587" spans="1:23" ht="16.5" x14ac:dyDescent="0.3">
      <c r="A587" t="s">
        <v>654</v>
      </c>
      <c r="B587" t="s">
        <v>24</v>
      </c>
      <c r="C587" t="s">
        <v>25</v>
      </c>
      <c r="D587" t="s">
        <v>37</v>
      </c>
      <c r="E587">
        <v>28</v>
      </c>
      <c r="F587" t="s">
        <v>27</v>
      </c>
      <c r="G587" t="s">
        <v>28</v>
      </c>
      <c r="H587" s="1">
        <v>45053</v>
      </c>
      <c r="I587" s="2">
        <v>2.7</v>
      </c>
      <c r="J587" t="s">
        <v>29</v>
      </c>
      <c r="K587" s="3">
        <v>3000</v>
      </c>
      <c r="L587" t="s">
        <v>30</v>
      </c>
      <c r="M587">
        <v>5</v>
      </c>
      <c r="N587">
        <v>5</v>
      </c>
      <c r="O587">
        <v>0</v>
      </c>
      <c r="P587" t="s">
        <v>21</v>
      </c>
      <c r="Q587" s="1"/>
      <c r="U587">
        <v>1</v>
      </c>
      <c r="V587">
        <v>1</v>
      </c>
      <c r="W587">
        <v>0</v>
      </c>
    </row>
    <row r="588" spans="1:23" ht="16.5" x14ac:dyDescent="0.3">
      <c r="A588" t="s">
        <v>655</v>
      </c>
      <c r="B588" t="s">
        <v>35</v>
      </c>
      <c r="C588" t="s">
        <v>45</v>
      </c>
      <c r="D588" t="s">
        <v>37</v>
      </c>
      <c r="E588">
        <v>32</v>
      </c>
      <c r="F588" t="s">
        <v>27</v>
      </c>
      <c r="G588" t="s">
        <v>28</v>
      </c>
      <c r="H588" s="1">
        <v>45364</v>
      </c>
      <c r="I588" s="2">
        <v>1.8</v>
      </c>
      <c r="J588" t="s">
        <v>29</v>
      </c>
      <c r="K588" s="3">
        <v>5050</v>
      </c>
      <c r="L588" t="s">
        <v>58</v>
      </c>
      <c r="M588">
        <v>3</v>
      </c>
      <c r="N588">
        <v>3</v>
      </c>
      <c r="O588">
        <v>4</v>
      </c>
      <c r="P588" t="s">
        <v>21</v>
      </c>
      <c r="Q588" s="1"/>
      <c r="U588">
        <v>1</v>
      </c>
      <c r="V588">
        <v>1</v>
      </c>
      <c r="W588">
        <v>0</v>
      </c>
    </row>
    <row r="589" spans="1:23" ht="16.5" x14ac:dyDescent="0.3">
      <c r="A589" t="s">
        <v>656</v>
      </c>
      <c r="B589" t="s">
        <v>70</v>
      </c>
      <c r="C589" t="s">
        <v>25</v>
      </c>
      <c r="D589" t="s">
        <v>37</v>
      </c>
      <c r="E589">
        <v>23</v>
      </c>
      <c r="F589" t="s">
        <v>57</v>
      </c>
      <c r="G589" t="s">
        <v>38</v>
      </c>
      <c r="H589" s="1">
        <v>45580</v>
      </c>
      <c r="I589" s="2">
        <v>0.8</v>
      </c>
      <c r="J589" t="s">
        <v>64</v>
      </c>
      <c r="K589" s="3">
        <v>4050</v>
      </c>
      <c r="L589" t="s">
        <v>58</v>
      </c>
      <c r="M589">
        <v>3</v>
      </c>
      <c r="N589">
        <v>3</v>
      </c>
      <c r="O589">
        <v>17</v>
      </c>
      <c r="P589" t="s">
        <v>22</v>
      </c>
      <c r="Q589" s="1">
        <v>45860</v>
      </c>
      <c r="R589" t="s">
        <v>40</v>
      </c>
      <c r="S589" t="s">
        <v>84</v>
      </c>
      <c r="T589" t="s">
        <v>60</v>
      </c>
      <c r="U589">
        <v>1</v>
      </c>
      <c r="V589">
        <v>0</v>
      </c>
      <c r="W589">
        <v>1</v>
      </c>
    </row>
    <row r="590" spans="1:23" ht="16.5" x14ac:dyDescent="0.3">
      <c r="A590" t="s">
        <v>657</v>
      </c>
      <c r="B590" t="s">
        <v>70</v>
      </c>
      <c r="C590" t="s">
        <v>25</v>
      </c>
      <c r="D590" t="s">
        <v>26</v>
      </c>
      <c r="E590">
        <v>23</v>
      </c>
      <c r="F590" t="s">
        <v>57</v>
      </c>
      <c r="G590" t="s">
        <v>28</v>
      </c>
      <c r="H590" s="1">
        <v>45512</v>
      </c>
      <c r="I590" s="2">
        <v>0.8</v>
      </c>
      <c r="J590" t="s">
        <v>64</v>
      </c>
      <c r="K590" s="3">
        <v>4300</v>
      </c>
      <c r="L590" t="s">
        <v>30</v>
      </c>
      <c r="M590">
        <v>4</v>
      </c>
      <c r="N590">
        <v>3</v>
      </c>
      <c r="O590">
        <v>33</v>
      </c>
      <c r="P590" t="s">
        <v>22</v>
      </c>
      <c r="Q590" s="1">
        <v>45787</v>
      </c>
      <c r="R590" t="s">
        <v>40</v>
      </c>
      <c r="S590" t="s">
        <v>169</v>
      </c>
      <c r="T590" t="s">
        <v>60</v>
      </c>
      <c r="U590">
        <v>1</v>
      </c>
      <c r="V590">
        <v>0</v>
      </c>
      <c r="W590">
        <v>1</v>
      </c>
    </row>
    <row r="591" spans="1:23" ht="16.5" x14ac:dyDescent="0.3">
      <c r="A591" t="s">
        <v>658</v>
      </c>
      <c r="B591" t="s">
        <v>44</v>
      </c>
      <c r="C591" t="s">
        <v>25</v>
      </c>
      <c r="D591" t="s">
        <v>37</v>
      </c>
      <c r="E591">
        <v>30</v>
      </c>
      <c r="F591" t="s">
        <v>27</v>
      </c>
      <c r="G591" t="s">
        <v>28</v>
      </c>
      <c r="H591" s="1">
        <v>45373</v>
      </c>
      <c r="I591" s="2">
        <v>1.8</v>
      </c>
      <c r="J591" t="s">
        <v>29</v>
      </c>
      <c r="K591" s="3">
        <v>4750</v>
      </c>
      <c r="L591" t="s">
        <v>30</v>
      </c>
      <c r="M591">
        <v>4</v>
      </c>
      <c r="N591">
        <v>3</v>
      </c>
      <c r="O591">
        <v>43</v>
      </c>
      <c r="P591" t="s">
        <v>21</v>
      </c>
      <c r="Q591" s="1"/>
      <c r="U591">
        <v>1</v>
      </c>
      <c r="V591">
        <v>1</v>
      </c>
      <c r="W591">
        <v>0</v>
      </c>
    </row>
    <row r="592" spans="1:23" ht="16.5" x14ac:dyDescent="0.3">
      <c r="A592" t="s">
        <v>659</v>
      </c>
      <c r="B592" t="s">
        <v>48</v>
      </c>
      <c r="C592" t="s">
        <v>25</v>
      </c>
      <c r="D592" t="s">
        <v>37</v>
      </c>
      <c r="E592">
        <v>26</v>
      </c>
      <c r="F592" t="s">
        <v>27</v>
      </c>
      <c r="G592" t="s">
        <v>38</v>
      </c>
      <c r="H592" s="1">
        <v>45116</v>
      </c>
      <c r="I592" s="2">
        <v>2.5</v>
      </c>
      <c r="J592" t="s">
        <v>29</v>
      </c>
      <c r="K592" s="3">
        <v>5500</v>
      </c>
      <c r="L592" t="s">
        <v>30</v>
      </c>
      <c r="M592">
        <v>3</v>
      </c>
      <c r="N592">
        <v>3</v>
      </c>
      <c r="O592">
        <v>31</v>
      </c>
      <c r="P592" t="s">
        <v>21</v>
      </c>
      <c r="Q592" s="1"/>
      <c r="U592">
        <v>1</v>
      </c>
      <c r="V592">
        <v>1</v>
      </c>
      <c r="W592">
        <v>0</v>
      </c>
    </row>
    <row r="593" spans="1:23" ht="16.5" x14ac:dyDescent="0.3">
      <c r="A593" t="s">
        <v>660</v>
      </c>
      <c r="B593" t="s">
        <v>44</v>
      </c>
      <c r="C593" t="s">
        <v>36</v>
      </c>
      <c r="D593" t="s">
        <v>37</v>
      </c>
      <c r="E593">
        <v>26</v>
      </c>
      <c r="F593" t="s">
        <v>27</v>
      </c>
      <c r="G593" t="s">
        <v>38</v>
      </c>
      <c r="H593" s="1">
        <v>45572</v>
      </c>
      <c r="I593" s="2">
        <v>1.2</v>
      </c>
      <c r="J593" t="s">
        <v>29</v>
      </c>
      <c r="K593" s="3">
        <v>6950</v>
      </c>
      <c r="L593" t="s">
        <v>30</v>
      </c>
      <c r="M593">
        <v>4</v>
      </c>
      <c r="N593">
        <v>4</v>
      </c>
      <c r="O593">
        <v>12</v>
      </c>
      <c r="P593" t="s">
        <v>21</v>
      </c>
      <c r="Q593" s="1"/>
      <c r="U593">
        <v>1</v>
      </c>
      <c r="V593">
        <v>1</v>
      </c>
      <c r="W593">
        <v>0</v>
      </c>
    </row>
    <row r="594" spans="1:23" ht="16.5" x14ac:dyDescent="0.3">
      <c r="A594" t="s">
        <v>661</v>
      </c>
      <c r="B594" t="s">
        <v>24</v>
      </c>
      <c r="C594" t="s">
        <v>45</v>
      </c>
      <c r="D594" t="s">
        <v>37</v>
      </c>
      <c r="E594">
        <v>50</v>
      </c>
      <c r="F594" t="s">
        <v>88</v>
      </c>
      <c r="G594" t="s">
        <v>28</v>
      </c>
      <c r="H594" s="1">
        <v>43777</v>
      </c>
      <c r="I594" s="2">
        <v>6.1</v>
      </c>
      <c r="J594" t="s">
        <v>39</v>
      </c>
      <c r="K594" s="3">
        <v>5400</v>
      </c>
      <c r="L594" t="s">
        <v>30</v>
      </c>
      <c r="M594">
        <v>3</v>
      </c>
      <c r="N594">
        <v>2</v>
      </c>
      <c r="O594">
        <v>24</v>
      </c>
      <c r="P594" t="s">
        <v>21</v>
      </c>
      <c r="Q594" s="1"/>
      <c r="U594">
        <v>1</v>
      </c>
      <c r="V594">
        <v>1</v>
      </c>
      <c r="W594">
        <v>0</v>
      </c>
    </row>
    <row r="595" spans="1:23" ht="16.5" x14ac:dyDescent="0.3">
      <c r="A595" t="s">
        <v>662</v>
      </c>
      <c r="B595" t="s">
        <v>44</v>
      </c>
      <c r="C595" t="s">
        <v>25</v>
      </c>
      <c r="D595" t="s">
        <v>26</v>
      </c>
      <c r="E595">
        <v>26</v>
      </c>
      <c r="F595" t="s">
        <v>27</v>
      </c>
      <c r="G595" t="s">
        <v>28</v>
      </c>
      <c r="H595" s="1">
        <v>44776</v>
      </c>
      <c r="I595" s="2">
        <v>3.4</v>
      </c>
      <c r="J595" t="s">
        <v>50</v>
      </c>
      <c r="K595" s="3">
        <v>5850</v>
      </c>
      <c r="L595" t="s">
        <v>58</v>
      </c>
      <c r="M595">
        <v>2</v>
      </c>
      <c r="N595">
        <v>4</v>
      </c>
      <c r="O595">
        <v>37</v>
      </c>
      <c r="P595" t="s">
        <v>21</v>
      </c>
      <c r="Q595" s="1"/>
      <c r="U595">
        <v>1</v>
      </c>
      <c r="V595">
        <v>1</v>
      </c>
      <c r="W595">
        <v>0</v>
      </c>
    </row>
    <row r="596" spans="1:23" ht="16.5" x14ac:dyDescent="0.3">
      <c r="A596" t="s">
        <v>663</v>
      </c>
      <c r="B596" t="s">
        <v>48</v>
      </c>
      <c r="C596" t="s">
        <v>45</v>
      </c>
      <c r="D596" t="s">
        <v>26</v>
      </c>
      <c r="E596">
        <v>46</v>
      </c>
      <c r="F596" t="s">
        <v>88</v>
      </c>
      <c r="G596" t="s">
        <v>38</v>
      </c>
      <c r="H596" s="1">
        <v>44553</v>
      </c>
      <c r="I596" s="2">
        <v>4</v>
      </c>
      <c r="J596" t="s">
        <v>50</v>
      </c>
      <c r="K596" s="3">
        <v>10800</v>
      </c>
      <c r="L596" t="s">
        <v>30</v>
      </c>
      <c r="M596">
        <v>4</v>
      </c>
      <c r="N596">
        <v>4</v>
      </c>
      <c r="O596">
        <v>23</v>
      </c>
      <c r="P596" t="s">
        <v>21</v>
      </c>
      <c r="Q596" s="1"/>
      <c r="U596">
        <v>1</v>
      </c>
      <c r="V596">
        <v>1</v>
      </c>
      <c r="W596">
        <v>0</v>
      </c>
    </row>
    <row r="597" spans="1:23" ht="16.5" x14ac:dyDescent="0.3">
      <c r="A597" t="s">
        <v>664</v>
      </c>
      <c r="B597" t="s">
        <v>55</v>
      </c>
      <c r="C597" t="s">
        <v>36</v>
      </c>
      <c r="D597" t="s">
        <v>26</v>
      </c>
      <c r="E597">
        <v>36</v>
      </c>
      <c r="F597" t="s">
        <v>46</v>
      </c>
      <c r="G597" t="s">
        <v>28</v>
      </c>
      <c r="H597" s="1">
        <v>42618</v>
      </c>
      <c r="I597" s="2">
        <v>9.3000000000000007</v>
      </c>
      <c r="J597" t="s">
        <v>39</v>
      </c>
      <c r="K597" s="3">
        <v>5250</v>
      </c>
      <c r="L597" t="s">
        <v>30</v>
      </c>
      <c r="M597">
        <v>4</v>
      </c>
      <c r="N597">
        <v>2</v>
      </c>
      <c r="O597">
        <v>20</v>
      </c>
      <c r="P597" t="s">
        <v>21</v>
      </c>
      <c r="Q597" s="1"/>
      <c r="U597">
        <v>1</v>
      </c>
      <c r="V597">
        <v>1</v>
      </c>
      <c r="W597">
        <v>0</v>
      </c>
    </row>
    <row r="598" spans="1:23" ht="16.5" x14ac:dyDescent="0.3">
      <c r="A598" t="s">
        <v>665</v>
      </c>
      <c r="B598" t="s">
        <v>55</v>
      </c>
      <c r="C598" t="s">
        <v>45</v>
      </c>
      <c r="D598" t="s">
        <v>26</v>
      </c>
      <c r="E598">
        <v>43</v>
      </c>
      <c r="F598" t="s">
        <v>46</v>
      </c>
      <c r="G598" t="s">
        <v>52</v>
      </c>
      <c r="H598" s="1">
        <v>43499</v>
      </c>
      <c r="I598" s="2">
        <v>6.9</v>
      </c>
      <c r="J598" t="s">
        <v>39</v>
      </c>
      <c r="K598" s="3">
        <v>9350</v>
      </c>
      <c r="L598" t="s">
        <v>30</v>
      </c>
      <c r="M598">
        <v>4</v>
      </c>
      <c r="N598">
        <v>3</v>
      </c>
      <c r="O598">
        <v>23</v>
      </c>
      <c r="P598" t="s">
        <v>21</v>
      </c>
      <c r="Q598" s="1"/>
      <c r="U598">
        <v>1</v>
      </c>
      <c r="V598">
        <v>1</v>
      </c>
      <c r="W598">
        <v>0</v>
      </c>
    </row>
    <row r="599" spans="1:23" ht="16.5" x14ac:dyDescent="0.3">
      <c r="A599" t="s">
        <v>666</v>
      </c>
      <c r="B599" t="s">
        <v>44</v>
      </c>
      <c r="C599" t="s">
        <v>25</v>
      </c>
      <c r="D599" t="s">
        <v>26</v>
      </c>
      <c r="E599">
        <v>26</v>
      </c>
      <c r="F599" t="s">
        <v>27</v>
      </c>
      <c r="G599" t="s">
        <v>28</v>
      </c>
      <c r="H599" s="1">
        <v>45760</v>
      </c>
      <c r="I599" s="2">
        <v>0.7</v>
      </c>
      <c r="J599" t="s">
        <v>64</v>
      </c>
      <c r="K599" s="3">
        <v>5150</v>
      </c>
      <c r="L599" t="s">
        <v>30</v>
      </c>
      <c r="M599">
        <v>4</v>
      </c>
      <c r="N599">
        <v>3</v>
      </c>
      <c r="O599">
        <v>29</v>
      </c>
      <c r="P599" t="s">
        <v>21</v>
      </c>
      <c r="Q599" s="1"/>
      <c r="U599">
        <v>1</v>
      </c>
      <c r="V599">
        <v>1</v>
      </c>
      <c r="W599">
        <v>0</v>
      </c>
    </row>
    <row r="600" spans="1:23" ht="16.5" x14ac:dyDescent="0.3">
      <c r="A600" t="s">
        <v>667</v>
      </c>
      <c r="B600" t="s">
        <v>24</v>
      </c>
      <c r="C600" t="s">
        <v>25</v>
      </c>
      <c r="D600" t="s">
        <v>37</v>
      </c>
      <c r="E600">
        <v>23</v>
      </c>
      <c r="F600" t="s">
        <v>57</v>
      </c>
      <c r="G600" t="s">
        <v>38</v>
      </c>
      <c r="H600" s="1">
        <v>45683</v>
      </c>
      <c r="I600" s="2">
        <v>0.7</v>
      </c>
      <c r="J600" t="s">
        <v>64</v>
      </c>
      <c r="K600" s="3">
        <v>2800</v>
      </c>
      <c r="L600" t="s">
        <v>58</v>
      </c>
      <c r="M600">
        <v>2</v>
      </c>
      <c r="N600">
        <v>5</v>
      </c>
      <c r="O600">
        <v>23</v>
      </c>
      <c r="P600" t="s">
        <v>22</v>
      </c>
      <c r="Q600" s="1">
        <v>45945</v>
      </c>
      <c r="R600" t="s">
        <v>40</v>
      </c>
      <c r="S600" t="s">
        <v>206</v>
      </c>
      <c r="T600" t="s">
        <v>60</v>
      </c>
      <c r="U600">
        <v>1</v>
      </c>
      <c r="V600">
        <v>0</v>
      </c>
      <c r="W600">
        <v>1</v>
      </c>
    </row>
    <row r="601" spans="1:23" ht="16.5" x14ac:dyDescent="0.3">
      <c r="A601" t="s">
        <v>668</v>
      </c>
      <c r="B601" t="s">
        <v>70</v>
      </c>
      <c r="C601" t="s">
        <v>25</v>
      </c>
      <c r="D601" t="s">
        <v>37</v>
      </c>
      <c r="E601">
        <v>21</v>
      </c>
      <c r="F601" t="s">
        <v>57</v>
      </c>
      <c r="G601" t="s">
        <v>38</v>
      </c>
      <c r="H601" s="1">
        <v>46001</v>
      </c>
      <c r="I601" s="2">
        <v>0.1</v>
      </c>
      <c r="J601" t="s">
        <v>64</v>
      </c>
      <c r="K601" s="3">
        <v>4000</v>
      </c>
      <c r="L601" t="s">
        <v>30</v>
      </c>
      <c r="M601">
        <v>3</v>
      </c>
      <c r="N601">
        <v>3</v>
      </c>
      <c r="O601">
        <v>12</v>
      </c>
      <c r="P601" t="s">
        <v>21</v>
      </c>
      <c r="Q601" s="1"/>
      <c r="U601">
        <v>1</v>
      </c>
      <c r="V601">
        <v>1</v>
      </c>
      <c r="W601">
        <v>0</v>
      </c>
    </row>
    <row r="602" spans="1:23" ht="16.5" x14ac:dyDescent="0.3">
      <c r="A602" t="s">
        <v>669</v>
      </c>
      <c r="B602" t="s">
        <v>70</v>
      </c>
      <c r="C602" t="s">
        <v>87</v>
      </c>
      <c r="D602" t="s">
        <v>37</v>
      </c>
      <c r="E602">
        <v>51</v>
      </c>
      <c r="F602" t="s">
        <v>88</v>
      </c>
      <c r="G602" t="s">
        <v>28</v>
      </c>
      <c r="H602" s="1">
        <v>42105</v>
      </c>
      <c r="I602" s="2">
        <v>10.7</v>
      </c>
      <c r="J602" t="s">
        <v>39</v>
      </c>
      <c r="K602" s="3">
        <v>9200</v>
      </c>
      <c r="L602" t="s">
        <v>30</v>
      </c>
      <c r="M602">
        <v>4</v>
      </c>
      <c r="N602">
        <v>4</v>
      </c>
      <c r="O602">
        <v>22</v>
      </c>
      <c r="P602" t="s">
        <v>21</v>
      </c>
      <c r="Q602" s="1"/>
      <c r="U602">
        <v>1</v>
      </c>
      <c r="V602">
        <v>1</v>
      </c>
      <c r="W602">
        <v>0</v>
      </c>
    </row>
    <row r="603" spans="1:23" ht="16.5" x14ac:dyDescent="0.3">
      <c r="A603" t="s">
        <v>670</v>
      </c>
      <c r="B603" t="s">
        <v>70</v>
      </c>
      <c r="C603" t="s">
        <v>25</v>
      </c>
      <c r="D603" t="s">
        <v>26</v>
      </c>
      <c r="E603">
        <v>23</v>
      </c>
      <c r="F603" t="s">
        <v>57</v>
      </c>
      <c r="G603" t="s">
        <v>38</v>
      </c>
      <c r="H603" s="1">
        <v>45818</v>
      </c>
      <c r="I603" s="2">
        <v>0</v>
      </c>
      <c r="J603" t="s">
        <v>64</v>
      </c>
      <c r="K603" s="3">
        <v>3650</v>
      </c>
      <c r="L603" t="s">
        <v>30</v>
      </c>
      <c r="M603">
        <v>4</v>
      </c>
      <c r="N603">
        <v>2</v>
      </c>
      <c r="O603">
        <v>26</v>
      </c>
      <c r="P603" t="s">
        <v>22</v>
      </c>
      <c r="Q603" s="1">
        <v>45829</v>
      </c>
      <c r="R603" t="s">
        <v>40</v>
      </c>
      <c r="S603" t="s">
        <v>32</v>
      </c>
      <c r="T603" t="s">
        <v>33</v>
      </c>
      <c r="U603">
        <v>1</v>
      </c>
      <c r="V603">
        <v>0</v>
      </c>
      <c r="W603">
        <v>1</v>
      </c>
    </row>
    <row r="604" spans="1:23" ht="16.5" x14ac:dyDescent="0.3">
      <c r="A604" t="s">
        <v>671</v>
      </c>
      <c r="B604" t="s">
        <v>24</v>
      </c>
      <c r="C604" t="s">
        <v>36</v>
      </c>
      <c r="D604" t="s">
        <v>37</v>
      </c>
      <c r="E604">
        <v>33</v>
      </c>
      <c r="F604" t="s">
        <v>27</v>
      </c>
      <c r="G604" t="s">
        <v>38</v>
      </c>
      <c r="H604" s="1">
        <v>45181</v>
      </c>
      <c r="I604" s="2">
        <v>2.2999999999999998</v>
      </c>
      <c r="J604" t="s">
        <v>29</v>
      </c>
      <c r="K604" s="3">
        <v>3500</v>
      </c>
      <c r="L604" t="s">
        <v>30</v>
      </c>
      <c r="M604">
        <v>3</v>
      </c>
      <c r="N604">
        <v>3</v>
      </c>
      <c r="O604">
        <v>25</v>
      </c>
      <c r="P604" t="s">
        <v>21</v>
      </c>
      <c r="Q604" s="1"/>
      <c r="U604">
        <v>1</v>
      </c>
      <c r="V604">
        <v>1</v>
      </c>
      <c r="W604">
        <v>0</v>
      </c>
    </row>
    <row r="605" spans="1:23" ht="16.5" x14ac:dyDescent="0.3">
      <c r="A605" t="s">
        <v>672</v>
      </c>
      <c r="B605" t="s">
        <v>44</v>
      </c>
      <c r="C605" t="s">
        <v>25</v>
      </c>
      <c r="D605" t="s">
        <v>37</v>
      </c>
      <c r="E605">
        <v>24</v>
      </c>
      <c r="F605" t="s">
        <v>57</v>
      </c>
      <c r="G605" t="s">
        <v>38</v>
      </c>
      <c r="H605" s="1">
        <v>45357</v>
      </c>
      <c r="I605" s="2">
        <v>1.8</v>
      </c>
      <c r="J605" t="s">
        <v>29</v>
      </c>
      <c r="K605" s="3">
        <v>5800</v>
      </c>
      <c r="L605" t="s">
        <v>30</v>
      </c>
      <c r="M605">
        <v>4</v>
      </c>
      <c r="N605">
        <v>3</v>
      </c>
      <c r="O605">
        <v>14</v>
      </c>
      <c r="P605" t="s">
        <v>21</v>
      </c>
      <c r="Q605" s="1"/>
      <c r="U605">
        <v>1</v>
      </c>
      <c r="V605">
        <v>1</v>
      </c>
      <c r="W605">
        <v>0</v>
      </c>
    </row>
    <row r="606" spans="1:23" ht="16.5" x14ac:dyDescent="0.3">
      <c r="A606" t="s">
        <v>673</v>
      </c>
      <c r="B606" t="s">
        <v>70</v>
      </c>
      <c r="C606" t="s">
        <v>36</v>
      </c>
      <c r="D606" t="s">
        <v>37</v>
      </c>
      <c r="E606">
        <v>33</v>
      </c>
      <c r="F606" t="s">
        <v>27</v>
      </c>
      <c r="G606" t="s">
        <v>28</v>
      </c>
      <c r="H606" s="1">
        <v>45435</v>
      </c>
      <c r="I606" s="2">
        <v>1.6</v>
      </c>
      <c r="J606" t="s">
        <v>29</v>
      </c>
      <c r="K606" s="3">
        <v>6350</v>
      </c>
      <c r="L606" t="s">
        <v>58</v>
      </c>
      <c r="M606">
        <v>2</v>
      </c>
      <c r="N606">
        <v>4</v>
      </c>
      <c r="O606">
        <v>37</v>
      </c>
      <c r="P606" t="s">
        <v>21</v>
      </c>
      <c r="Q606" s="1"/>
      <c r="U606">
        <v>1</v>
      </c>
      <c r="V606">
        <v>1</v>
      </c>
      <c r="W606">
        <v>0</v>
      </c>
    </row>
    <row r="607" spans="1:23" ht="16.5" x14ac:dyDescent="0.3">
      <c r="A607" t="s">
        <v>674</v>
      </c>
      <c r="B607" t="s">
        <v>48</v>
      </c>
      <c r="C607" t="s">
        <v>25</v>
      </c>
      <c r="D607" t="s">
        <v>26</v>
      </c>
      <c r="E607">
        <v>44</v>
      </c>
      <c r="F607" t="s">
        <v>46</v>
      </c>
      <c r="G607" t="s">
        <v>38</v>
      </c>
      <c r="H607" s="1">
        <v>43992</v>
      </c>
      <c r="I607" s="2">
        <v>5.6</v>
      </c>
      <c r="J607" t="s">
        <v>39</v>
      </c>
      <c r="K607" s="3">
        <v>5100</v>
      </c>
      <c r="L607" t="s">
        <v>30</v>
      </c>
      <c r="M607">
        <v>3</v>
      </c>
      <c r="N607">
        <v>3</v>
      </c>
      <c r="O607">
        <v>20</v>
      </c>
      <c r="P607" t="s">
        <v>21</v>
      </c>
      <c r="Q607" s="1"/>
      <c r="U607">
        <v>1</v>
      </c>
      <c r="V607">
        <v>1</v>
      </c>
      <c r="W607">
        <v>0</v>
      </c>
    </row>
    <row r="608" spans="1:23" ht="16.5" x14ac:dyDescent="0.3">
      <c r="A608" t="s">
        <v>675</v>
      </c>
      <c r="B608" t="s">
        <v>55</v>
      </c>
      <c r="C608" t="s">
        <v>87</v>
      </c>
      <c r="D608" t="s">
        <v>37</v>
      </c>
      <c r="E608">
        <v>42</v>
      </c>
      <c r="F608" t="s">
        <v>46</v>
      </c>
      <c r="G608" t="s">
        <v>28</v>
      </c>
      <c r="H608" s="1">
        <v>40984</v>
      </c>
      <c r="I608" s="2">
        <v>13.8</v>
      </c>
      <c r="J608" t="s">
        <v>39</v>
      </c>
      <c r="K608" s="3">
        <v>9350</v>
      </c>
      <c r="L608" t="s">
        <v>30</v>
      </c>
      <c r="M608">
        <v>4</v>
      </c>
      <c r="N608">
        <v>3</v>
      </c>
      <c r="O608">
        <v>15</v>
      </c>
      <c r="P608" t="s">
        <v>21</v>
      </c>
      <c r="Q608" s="1"/>
      <c r="U608">
        <v>1</v>
      </c>
      <c r="V608">
        <v>1</v>
      </c>
      <c r="W608">
        <v>0</v>
      </c>
    </row>
    <row r="609" spans="1:23" ht="16.5" x14ac:dyDescent="0.3">
      <c r="A609" t="s">
        <v>676</v>
      </c>
      <c r="B609" t="s">
        <v>70</v>
      </c>
      <c r="C609" t="s">
        <v>36</v>
      </c>
      <c r="D609" t="s">
        <v>26</v>
      </c>
      <c r="E609">
        <v>37</v>
      </c>
      <c r="F609" t="s">
        <v>46</v>
      </c>
      <c r="G609" t="s">
        <v>28</v>
      </c>
      <c r="H609" s="1">
        <v>45236</v>
      </c>
      <c r="I609" s="2">
        <v>0.7</v>
      </c>
      <c r="J609" t="s">
        <v>64</v>
      </c>
      <c r="K609" s="3">
        <v>4450</v>
      </c>
      <c r="L609" t="s">
        <v>58</v>
      </c>
      <c r="M609">
        <v>2</v>
      </c>
      <c r="N609">
        <v>3</v>
      </c>
      <c r="O609">
        <v>21</v>
      </c>
      <c r="P609" t="s">
        <v>22</v>
      </c>
      <c r="Q609" s="1">
        <v>45483</v>
      </c>
      <c r="R609" t="s">
        <v>31</v>
      </c>
      <c r="S609" t="s">
        <v>84</v>
      </c>
      <c r="T609" t="s">
        <v>60</v>
      </c>
      <c r="U609">
        <v>1</v>
      </c>
      <c r="V609">
        <v>0</v>
      </c>
      <c r="W609">
        <v>1</v>
      </c>
    </row>
    <row r="610" spans="1:23" ht="16.5" x14ac:dyDescent="0.3">
      <c r="A610" t="s">
        <v>677</v>
      </c>
      <c r="B610" t="s">
        <v>48</v>
      </c>
      <c r="C610" t="s">
        <v>36</v>
      </c>
      <c r="D610" t="s">
        <v>37</v>
      </c>
      <c r="E610">
        <v>28</v>
      </c>
      <c r="F610" t="s">
        <v>27</v>
      </c>
      <c r="G610" t="s">
        <v>28</v>
      </c>
      <c r="H610" s="1">
        <v>45444</v>
      </c>
      <c r="I610" s="2">
        <v>1.6</v>
      </c>
      <c r="J610" t="s">
        <v>29</v>
      </c>
      <c r="K610" s="3">
        <v>8650</v>
      </c>
      <c r="L610" t="s">
        <v>58</v>
      </c>
      <c r="M610">
        <v>3</v>
      </c>
      <c r="N610">
        <v>3</v>
      </c>
      <c r="O610">
        <v>42</v>
      </c>
      <c r="P610" t="s">
        <v>21</v>
      </c>
      <c r="Q610" s="1"/>
      <c r="U610">
        <v>1</v>
      </c>
      <c r="V610">
        <v>1</v>
      </c>
      <c r="W610">
        <v>0</v>
      </c>
    </row>
    <row r="611" spans="1:23" ht="16.5" x14ac:dyDescent="0.3">
      <c r="A611" t="s">
        <v>678</v>
      </c>
      <c r="B611" t="s">
        <v>24</v>
      </c>
      <c r="C611" t="s">
        <v>45</v>
      </c>
      <c r="D611" t="s">
        <v>26</v>
      </c>
      <c r="E611">
        <v>31</v>
      </c>
      <c r="F611" t="s">
        <v>27</v>
      </c>
      <c r="G611" t="s">
        <v>38</v>
      </c>
      <c r="H611" s="1">
        <v>44079</v>
      </c>
      <c r="I611" s="2">
        <v>5.3</v>
      </c>
      <c r="J611" t="s">
        <v>39</v>
      </c>
      <c r="K611" s="3">
        <v>4750</v>
      </c>
      <c r="L611" t="s">
        <v>30</v>
      </c>
      <c r="M611">
        <v>5</v>
      </c>
      <c r="N611">
        <v>4</v>
      </c>
      <c r="O611">
        <v>27</v>
      </c>
      <c r="P611" t="s">
        <v>21</v>
      </c>
      <c r="Q611" s="1"/>
      <c r="U611">
        <v>1</v>
      </c>
      <c r="V611">
        <v>1</v>
      </c>
      <c r="W611">
        <v>0</v>
      </c>
    </row>
    <row r="612" spans="1:23" ht="16.5" x14ac:dyDescent="0.3">
      <c r="A612" t="s">
        <v>679</v>
      </c>
      <c r="B612" t="s">
        <v>35</v>
      </c>
      <c r="C612" t="s">
        <v>45</v>
      </c>
      <c r="D612" t="s">
        <v>37</v>
      </c>
      <c r="E612">
        <v>42</v>
      </c>
      <c r="F612" t="s">
        <v>46</v>
      </c>
      <c r="G612" t="s">
        <v>52</v>
      </c>
      <c r="H612" s="1">
        <v>41012</v>
      </c>
      <c r="I612" s="2">
        <v>13.7</v>
      </c>
      <c r="J612" t="s">
        <v>39</v>
      </c>
      <c r="K612" s="3">
        <v>7250</v>
      </c>
      <c r="L612" t="s">
        <v>30</v>
      </c>
      <c r="M612">
        <v>3</v>
      </c>
      <c r="N612">
        <v>3</v>
      </c>
      <c r="O612">
        <v>19</v>
      </c>
      <c r="P612" t="s">
        <v>21</v>
      </c>
      <c r="Q612" s="1"/>
      <c r="U612">
        <v>1</v>
      </c>
      <c r="V612">
        <v>1</v>
      </c>
      <c r="W612">
        <v>0</v>
      </c>
    </row>
    <row r="613" spans="1:23" ht="16.5" x14ac:dyDescent="0.3">
      <c r="A613" t="s">
        <v>680</v>
      </c>
      <c r="B613" t="s">
        <v>70</v>
      </c>
      <c r="C613" t="s">
        <v>25</v>
      </c>
      <c r="D613" t="s">
        <v>26</v>
      </c>
      <c r="E613">
        <v>21</v>
      </c>
      <c r="F613" t="s">
        <v>57</v>
      </c>
      <c r="G613" t="s">
        <v>38</v>
      </c>
      <c r="H613" s="1">
        <v>45967</v>
      </c>
      <c r="I613" s="2">
        <v>0.2</v>
      </c>
      <c r="J613" t="s">
        <v>64</v>
      </c>
      <c r="K613" s="3">
        <v>3400</v>
      </c>
      <c r="L613" t="s">
        <v>58</v>
      </c>
      <c r="M613">
        <v>4</v>
      </c>
      <c r="N613">
        <v>3</v>
      </c>
      <c r="O613">
        <v>14</v>
      </c>
      <c r="P613" t="s">
        <v>21</v>
      </c>
      <c r="Q613" s="1"/>
      <c r="U613">
        <v>1</v>
      </c>
      <c r="V613">
        <v>1</v>
      </c>
      <c r="W613">
        <v>0</v>
      </c>
    </row>
    <row r="614" spans="1:23" ht="16.5" x14ac:dyDescent="0.3">
      <c r="A614" t="s">
        <v>681</v>
      </c>
      <c r="B614" t="s">
        <v>70</v>
      </c>
      <c r="C614" t="s">
        <v>25</v>
      </c>
      <c r="D614" t="s">
        <v>26</v>
      </c>
      <c r="E614">
        <v>22</v>
      </c>
      <c r="F614" t="s">
        <v>57</v>
      </c>
      <c r="G614" t="s">
        <v>38</v>
      </c>
      <c r="H614" s="1">
        <v>45812</v>
      </c>
      <c r="I614" s="2">
        <v>0.6</v>
      </c>
      <c r="J614" t="s">
        <v>64</v>
      </c>
      <c r="K614" s="3">
        <v>4400</v>
      </c>
      <c r="L614" t="s">
        <v>30</v>
      </c>
      <c r="M614">
        <v>3</v>
      </c>
      <c r="N614">
        <v>4</v>
      </c>
      <c r="O614">
        <v>33</v>
      </c>
      <c r="P614" t="s">
        <v>21</v>
      </c>
      <c r="Q614" s="1"/>
      <c r="U614">
        <v>1</v>
      </c>
      <c r="V614">
        <v>1</v>
      </c>
      <c r="W614">
        <v>0</v>
      </c>
    </row>
    <row r="615" spans="1:23" ht="16.5" x14ac:dyDescent="0.3">
      <c r="A615" t="s">
        <v>682</v>
      </c>
      <c r="B615" t="s">
        <v>48</v>
      </c>
      <c r="C615" t="s">
        <v>25</v>
      </c>
      <c r="D615" t="s">
        <v>37</v>
      </c>
      <c r="E615">
        <v>25</v>
      </c>
      <c r="F615" t="s">
        <v>57</v>
      </c>
      <c r="G615" t="s">
        <v>38</v>
      </c>
      <c r="H615" s="1">
        <v>45670</v>
      </c>
      <c r="I615" s="2">
        <v>1</v>
      </c>
      <c r="J615" t="s">
        <v>64</v>
      </c>
      <c r="K615" s="3">
        <v>5850</v>
      </c>
      <c r="L615" t="s">
        <v>30</v>
      </c>
      <c r="M615">
        <v>4</v>
      </c>
      <c r="N615">
        <v>3</v>
      </c>
      <c r="O615">
        <v>16</v>
      </c>
      <c r="P615" t="s">
        <v>21</v>
      </c>
      <c r="Q615" s="1"/>
      <c r="U615">
        <v>1</v>
      </c>
      <c r="V615">
        <v>1</v>
      </c>
      <c r="W615">
        <v>0</v>
      </c>
    </row>
    <row r="616" spans="1:23" ht="16.5" x14ac:dyDescent="0.3">
      <c r="A616" t="s">
        <v>683</v>
      </c>
      <c r="B616" t="s">
        <v>24</v>
      </c>
      <c r="C616" t="s">
        <v>25</v>
      </c>
      <c r="D616" t="s">
        <v>37</v>
      </c>
      <c r="E616">
        <v>30</v>
      </c>
      <c r="F616" t="s">
        <v>27</v>
      </c>
      <c r="G616" t="s">
        <v>38</v>
      </c>
      <c r="H616" s="1">
        <v>45169</v>
      </c>
      <c r="I616" s="2">
        <v>1.4</v>
      </c>
      <c r="J616" t="s">
        <v>29</v>
      </c>
      <c r="K616" s="3">
        <v>2250</v>
      </c>
      <c r="L616" t="s">
        <v>58</v>
      </c>
      <c r="M616">
        <v>3</v>
      </c>
      <c r="N616">
        <v>3</v>
      </c>
      <c r="O616">
        <v>13</v>
      </c>
      <c r="P616" t="s">
        <v>22</v>
      </c>
      <c r="Q616" s="1">
        <v>45678</v>
      </c>
      <c r="R616" t="s">
        <v>40</v>
      </c>
      <c r="S616" t="s">
        <v>107</v>
      </c>
      <c r="T616" t="s">
        <v>33</v>
      </c>
      <c r="U616">
        <v>1</v>
      </c>
      <c r="V616">
        <v>0</v>
      </c>
      <c r="W616">
        <v>1</v>
      </c>
    </row>
    <row r="617" spans="1:23" ht="16.5" x14ac:dyDescent="0.3">
      <c r="A617" t="s">
        <v>684</v>
      </c>
      <c r="B617" t="s">
        <v>48</v>
      </c>
      <c r="C617" t="s">
        <v>25</v>
      </c>
      <c r="D617" t="s">
        <v>26</v>
      </c>
      <c r="E617">
        <v>23</v>
      </c>
      <c r="F617" t="s">
        <v>57</v>
      </c>
      <c r="G617" t="s">
        <v>28</v>
      </c>
      <c r="H617" s="1">
        <v>45793</v>
      </c>
      <c r="I617" s="2">
        <v>0.6</v>
      </c>
      <c r="J617" t="s">
        <v>64</v>
      </c>
      <c r="K617" s="3">
        <v>5550</v>
      </c>
      <c r="L617" t="s">
        <v>30</v>
      </c>
      <c r="M617">
        <v>4</v>
      </c>
      <c r="N617">
        <v>3</v>
      </c>
      <c r="O617">
        <v>27</v>
      </c>
      <c r="P617" t="s">
        <v>21</v>
      </c>
      <c r="Q617" s="1"/>
      <c r="U617">
        <v>1</v>
      </c>
      <c r="V617">
        <v>1</v>
      </c>
      <c r="W617">
        <v>0</v>
      </c>
    </row>
    <row r="618" spans="1:23" ht="16.5" x14ac:dyDescent="0.3">
      <c r="A618" t="s">
        <v>685</v>
      </c>
      <c r="B618" t="s">
        <v>73</v>
      </c>
      <c r="C618" t="s">
        <v>87</v>
      </c>
      <c r="D618" t="s">
        <v>37</v>
      </c>
      <c r="E618">
        <v>50</v>
      </c>
      <c r="F618" t="s">
        <v>88</v>
      </c>
      <c r="G618" t="s">
        <v>38</v>
      </c>
      <c r="H618" s="1">
        <v>44505</v>
      </c>
      <c r="I618" s="2">
        <v>4.2</v>
      </c>
      <c r="J618" t="s">
        <v>50</v>
      </c>
      <c r="K618" s="3">
        <v>9350</v>
      </c>
      <c r="L618" t="s">
        <v>58</v>
      </c>
      <c r="M618">
        <v>4</v>
      </c>
      <c r="N618">
        <v>5</v>
      </c>
      <c r="O618">
        <v>27</v>
      </c>
      <c r="P618" t="s">
        <v>21</v>
      </c>
      <c r="Q618" s="1"/>
      <c r="U618">
        <v>1</v>
      </c>
      <c r="V618">
        <v>1</v>
      </c>
      <c r="W618">
        <v>0</v>
      </c>
    </row>
    <row r="619" spans="1:23" ht="16.5" x14ac:dyDescent="0.3">
      <c r="A619" t="s">
        <v>686</v>
      </c>
      <c r="B619" t="s">
        <v>24</v>
      </c>
      <c r="C619" t="s">
        <v>36</v>
      </c>
      <c r="D619" t="s">
        <v>37</v>
      </c>
      <c r="E619">
        <v>24</v>
      </c>
      <c r="F619" t="s">
        <v>57</v>
      </c>
      <c r="G619" t="s">
        <v>28</v>
      </c>
      <c r="H619" s="1">
        <v>45846</v>
      </c>
      <c r="I619" s="2">
        <v>0.5</v>
      </c>
      <c r="J619" t="s">
        <v>64</v>
      </c>
      <c r="K619" s="3">
        <v>3700</v>
      </c>
      <c r="L619" t="s">
        <v>30</v>
      </c>
      <c r="M619">
        <v>3</v>
      </c>
      <c r="N619">
        <v>3</v>
      </c>
      <c r="O619">
        <v>40</v>
      </c>
      <c r="P619" t="s">
        <v>21</v>
      </c>
      <c r="Q619" s="1"/>
      <c r="U619">
        <v>1</v>
      </c>
      <c r="V619">
        <v>1</v>
      </c>
      <c r="W619">
        <v>0</v>
      </c>
    </row>
    <row r="620" spans="1:23" ht="16.5" x14ac:dyDescent="0.3">
      <c r="A620" t="s">
        <v>687</v>
      </c>
      <c r="B620" t="s">
        <v>35</v>
      </c>
      <c r="C620" t="s">
        <v>36</v>
      </c>
      <c r="D620" t="s">
        <v>37</v>
      </c>
      <c r="E620">
        <v>30</v>
      </c>
      <c r="F620" t="s">
        <v>27</v>
      </c>
      <c r="G620" t="s">
        <v>38</v>
      </c>
      <c r="H620" s="1">
        <v>45405</v>
      </c>
      <c r="I620" s="2">
        <v>1.7</v>
      </c>
      <c r="J620" t="s">
        <v>29</v>
      </c>
      <c r="K620" s="3">
        <v>2550</v>
      </c>
      <c r="L620" t="s">
        <v>30</v>
      </c>
      <c r="M620">
        <v>4</v>
      </c>
      <c r="N620">
        <v>5</v>
      </c>
      <c r="O620">
        <v>26</v>
      </c>
      <c r="P620" t="s">
        <v>21</v>
      </c>
      <c r="Q620" s="1"/>
      <c r="U620">
        <v>1</v>
      </c>
      <c r="V620">
        <v>1</v>
      </c>
      <c r="W620">
        <v>0</v>
      </c>
    </row>
    <row r="621" spans="1:23" ht="16.5" x14ac:dyDescent="0.3">
      <c r="A621" t="s">
        <v>688</v>
      </c>
      <c r="B621" t="s">
        <v>24</v>
      </c>
      <c r="C621" t="s">
        <v>36</v>
      </c>
      <c r="D621" t="s">
        <v>26</v>
      </c>
      <c r="E621">
        <v>34</v>
      </c>
      <c r="F621" t="s">
        <v>27</v>
      </c>
      <c r="G621" t="s">
        <v>38</v>
      </c>
      <c r="H621" s="1">
        <v>43405</v>
      </c>
      <c r="I621" s="2">
        <v>5.8</v>
      </c>
      <c r="J621" t="s">
        <v>39</v>
      </c>
      <c r="K621" s="3">
        <v>4000</v>
      </c>
      <c r="L621" t="s">
        <v>58</v>
      </c>
      <c r="M621">
        <v>2</v>
      </c>
      <c r="N621">
        <v>3</v>
      </c>
      <c r="O621">
        <v>22</v>
      </c>
      <c r="P621" t="s">
        <v>22</v>
      </c>
      <c r="Q621" s="1">
        <v>45512</v>
      </c>
      <c r="R621" t="s">
        <v>31</v>
      </c>
      <c r="S621" t="s">
        <v>41</v>
      </c>
      <c r="T621" t="s">
        <v>60</v>
      </c>
      <c r="U621">
        <v>1</v>
      </c>
      <c r="V621">
        <v>0</v>
      </c>
      <c r="W621">
        <v>1</v>
      </c>
    </row>
    <row r="622" spans="1:23" ht="16.5" x14ac:dyDescent="0.3">
      <c r="A622" t="s">
        <v>689</v>
      </c>
      <c r="B622" t="s">
        <v>35</v>
      </c>
      <c r="C622" t="s">
        <v>25</v>
      </c>
      <c r="D622" t="s">
        <v>37</v>
      </c>
      <c r="E622">
        <v>21</v>
      </c>
      <c r="F622" t="s">
        <v>57</v>
      </c>
      <c r="G622" t="s">
        <v>38</v>
      </c>
      <c r="H622" s="1">
        <v>46004</v>
      </c>
      <c r="I622" s="2">
        <v>0</v>
      </c>
      <c r="J622" t="s">
        <v>64</v>
      </c>
      <c r="K622" s="3">
        <v>3050</v>
      </c>
      <c r="L622" t="s">
        <v>58</v>
      </c>
      <c r="M622">
        <v>3</v>
      </c>
      <c r="N622">
        <v>3</v>
      </c>
      <c r="O622">
        <v>13</v>
      </c>
      <c r="P622" t="s">
        <v>21</v>
      </c>
      <c r="Q622" s="1"/>
      <c r="U622">
        <v>1</v>
      </c>
      <c r="V622">
        <v>1</v>
      </c>
      <c r="W622">
        <v>0</v>
      </c>
    </row>
    <row r="623" spans="1:23" ht="16.5" x14ac:dyDescent="0.3">
      <c r="A623" t="s">
        <v>690</v>
      </c>
      <c r="B623" t="s">
        <v>48</v>
      </c>
      <c r="C623" t="s">
        <v>87</v>
      </c>
      <c r="D623" t="s">
        <v>26</v>
      </c>
      <c r="E623">
        <v>45</v>
      </c>
      <c r="F623" t="s">
        <v>46</v>
      </c>
      <c r="G623" t="s">
        <v>38</v>
      </c>
      <c r="H623" s="1">
        <v>41426</v>
      </c>
      <c r="I623" s="2">
        <v>12.6</v>
      </c>
      <c r="J623" t="s">
        <v>39</v>
      </c>
      <c r="K623" s="3">
        <v>17400</v>
      </c>
      <c r="L623" t="s">
        <v>30</v>
      </c>
      <c r="M623">
        <v>3</v>
      </c>
      <c r="N623">
        <v>3</v>
      </c>
      <c r="O623">
        <v>36</v>
      </c>
      <c r="P623" t="s">
        <v>21</v>
      </c>
      <c r="Q623" s="1"/>
      <c r="U623">
        <v>1</v>
      </c>
      <c r="V623">
        <v>1</v>
      </c>
      <c r="W623">
        <v>0</v>
      </c>
    </row>
    <row r="624" spans="1:23" ht="16.5" x14ac:dyDescent="0.3">
      <c r="A624" t="s">
        <v>691</v>
      </c>
      <c r="B624" t="s">
        <v>55</v>
      </c>
      <c r="C624" t="s">
        <v>25</v>
      </c>
      <c r="D624" t="s">
        <v>26</v>
      </c>
      <c r="E624">
        <v>21</v>
      </c>
      <c r="F624" t="s">
        <v>57</v>
      </c>
      <c r="G624" t="s">
        <v>38</v>
      </c>
      <c r="H624" s="1">
        <v>45916</v>
      </c>
      <c r="I624" s="2">
        <v>0.2</v>
      </c>
      <c r="J624" t="s">
        <v>64</v>
      </c>
      <c r="K624" s="3">
        <v>3500</v>
      </c>
      <c r="L624" t="s">
        <v>58</v>
      </c>
      <c r="M624">
        <v>3</v>
      </c>
      <c r="N624">
        <v>2</v>
      </c>
      <c r="O624">
        <v>13</v>
      </c>
      <c r="P624" t="s">
        <v>22</v>
      </c>
      <c r="Q624" s="1">
        <v>45990</v>
      </c>
      <c r="R624" t="s">
        <v>40</v>
      </c>
      <c r="S624" t="s">
        <v>182</v>
      </c>
      <c r="T624" t="s">
        <v>42</v>
      </c>
      <c r="U624">
        <v>1</v>
      </c>
      <c r="V624">
        <v>0</v>
      </c>
      <c r="W624">
        <v>1</v>
      </c>
    </row>
    <row r="625" spans="1:23" ht="16.5" x14ac:dyDescent="0.3">
      <c r="A625" t="s">
        <v>692</v>
      </c>
      <c r="B625" t="s">
        <v>48</v>
      </c>
      <c r="C625" t="s">
        <v>25</v>
      </c>
      <c r="D625" t="s">
        <v>37</v>
      </c>
      <c r="E625">
        <v>23</v>
      </c>
      <c r="F625" t="s">
        <v>57</v>
      </c>
      <c r="G625" t="s">
        <v>38</v>
      </c>
      <c r="H625" s="1">
        <v>45446</v>
      </c>
      <c r="I625" s="2">
        <v>1.6</v>
      </c>
      <c r="J625" t="s">
        <v>29</v>
      </c>
      <c r="K625" s="3">
        <v>7100</v>
      </c>
      <c r="L625" t="s">
        <v>58</v>
      </c>
      <c r="M625">
        <v>5</v>
      </c>
      <c r="N625">
        <v>3</v>
      </c>
      <c r="O625">
        <v>28</v>
      </c>
      <c r="P625" t="s">
        <v>21</v>
      </c>
      <c r="Q625" s="1"/>
      <c r="U625">
        <v>1</v>
      </c>
      <c r="V625">
        <v>1</v>
      </c>
      <c r="W625">
        <v>0</v>
      </c>
    </row>
    <row r="626" spans="1:23" ht="16.5" x14ac:dyDescent="0.3">
      <c r="A626" t="s">
        <v>693</v>
      </c>
      <c r="B626" t="s">
        <v>24</v>
      </c>
      <c r="C626" t="s">
        <v>45</v>
      </c>
      <c r="D626" t="s">
        <v>37</v>
      </c>
      <c r="E626">
        <v>34</v>
      </c>
      <c r="F626" t="s">
        <v>27</v>
      </c>
      <c r="G626" t="s">
        <v>28</v>
      </c>
      <c r="H626" s="1">
        <v>44331</v>
      </c>
      <c r="I626" s="2">
        <v>4.5999999999999996</v>
      </c>
      <c r="J626" t="s">
        <v>50</v>
      </c>
      <c r="K626" s="3">
        <v>5700</v>
      </c>
      <c r="L626" t="s">
        <v>30</v>
      </c>
      <c r="M626">
        <v>4</v>
      </c>
      <c r="N626">
        <v>4</v>
      </c>
      <c r="O626">
        <v>26</v>
      </c>
      <c r="P626" t="s">
        <v>21</v>
      </c>
      <c r="Q626" s="1"/>
      <c r="U626">
        <v>1</v>
      </c>
      <c r="V626">
        <v>1</v>
      </c>
      <c r="W626">
        <v>0</v>
      </c>
    </row>
    <row r="627" spans="1:23" ht="16.5" x14ac:dyDescent="0.3">
      <c r="A627" t="s">
        <v>694</v>
      </c>
      <c r="B627" t="s">
        <v>70</v>
      </c>
      <c r="C627" t="s">
        <v>25</v>
      </c>
      <c r="D627" t="s">
        <v>26</v>
      </c>
      <c r="E627">
        <v>21</v>
      </c>
      <c r="F627" t="s">
        <v>57</v>
      </c>
      <c r="G627" t="s">
        <v>52</v>
      </c>
      <c r="H627" s="1">
        <v>45994</v>
      </c>
      <c r="I627" s="2">
        <v>0</v>
      </c>
      <c r="J627" t="s">
        <v>64</v>
      </c>
      <c r="K627" s="3">
        <v>3800</v>
      </c>
      <c r="L627" t="s">
        <v>30</v>
      </c>
      <c r="M627">
        <v>1</v>
      </c>
      <c r="N627">
        <v>4</v>
      </c>
      <c r="O627">
        <v>35</v>
      </c>
      <c r="P627" t="s">
        <v>22</v>
      </c>
      <c r="Q627" s="1">
        <v>46005</v>
      </c>
      <c r="R627" t="s">
        <v>40</v>
      </c>
      <c r="S627" t="s">
        <v>92</v>
      </c>
      <c r="T627" t="s">
        <v>33</v>
      </c>
      <c r="U627">
        <v>1</v>
      </c>
      <c r="V627">
        <v>0</v>
      </c>
      <c r="W627">
        <v>1</v>
      </c>
    </row>
    <row r="628" spans="1:23" ht="16.5" x14ac:dyDescent="0.3">
      <c r="A628" t="s">
        <v>695</v>
      </c>
      <c r="B628" t="s">
        <v>55</v>
      </c>
      <c r="C628" t="s">
        <v>45</v>
      </c>
      <c r="D628" t="s">
        <v>26</v>
      </c>
      <c r="E628">
        <v>45</v>
      </c>
      <c r="F628" t="s">
        <v>46</v>
      </c>
      <c r="G628" t="s">
        <v>28</v>
      </c>
      <c r="H628" s="1">
        <v>43528</v>
      </c>
      <c r="I628" s="2">
        <v>6.8</v>
      </c>
      <c r="J628" t="s">
        <v>39</v>
      </c>
      <c r="K628" s="3">
        <v>8100</v>
      </c>
      <c r="L628" t="s">
        <v>30</v>
      </c>
      <c r="M628">
        <v>4</v>
      </c>
      <c r="N628">
        <v>3</v>
      </c>
      <c r="O628">
        <v>28</v>
      </c>
      <c r="P628" t="s">
        <v>21</v>
      </c>
      <c r="Q628" s="1"/>
      <c r="U628">
        <v>1</v>
      </c>
      <c r="V628">
        <v>1</v>
      </c>
      <c r="W628">
        <v>0</v>
      </c>
    </row>
    <row r="629" spans="1:23" ht="16.5" x14ac:dyDescent="0.3">
      <c r="A629" t="s">
        <v>696</v>
      </c>
      <c r="B629" t="s">
        <v>48</v>
      </c>
      <c r="C629" t="s">
        <v>25</v>
      </c>
      <c r="D629" t="s">
        <v>37</v>
      </c>
      <c r="E629">
        <v>24</v>
      </c>
      <c r="F629" t="s">
        <v>57</v>
      </c>
      <c r="G629" t="s">
        <v>28</v>
      </c>
      <c r="H629" s="1">
        <v>45754</v>
      </c>
      <c r="I629" s="2">
        <v>0.6</v>
      </c>
      <c r="J629" t="s">
        <v>64</v>
      </c>
      <c r="K629" s="3">
        <v>5300</v>
      </c>
      <c r="L629" t="s">
        <v>30</v>
      </c>
      <c r="M629">
        <v>2</v>
      </c>
      <c r="N629">
        <v>4</v>
      </c>
      <c r="O629">
        <v>38</v>
      </c>
      <c r="P629" t="s">
        <v>22</v>
      </c>
      <c r="Q629" s="1">
        <v>45971</v>
      </c>
      <c r="R629" t="s">
        <v>40</v>
      </c>
      <c r="S629" t="s">
        <v>182</v>
      </c>
      <c r="T629" t="s">
        <v>33</v>
      </c>
      <c r="U629">
        <v>1</v>
      </c>
      <c r="V629">
        <v>0</v>
      </c>
      <c r="W629">
        <v>1</v>
      </c>
    </row>
    <row r="630" spans="1:23" ht="16.5" x14ac:dyDescent="0.3">
      <c r="A630" t="s">
        <v>697</v>
      </c>
      <c r="B630" t="s">
        <v>70</v>
      </c>
      <c r="C630" t="s">
        <v>25</v>
      </c>
      <c r="D630" t="s">
        <v>26</v>
      </c>
      <c r="E630">
        <v>21</v>
      </c>
      <c r="F630" t="s">
        <v>57</v>
      </c>
      <c r="G630" t="s">
        <v>38</v>
      </c>
      <c r="H630" s="1">
        <v>45965</v>
      </c>
      <c r="I630" s="2">
        <v>0.2</v>
      </c>
      <c r="J630" t="s">
        <v>64</v>
      </c>
      <c r="K630" s="3">
        <v>3450</v>
      </c>
      <c r="L630" t="s">
        <v>30</v>
      </c>
      <c r="M630">
        <v>4</v>
      </c>
      <c r="N630">
        <v>3</v>
      </c>
      <c r="O630">
        <v>33</v>
      </c>
      <c r="P630" t="s">
        <v>21</v>
      </c>
      <c r="Q630" s="1"/>
      <c r="U630">
        <v>1</v>
      </c>
      <c r="V630">
        <v>1</v>
      </c>
      <c r="W630">
        <v>0</v>
      </c>
    </row>
    <row r="631" spans="1:23" ht="16.5" x14ac:dyDescent="0.3">
      <c r="A631" t="s">
        <v>698</v>
      </c>
      <c r="B631" t="s">
        <v>24</v>
      </c>
      <c r="C631" t="s">
        <v>87</v>
      </c>
      <c r="D631" t="s">
        <v>37</v>
      </c>
      <c r="E631">
        <v>41</v>
      </c>
      <c r="F631" t="s">
        <v>46</v>
      </c>
      <c r="G631" t="s">
        <v>38</v>
      </c>
      <c r="H631" s="1">
        <v>43202</v>
      </c>
      <c r="I631" s="2">
        <v>7.7</v>
      </c>
      <c r="J631" t="s">
        <v>39</v>
      </c>
      <c r="K631" s="3">
        <v>7150</v>
      </c>
      <c r="L631" t="s">
        <v>58</v>
      </c>
      <c r="M631">
        <v>1</v>
      </c>
      <c r="N631">
        <v>4</v>
      </c>
      <c r="O631">
        <v>43</v>
      </c>
      <c r="P631" t="s">
        <v>21</v>
      </c>
      <c r="Q631" s="1"/>
      <c r="U631">
        <v>1</v>
      </c>
      <c r="V631">
        <v>1</v>
      </c>
      <c r="W631">
        <v>0</v>
      </c>
    </row>
    <row r="632" spans="1:23" ht="16.5" x14ac:dyDescent="0.3">
      <c r="A632" t="s">
        <v>699</v>
      </c>
      <c r="B632" t="s">
        <v>24</v>
      </c>
      <c r="C632" t="s">
        <v>36</v>
      </c>
      <c r="D632" t="s">
        <v>26</v>
      </c>
      <c r="E632">
        <v>36</v>
      </c>
      <c r="F632" t="s">
        <v>46</v>
      </c>
      <c r="G632" t="s">
        <v>38</v>
      </c>
      <c r="H632" s="1">
        <v>42303</v>
      </c>
      <c r="I632" s="2">
        <v>10.199999999999999</v>
      </c>
      <c r="J632" t="s">
        <v>39</v>
      </c>
      <c r="K632" s="3">
        <v>3900</v>
      </c>
      <c r="L632" t="s">
        <v>30</v>
      </c>
      <c r="M632">
        <v>3</v>
      </c>
      <c r="N632">
        <v>3</v>
      </c>
      <c r="O632">
        <v>20</v>
      </c>
      <c r="P632" t="s">
        <v>21</v>
      </c>
      <c r="Q632" s="1"/>
      <c r="U632">
        <v>1</v>
      </c>
      <c r="V632">
        <v>1</v>
      </c>
      <c r="W632">
        <v>0</v>
      </c>
    </row>
    <row r="633" spans="1:23" ht="16.5" x14ac:dyDescent="0.3">
      <c r="A633" t="s">
        <v>700</v>
      </c>
      <c r="B633" t="s">
        <v>24</v>
      </c>
      <c r="C633" t="s">
        <v>25</v>
      </c>
      <c r="D633" t="s">
        <v>37</v>
      </c>
      <c r="E633">
        <v>36</v>
      </c>
      <c r="F633" t="s">
        <v>46</v>
      </c>
      <c r="G633" t="s">
        <v>28</v>
      </c>
      <c r="H633" s="1">
        <v>42663</v>
      </c>
      <c r="I633" s="2">
        <v>7.9</v>
      </c>
      <c r="J633" t="s">
        <v>39</v>
      </c>
      <c r="K633" s="3">
        <v>3450</v>
      </c>
      <c r="L633" t="s">
        <v>30</v>
      </c>
      <c r="M633">
        <v>3</v>
      </c>
      <c r="N633">
        <v>3</v>
      </c>
      <c r="O633">
        <v>39</v>
      </c>
      <c r="P633" t="s">
        <v>22</v>
      </c>
      <c r="Q633" s="1">
        <v>45539</v>
      </c>
      <c r="R633" t="s">
        <v>31</v>
      </c>
      <c r="S633" t="s">
        <v>259</v>
      </c>
      <c r="T633" t="s">
        <v>151</v>
      </c>
      <c r="U633">
        <v>1</v>
      </c>
      <c r="V633">
        <v>0</v>
      </c>
      <c r="W633">
        <v>1</v>
      </c>
    </row>
    <row r="634" spans="1:23" ht="16.5" x14ac:dyDescent="0.3">
      <c r="A634" t="s">
        <v>701</v>
      </c>
      <c r="B634" t="s">
        <v>70</v>
      </c>
      <c r="C634" t="s">
        <v>45</v>
      </c>
      <c r="D634" t="s">
        <v>26</v>
      </c>
      <c r="E634">
        <v>42</v>
      </c>
      <c r="F634" t="s">
        <v>46</v>
      </c>
      <c r="G634" t="s">
        <v>52</v>
      </c>
      <c r="H634" s="1">
        <v>43105</v>
      </c>
      <c r="I634" s="2">
        <v>8</v>
      </c>
      <c r="J634" t="s">
        <v>39</v>
      </c>
      <c r="K634" s="3">
        <v>8300</v>
      </c>
      <c r="L634" t="s">
        <v>30</v>
      </c>
      <c r="M634">
        <v>4</v>
      </c>
      <c r="N634">
        <v>3</v>
      </c>
      <c r="O634">
        <v>22</v>
      </c>
      <c r="P634" t="s">
        <v>21</v>
      </c>
      <c r="Q634" s="1"/>
      <c r="U634">
        <v>1</v>
      </c>
      <c r="V634">
        <v>1</v>
      </c>
      <c r="W634">
        <v>0</v>
      </c>
    </row>
    <row r="635" spans="1:23" ht="16.5" x14ac:dyDescent="0.3">
      <c r="A635" t="s">
        <v>702</v>
      </c>
      <c r="B635" t="s">
        <v>24</v>
      </c>
      <c r="C635" t="s">
        <v>36</v>
      </c>
      <c r="D635" t="s">
        <v>26</v>
      </c>
      <c r="E635">
        <v>33</v>
      </c>
      <c r="F635" t="s">
        <v>27</v>
      </c>
      <c r="G635" t="s">
        <v>28</v>
      </c>
      <c r="H635" s="1">
        <v>45266</v>
      </c>
      <c r="I635" s="2">
        <v>2.1</v>
      </c>
      <c r="J635" t="s">
        <v>29</v>
      </c>
      <c r="K635" s="3">
        <v>4200</v>
      </c>
      <c r="L635" t="s">
        <v>30</v>
      </c>
      <c r="M635">
        <v>4</v>
      </c>
      <c r="N635">
        <v>4</v>
      </c>
      <c r="O635">
        <v>23</v>
      </c>
      <c r="P635" t="s">
        <v>21</v>
      </c>
      <c r="Q635" s="1"/>
      <c r="U635">
        <v>1</v>
      </c>
      <c r="V635">
        <v>1</v>
      </c>
      <c r="W635">
        <v>0</v>
      </c>
    </row>
    <row r="636" spans="1:23" ht="16.5" x14ac:dyDescent="0.3">
      <c r="A636" t="s">
        <v>703</v>
      </c>
      <c r="B636" t="s">
        <v>70</v>
      </c>
      <c r="C636" t="s">
        <v>36</v>
      </c>
      <c r="D636" t="s">
        <v>26</v>
      </c>
      <c r="E636">
        <v>36</v>
      </c>
      <c r="F636" t="s">
        <v>46</v>
      </c>
      <c r="G636" t="s">
        <v>38</v>
      </c>
      <c r="H636" s="1">
        <v>44736</v>
      </c>
      <c r="I636" s="2">
        <v>3.5</v>
      </c>
      <c r="J636" t="s">
        <v>50</v>
      </c>
      <c r="K636" s="3">
        <v>4600</v>
      </c>
      <c r="L636" t="s">
        <v>30</v>
      </c>
      <c r="M636">
        <v>3</v>
      </c>
      <c r="N636">
        <v>3</v>
      </c>
      <c r="O636">
        <v>30</v>
      </c>
      <c r="P636" t="s">
        <v>21</v>
      </c>
      <c r="Q636" s="1"/>
      <c r="U636">
        <v>1</v>
      </c>
      <c r="V636">
        <v>1</v>
      </c>
      <c r="W636">
        <v>0</v>
      </c>
    </row>
    <row r="637" spans="1:23" ht="16.5" x14ac:dyDescent="0.3">
      <c r="A637" t="s">
        <v>704</v>
      </c>
      <c r="B637" t="s">
        <v>70</v>
      </c>
      <c r="C637" t="s">
        <v>25</v>
      </c>
      <c r="D637" t="s">
        <v>37</v>
      </c>
      <c r="E637">
        <v>21</v>
      </c>
      <c r="F637" t="s">
        <v>57</v>
      </c>
      <c r="G637" t="s">
        <v>38</v>
      </c>
      <c r="H637" s="1">
        <v>45949</v>
      </c>
      <c r="I637" s="2">
        <v>0</v>
      </c>
      <c r="J637" t="s">
        <v>64</v>
      </c>
      <c r="K637" s="3">
        <v>4350</v>
      </c>
      <c r="L637" t="s">
        <v>58</v>
      </c>
      <c r="M637">
        <v>2</v>
      </c>
      <c r="N637">
        <v>3</v>
      </c>
      <c r="O637">
        <v>41</v>
      </c>
      <c r="P637" t="s">
        <v>22</v>
      </c>
      <c r="Q637" s="1">
        <v>45962</v>
      </c>
      <c r="R637" t="s">
        <v>40</v>
      </c>
      <c r="S637" t="s">
        <v>182</v>
      </c>
      <c r="T637" t="s">
        <v>473</v>
      </c>
      <c r="U637">
        <v>1</v>
      </c>
      <c r="V637">
        <v>0</v>
      </c>
      <c r="W637">
        <v>1</v>
      </c>
    </row>
    <row r="638" spans="1:23" ht="16.5" x14ac:dyDescent="0.3">
      <c r="A638" t="s">
        <v>705</v>
      </c>
      <c r="B638" t="s">
        <v>55</v>
      </c>
      <c r="C638" t="s">
        <v>36</v>
      </c>
      <c r="D638" t="s">
        <v>37</v>
      </c>
      <c r="E638">
        <v>40</v>
      </c>
      <c r="F638" t="s">
        <v>46</v>
      </c>
      <c r="G638" t="s">
        <v>52</v>
      </c>
      <c r="H638" s="1">
        <v>44715</v>
      </c>
      <c r="I638" s="2">
        <v>3.6</v>
      </c>
      <c r="J638" t="s">
        <v>50</v>
      </c>
      <c r="K638" s="3">
        <v>5750</v>
      </c>
      <c r="L638" t="s">
        <v>30</v>
      </c>
      <c r="M638">
        <v>4</v>
      </c>
      <c r="N638">
        <v>5</v>
      </c>
      <c r="O638">
        <v>25</v>
      </c>
      <c r="P638" t="s">
        <v>21</v>
      </c>
      <c r="Q638" s="1"/>
      <c r="U638">
        <v>1</v>
      </c>
      <c r="V638">
        <v>1</v>
      </c>
      <c r="W638">
        <v>0</v>
      </c>
    </row>
    <row r="639" spans="1:23" ht="16.5" x14ac:dyDescent="0.3">
      <c r="A639" t="s">
        <v>706</v>
      </c>
      <c r="B639" t="s">
        <v>70</v>
      </c>
      <c r="C639" t="s">
        <v>25</v>
      </c>
      <c r="D639" t="s">
        <v>37</v>
      </c>
      <c r="E639">
        <v>28</v>
      </c>
      <c r="F639" t="s">
        <v>27</v>
      </c>
      <c r="G639" t="s">
        <v>28</v>
      </c>
      <c r="H639" s="1">
        <v>44980</v>
      </c>
      <c r="I639" s="2">
        <v>2.9</v>
      </c>
      <c r="J639" t="s">
        <v>29</v>
      </c>
      <c r="K639" s="3">
        <v>4150</v>
      </c>
      <c r="L639" t="s">
        <v>58</v>
      </c>
      <c r="M639">
        <v>3</v>
      </c>
      <c r="N639">
        <v>3</v>
      </c>
      <c r="O639">
        <v>9</v>
      </c>
      <c r="P639" t="s">
        <v>21</v>
      </c>
      <c r="Q639" s="1"/>
      <c r="U639">
        <v>1</v>
      </c>
      <c r="V639">
        <v>1</v>
      </c>
      <c r="W639">
        <v>0</v>
      </c>
    </row>
    <row r="640" spans="1:23" ht="16.5" x14ac:dyDescent="0.3">
      <c r="A640" t="s">
        <v>707</v>
      </c>
      <c r="B640" t="s">
        <v>70</v>
      </c>
      <c r="C640" t="s">
        <v>36</v>
      </c>
      <c r="D640" t="s">
        <v>37</v>
      </c>
      <c r="E640">
        <v>23</v>
      </c>
      <c r="F640" t="s">
        <v>57</v>
      </c>
      <c r="G640" t="s">
        <v>38</v>
      </c>
      <c r="H640" s="1">
        <v>45536</v>
      </c>
      <c r="I640" s="2">
        <v>1.3</v>
      </c>
      <c r="J640" t="s">
        <v>29</v>
      </c>
      <c r="K640" s="3">
        <v>4950</v>
      </c>
      <c r="L640" t="s">
        <v>30</v>
      </c>
      <c r="M640">
        <v>3</v>
      </c>
      <c r="N640">
        <v>3</v>
      </c>
      <c r="O640">
        <v>38</v>
      </c>
      <c r="P640" t="s">
        <v>21</v>
      </c>
      <c r="Q640" s="1"/>
      <c r="U640">
        <v>1</v>
      </c>
      <c r="V640">
        <v>1</v>
      </c>
      <c r="W640">
        <v>0</v>
      </c>
    </row>
    <row r="641" spans="1:23" ht="16.5" x14ac:dyDescent="0.3">
      <c r="A641" t="s">
        <v>708</v>
      </c>
      <c r="B641" t="s">
        <v>55</v>
      </c>
      <c r="C641" t="s">
        <v>36</v>
      </c>
      <c r="D641" t="s">
        <v>37</v>
      </c>
      <c r="E641">
        <v>34</v>
      </c>
      <c r="F641" t="s">
        <v>27</v>
      </c>
      <c r="G641" t="s">
        <v>38</v>
      </c>
      <c r="H641" s="1">
        <v>42656</v>
      </c>
      <c r="I641" s="2">
        <v>9.1999999999999993</v>
      </c>
      <c r="J641" t="s">
        <v>39</v>
      </c>
      <c r="K641" s="3">
        <v>5900</v>
      </c>
      <c r="L641" t="s">
        <v>58</v>
      </c>
      <c r="M641">
        <v>3</v>
      </c>
      <c r="N641">
        <v>3</v>
      </c>
      <c r="O641">
        <v>26</v>
      </c>
      <c r="P641" t="s">
        <v>21</v>
      </c>
      <c r="Q641" s="1"/>
      <c r="U641">
        <v>1</v>
      </c>
      <c r="V641">
        <v>1</v>
      </c>
      <c r="W641">
        <v>0</v>
      </c>
    </row>
    <row r="642" spans="1:23" ht="16.5" x14ac:dyDescent="0.3">
      <c r="A642" t="s">
        <v>709</v>
      </c>
      <c r="B642" t="s">
        <v>24</v>
      </c>
      <c r="C642" t="s">
        <v>25</v>
      </c>
      <c r="D642" t="s">
        <v>26</v>
      </c>
      <c r="E642">
        <v>32</v>
      </c>
      <c r="F642" t="s">
        <v>27</v>
      </c>
      <c r="G642" t="s">
        <v>28</v>
      </c>
      <c r="H642" s="1">
        <v>44649</v>
      </c>
      <c r="I642" s="2">
        <v>3.8</v>
      </c>
      <c r="J642" t="s">
        <v>50</v>
      </c>
      <c r="K642" s="3">
        <v>2800</v>
      </c>
      <c r="L642" t="s">
        <v>58</v>
      </c>
      <c r="M642">
        <v>4</v>
      </c>
      <c r="N642">
        <v>3</v>
      </c>
      <c r="O642">
        <v>27</v>
      </c>
      <c r="P642" t="s">
        <v>21</v>
      </c>
      <c r="Q642" s="1"/>
      <c r="U642">
        <v>1</v>
      </c>
      <c r="V642">
        <v>1</v>
      </c>
      <c r="W642">
        <v>0</v>
      </c>
    </row>
    <row r="643" spans="1:23" ht="16.5" x14ac:dyDescent="0.3">
      <c r="A643" t="s">
        <v>710</v>
      </c>
      <c r="B643" t="s">
        <v>44</v>
      </c>
      <c r="C643" t="s">
        <v>25</v>
      </c>
      <c r="D643" t="s">
        <v>37</v>
      </c>
      <c r="E643">
        <v>22</v>
      </c>
      <c r="F643" t="s">
        <v>57</v>
      </c>
      <c r="G643" t="s">
        <v>28</v>
      </c>
      <c r="H643" s="1">
        <v>45752</v>
      </c>
      <c r="I643" s="2">
        <v>0.7</v>
      </c>
      <c r="J643" t="s">
        <v>64</v>
      </c>
      <c r="K643" s="3">
        <v>5450</v>
      </c>
      <c r="L643" t="s">
        <v>58</v>
      </c>
      <c r="M643">
        <v>3</v>
      </c>
      <c r="N643">
        <v>4</v>
      </c>
      <c r="O643">
        <v>21</v>
      </c>
      <c r="P643" t="s">
        <v>21</v>
      </c>
      <c r="Q643" s="1"/>
      <c r="U643">
        <v>1</v>
      </c>
      <c r="V643">
        <v>1</v>
      </c>
      <c r="W643">
        <v>0</v>
      </c>
    </row>
    <row r="644" spans="1:23" ht="16.5" x14ac:dyDescent="0.3">
      <c r="A644" t="s">
        <v>711</v>
      </c>
      <c r="B644" t="s">
        <v>73</v>
      </c>
      <c r="C644" t="s">
        <v>25</v>
      </c>
      <c r="D644" t="s">
        <v>26</v>
      </c>
      <c r="E644">
        <v>21</v>
      </c>
      <c r="F644" t="s">
        <v>57</v>
      </c>
      <c r="G644" t="s">
        <v>28</v>
      </c>
      <c r="H644" s="1">
        <v>45917</v>
      </c>
      <c r="I644" s="2">
        <v>0.3</v>
      </c>
      <c r="J644" t="s">
        <v>64</v>
      </c>
      <c r="K644" s="3">
        <v>4200</v>
      </c>
      <c r="L644" t="s">
        <v>30</v>
      </c>
      <c r="M644">
        <v>4</v>
      </c>
      <c r="N644">
        <v>4</v>
      </c>
      <c r="O644">
        <v>27</v>
      </c>
      <c r="P644" t="s">
        <v>21</v>
      </c>
      <c r="Q644" s="1"/>
      <c r="U644">
        <v>1</v>
      </c>
      <c r="V644">
        <v>1</v>
      </c>
      <c r="W644">
        <v>0</v>
      </c>
    </row>
    <row r="645" spans="1:23" ht="16.5" x14ac:dyDescent="0.3">
      <c r="A645" t="s">
        <v>712</v>
      </c>
      <c r="B645" t="s">
        <v>35</v>
      </c>
      <c r="C645" t="s">
        <v>36</v>
      </c>
      <c r="D645" t="s">
        <v>37</v>
      </c>
      <c r="E645">
        <v>32</v>
      </c>
      <c r="F645" t="s">
        <v>27</v>
      </c>
      <c r="G645" t="s">
        <v>38</v>
      </c>
      <c r="H645" s="1">
        <v>43361</v>
      </c>
      <c r="I645" s="2">
        <v>7.3</v>
      </c>
      <c r="J645" t="s">
        <v>39</v>
      </c>
      <c r="K645" s="3">
        <v>4100</v>
      </c>
      <c r="L645" t="s">
        <v>30</v>
      </c>
      <c r="M645">
        <v>4</v>
      </c>
      <c r="N645">
        <v>4</v>
      </c>
      <c r="O645">
        <v>21</v>
      </c>
      <c r="P645" t="s">
        <v>21</v>
      </c>
      <c r="Q645" s="1"/>
      <c r="U645">
        <v>1</v>
      </c>
      <c r="V645">
        <v>1</v>
      </c>
      <c r="W645">
        <v>0</v>
      </c>
    </row>
    <row r="646" spans="1:23" ht="16.5" x14ac:dyDescent="0.3">
      <c r="A646" t="s">
        <v>713</v>
      </c>
      <c r="B646" t="s">
        <v>44</v>
      </c>
      <c r="C646" t="s">
        <v>25</v>
      </c>
      <c r="D646" t="s">
        <v>26</v>
      </c>
      <c r="E646">
        <v>28</v>
      </c>
      <c r="F646" t="s">
        <v>27</v>
      </c>
      <c r="G646" t="s">
        <v>38</v>
      </c>
      <c r="H646" s="1">
        <v>45506</v>
      </c>
      <c r="I646" s="2">
        <v>0.9</v>
      </c>
      <c r="J646" t="s">
        <v>64</v>
      </c>
      <c r="K646" s="3">
        <v>5550</v>
      </c>
      <c r="L646" t="s">
        <v>30</v>
      </c>
      <c r="M646">
        <v>5</v>
      </c>
      <c r="N646">
        <v>4</v>
      </c>
      <c r="O646">
        <v>15</v>
      </c>
      <c r="P646" t="s">
        <v>22</v>
      </c>
      <c r="Q646" s="1">
        <v>45837</v>
      </c>
      <c r="R646" t="s">
        <v>40</v>
      </c>
      <c r="S646" t="s">
        <v>32</v>
      </c>
      <c r="T646" t="s">
        <v>60</v>
      </c>
      <c r="U646">
        <v>1</v>
      </c>
      <c r="V646">
        <v>0</v>
      </c>
      <c r="W646">
        <v>1</v>
      </c>
    </row>
    <row r="647" spans="1:23" ht="16.5" x14ac:dyDescent="0.3">
      <c r="A647" t="s">
        <v>714</v>
      </c>
      <c r="B647" t="s">
        <v>48</v>
      </c>
      <c r="C647" t="s">
        <v>36</v>
      </c>
      <c r="D647" t="s">
        <v>37</v>
      </c>
      <c r="E647">
        <v>27</v>
      </c>
      <c r="F647" t="s">
        <v>27</v>
      </c>
      <c r="G647" t="s">
        <v>38</v>
      </c>
      <c r="H647" s="1">
        <v>45051</v>
      </c>
      <c r="I647" s="2">
        <v>1.1000000000000001</v>
      </c>
      <c r="J647" t="s">
        <v>29</v>
      </c>
      <c r="K647" s="3">
        <v>7750</v>
      </c>
      <c r="L647" t="s">
        <v>58</v>
      </c>
      <c r="M647">
        <v>3</v>
      </c>
      <c r="N647">
        <v>4</v>
      </c>
      <c r="O647">
        <v>30</v>
      </c>
      <c r="P647" t="s">
        <v>22</v>
      </c>
      <c r="Q647" s="1">
        <v>45471</v>
      </c>
      <c r="R647" t="s">
        <v>31</v>
      </c>
      <c r="S647" t="s">
        <v>32</v>
      </c>
      <c r="T647" t="s">
        <v>42</v>
      </c>
      <c r="U647">
        <v>1</v>
      </c>
      <c r="V647">
        <v>0</v>
      </c>
      <c r="W647">
        <v>1</v>
      </c>
    </row>
    <row r="648" spans="1:23" ht="16.5" x14ac:dyDescent="0.3">
      <c r="A648" t="s">
        <v>715</v>
      </c>
      <c r="B648" t="s">
        <v>55</v>
      </c>
      <c r="C648" t="s">
        <v>45</v>
      </c>
      <c r="D648" t="s">
        <v>37</v>
      </c>
      <c r="E648">
        <v>33</v>
      </c>
      <c r="F648" t="s">
        <v>27</v>
      </c>
      <c r="G648" t="s">
        <v>28</v>
      </c>
      <c r="H648" s="1">
        <v>44553</v>
      </c>
      <c r="I648" s="2">
        <v>4</v>
      </c>
      <c r="J648" t="s">
        <v>50</v>
      </c>
      <c r="K648" s="3">
        <v>8000</v>
      </c>
      <c r="L648" t="s">
        <v>30</v>
      </c>
      <c r="M648">
        <v>4</v>
      </c>
      <c r="N648">
        <v>2</v>
      </c>
      <c r="O648">
        <v>31</v>
      </c>
      <c r="P648" t="s">
        <v>21</v>
      </c>
      <c r="Q648" s="1"/>
      <c r="U648">
        <v>1</v>
      </c>
      <c r="V648">
        <v>1</v>
      </c>
      <c r="W648">
        <v>0</v>
      </c>
    </row>
    <row r="649" spans="1:23" ht="16.5" x14ac:dyDescent="0.3">
      <c r="A649" t="s">
        <v>716</v>
      </c>
      <c r="B649" t="s">
        <v>48</v>
      </c>
      <c r="C649" t="s">
        <v>36</v>
      </c>
      <c r="D649" t="s">
        <v>37</v>
      </c>
      <c r="E649">
        <v>34</v>
      </c>
      <c r="F649" t="s">
        <v>27</v>
      </c>
      <c r="G649" t="s">
        <v>52</v>
      </c>
      <c r="H649" s="1">
        <v>43097</v>
      </c>
      <c r="I649" s="2">
        <v>8</v>
      </c>
      <c r="J649" t="s">
        <v>39</v>
      </c>
      <c r="K649" s="3">
        <v>7750</v>
      </c>
      <c r="L649" t="s">
        <v>30</v>
      </c>
      <c r="M649">
        <v>4</v>
      </c>
      <c r="N649">
        <v>3</v>
      </c>
      <c r="O649">
        <v>40</v>
      </c>
      <c r="P649" t="s">
        <v>21</v>
      </c>
      <c r="Q649" s="1"/>
      <c r="U649">
        <v>1</v>
      </c>
      <c r="V649">
        <v>1</v>
      </c>
      <c r="W649">
        <v>0</v>
      </c>
    </row>
    <row r="650" spans="1:23" ht="16.5" x14ac:dyDescent="0.3">
      <c r="A650" t="s">
        <v>717</v>
      </c>
      <c r="B650" t="s">
        <v>70</v>
      </c>
      <c r="C650" t="s">
        <v>87</v>
      </c>
      <c r="D650" t="s">
        <v>26</v>
      </c>
      <c r="E650">
        <v>47</v>
      </c>
      <c r="F650" t="s">
        <v>88</v>
      </c>
      <c r="G650" t="s">
        <v>52</v>
      </c>
      <c r="H650" s="1">
        <v>44058</v>
      </c>
      <c r="I650" s="2">
        <v>5.4</v>
      </c>
      <c r="J650" t="s">
        <v>39</v>
      </c>
      <c r="K650" s="3">
        <v>11700</v>
      </c>
      <c r="L650" t="s">
        <v>30</v>
      </c>
      <c r="M650">
        <v>4</v>
      </c>
      <c r="N650">
        <v>3</v>
      </c>
      <c r="O650">
        <v>21</v>
      </c>
      <c r="P650" t="s">
        <v>21</v>
      </c>
      <c r="Q650" s="1"/>
      <c r="U650">
        <v>1</v>
      </c>
      <c r="V650">
        <v>1</v>
      </c>
      <c r="W650">
        <v>0</v>
      </c>
    </row>
    <row r="651" spans="1:23" ht="16.5" x14ac:dyDescent="0.3">
      <c r="A651" t="s">
        <v>718</v>
      </c>
      <c r="B651" t="s">
        <v>35</v>
      </c>
      <c r="C651" t="s">
        <v>25</v>
      </c>
      <c r="D651" t="s">
        <v>37</v>
      </c>
      <c r="E651">
        <v>26</v>
      </c>
      <c r="F651" t="s">
        <v>27</v>
      </c>
      <c r="G651" t="s">
        <v>52</v>
      </c>
      <c r="H651" s="1">
        <v>44727</v>
      </c>
      <c r="I651" s="2">
        <v>2.9</v>
      </c>
      <c r="J651" t="s">
        <v>29</v>
      </c>
      <c r="K651" s="3">
        <v>4300</v>
      </c>
      <c r="L651" t="s">
        <v>30</v>
      </c>
      <c r="M651">
        <v>2</v>
      </c>
      <c r="N651">
        <v>5</v>
      </c>
      <c r="O651">
        <v>34</v>
      </c>
      <c r="P651" t="s">
        <v>22</v>
      </c>
      <c r="Q651" s="1">
        <v>45773</v>
      </c>
      <c r="R651" t="s">
        <v>40</v>
      </c>
      <c r="S651" t="s">
        <v>153</v>
      </c>
      <c r="T651" t="s">
        <v>42</v>
      </c>
      <c r="U651">
        <v>1</v>
      </c>
      <c r="V651">
        <v>0</v>
      </c>
      <c r="W651">
        <v>1</v>
      </c>
    </row>
    <row r="652" spans="1:23" ht="16.5" x14ac:dyDescent="0.3">
      <c r="A652" t="s">
        <v>719</v>
      </c>
      <c r="B652" t="s">
        <v>24</v>
      </c>
      <c r="C652" t="s">
        <v>45</v>
      </c>
      <c r="D652" t="s">
        <v>37</v>
      </c>
      <c r="E652">
        <v>42</v>
      </c>
      <c r="F652" t="s">
        <v>46</v>
      </c>
      <c r="G652" t="s">
        <v>38</v>
      </c>
      <c r="H652" s="1">
        <v>42581</v>
      </c>
      <c r="I652" s="2">
        <v>9.4</v>
      </c>
      <c r="J652" t="s">
        <v>39</v>
      </c>
      <c r="K652" s="3">
        <v>4950</v>
      </c>
      <c r="L652" t="s">
        <v>30</v>
      </c>
      <c r="M652">
        <v>3</v>
      </c>
      <c r="N652">
        <v>4</v>
      </c>
      <c r="O652">
        <v>28</v>
      </c>
      <c r="P652" t="s">
        <v>21</v>
      </c>
      <c r="Q652" s="1"/>
      <c r="U652">
        <v>1</v>
      </c>
      <c r="V652">
        <v>1</v>
      </c>
      <c r="W652">
        <v>0</v>
      </c>
    </row>
    <row r="653" spans="1:23" ht="16.5" x14ac:dyDescent="0.3">
      <c r="A653" t="s">
        <v>720</v>
      </c>
      <c r="B653" t="s">
        <v>35</v>
      </c>
      <c r="C653" t="s">
        <v>36</v>
      </c>
      <c r="D653" t="s">
        <v>37</v>
      </c>
      <c r="E653">
        <v>27</v>
      </c>
      <c r="F653" t="s">
        <v>27</v>
      </c>
      <c r="G653" t="s">
        <v>38</v>
      </c>
      <c r="H653" s="1">
        <v>45358</v>
      </c>
      <c r="I653" s="2">
        <v>0.2</v>
      </c>
      <c r="J653" t="s">
        <v>64</v>
      </c>
      <c r="K653" s="3">
        <v>4000</v>
      </c>
      <c r="L653" t="s">
        <v>30</v>
      </c>
      <c r="M653">
        <v>3</v>
      </c>
      <c r="N653">
        <v>4</v>
      </c>
      <c r="O653">
        <v>6</v>
      </c>
      <c r="P653" t="s">
        <v>22</v>
      </c>
      <c r="Q653" s="1">
        <v>45435</v>
      </c>
      <c r="R653" t="s">
        <v>31</v>
      </c>
      <c r="S653" t="s">
        <v>169</v>
      </c>
      <c r="T653" t="s">
        <v>151</v>
      </c>
      <c r="U653">
        <v>1</v>
      </c>
      <c r="V653">
        <v>0</v>
      </c>
      <c r="W653">
        <v>1</v>
      </c>
    </row>
    <row r="654" spans="1:23" ht="16.5" x14ac:dyDescent="0.3">
      <c r="A654" t="s">
        <v>721</v>
      </c>
      <c r="B654" t="s">
        <v>35</v>
      </c>
      <c r="C654" t="s">
        <v>25</v>
      </c>
      <c r="D654" t="s">
        <v>37</v>
      </c>
      <c r="E654">
        <v>21</v>
      </c>
      <c r="F654" t="s">
        <v>57</v>
      </c>
      <c r="G654" t="s">
        <v>38</v>
      </c>
      <c r="H654" s="1">
        <v>45991</v>
      </c>
      <c r="I654" s="2">
        <v>0</v>
      </c>
      <c r="J654" t="s">
        <v>64</v>
      </c>
      <c r="K654" s="3">
        <v>3350</v>
      </c>
      <c r="L654" t="s">
        <v>58</v>
      </c>
      <c r="M654">
        <v>2</v>
      </c>
      <c r="N654">
        <v>3</v>
      </c>
      <c r="O654">
        <v>8</v>
      </c>
      <c r="P654" t="s">
        <v>22</v>
      </c>
      <c r="Q654" s="1">
        <v>45998</v>
      </c>
      <c r="R654" t="s">
        <v>40</v>
      </c>
      <c r="S654" t="s">
        <v>92</v>
      </c>
      <c r="T654" t="s">
        <v>33</v>
      </c>
      <c r="U654">
        <v>1</v>
      </c>
      <c r="V654">
        <v>0</v>
      </c>
      <c r="W654">
        <v>1</v>
      </c>
    </row>
    <row r="655" spans="1:23" ht="16.5" x14ac:dyDescent="0.3">
      <c r="A655" t="s">
        <v>722</v>
      </c>
      <c r="B655" t="s">
        <v>35</v>
      </c>
      <c r="C655" t="s">
        <v>25</v>
      </c>
      <c r="D655" t="s">
        <v>37</v>
      </c>
      <c r="E655">
        <v>25</v>
      </c>
      <c r="F655" t="s">
        <v>57</v>
      </c>
      <c r="G655" t="s">
        <v>28</v>
      </c>
      <c r="H655" s="1">
        <v>45123</v>
      </c>
      <c r="I655" s="2">
        <v>2</v>
      </c>
      <c r="J655" t="s">
        <v>29</v>
      </c>
      <c r="K655" s="3">
        <v>3700</v>
      </c>
      <c r="L655" t="s">
        <v>30</v>
      </c>
      <c r="M655">
        <v>4</v>
      </c>
      <c r="N655">
        <v>3</v>
      </c>
      <c r="O655">
        <v>33</v>
      </c>
      <c r="P655" t="s">
        <v>22</v>
      </c>
      <c r="Q655" s="1">
        <v>45865</v>
      </c>
      <c r="R655" t="s">
        <v>40</v>
      </c>
      <c r="S655" t="s">
        <v>84</v>
      </c>
      <c r="T655" t="s">
        <v>151</v>
      </c>
      <c r="U655">
        <v>1</v>
      </c>
      <c r="V655">
        <v>0</v>
      </c>
      <c r="W655">
        <v>1</v>
      </c>
    </row>
    <row r="656" spans="1:23" ht="16.5" x14ac:dyDescent="0.3">
      <c r="A656" t="s">
        <v>723</v>
      </c>
      <c r="B656" t="s">
        <v>73</v>
      </c>
      <c r="C656" t="s">
        <v>45</v>
      </c>
      <c r="D656" t="s">
        <v>37</v>
      </c>
      <c r="E656">
        <v>27</v>
      </c>
      <c r="F656" t="s">
        <v>27</v>
      </c>
      <c r="G656" t="s">
        <v>28</v>
      </c>
      <c r="H656" s="1">
        <v>45195</v>
      </c>
      <c r="I656" s="2">
        <v>2.2999999999999998</v>
      </c>
      <c r="J656" t="s">
        <v>29</v>
      </c>
      <c r="K656" s="3">
        <v>6450</v>
      </c>
      <c r="L656" t="s">
        <v>30</v>
      </c>
      <c r="M656">
        <v>5</v>
      </c>
      <c r="N656">
        <v>4</v>
      </c>
      <c r="O656">
        <v>1</v>
      </c>
      <c r="P656" t="s">
        <v>21</v>
      </c>
      <c r="Q656" s="1"/>
      <c r="U656">
        <v>1</v>
      </c>
      <c r="V656">
        <v>1</v>
      </c>
      <c r="W656">
        <v>0</v>
      </c>
    </row>
    <row r="657" spans="1:23" ht="16.5" x14ac:dyDescent="0.3">
      <c r="A657" t="s">
        <v>724</v>
      </c>
      <c r="B657" t="s">
        <v>55</v>
      </c>
      <c r="C657" t="s">
        <v>36</v>
      </c>
      <c r="D657" t="s">
        <v>37</v>
      </c>
      <c r="E657">
        <v>32</v>
      </c>
      <c r="F657" t="s">
        <v>27</v>
      </c>
      <c r="G657" t="s">
        <v>38</v>
      </c>
      <c r="H657" s="1">
        <v>43171</v>
      </c>
      <c r="I657" s="2">
        <v>7.8</v>
      </c>
      <c r="J657" t="s">
        <v>39</v>
      </c>
      <c r="K657" s="3">
        <v>5300</v>
      </c>
      <c r="L657" t="s">
        <v>30</v>
      </c>
      <c r="M657">
        <v>3</v>
      </c>
      <c r="N657">
        <v>3</v>
      </c>
      <c r="O657">
        <v>18</v>
      </c>
      <c r="P657" t="s">
        <v>22</v>
      </c>
      <c r="Q657" s="1">
        <v>46008</v>
      </c>
      <c r="R657" t="s">
        <v>40</v>
      </c>
      <c r="S657" t="s">
        <v>92</v>
      </c>
      <c r="T657" t="s">
        <v>60</v>
      </c>
      <c r="U657">
        <v>1</v>
      </c>
      <c r="V657">
        <v>0</v>
      </c>
      <c r="W657">
        <v>1</v>
      </c>
    </row>
    <row r="658" spans="1:23" ht="16.5" x14ac:dyDescent="0.3">
      <c r="A658" t="s">
        <v>725</v>
      </c>
      <c r="B658" t="s">
        <v>35</v>
      </c>
      <c r="C658" t="s">
        <v>87</v>
      </c>
      <c r="D658" t="s">
        <v>37</v>
      </c>
      <c r="E658">
        <v>38</v>
      </c>
      <c r="F658" t="s">
        <v>46</v>
      </c>
      <c r="G658" t="s">
        <v>38</v>
      </c>
      <c r="H658" s="1">
        <v>41466</v>
      </c>
      <c r="I658" s="2">
        <v>12.1</v>
      </c>
      <c r="J658" t="s">
        <v>39</v>
      </c>
      <c r="K658" s="3">
        <v>8850</v>
      </c>
      <c r="L658" t="s">
        <v>30</v>
      </c>
      <c r="M658">
        <v>5</v>
      </c>
      <c r="N658">
        <v>3</v>
      </c>
      <c r="O658">
        <v>39</v>
      </c>
      <c r="P658" t="s">
        <v>22</v>
      </c>
      <c r="Q658" s="1">
        <v>45898</v>
      </c>
      <c r="R658" t="s">
        <v>40</v>
      </c>
      <c r="S658" t="s">
        <v>41</v>
      </c>
      <c r="T658" t="s">
        <v>42</v>
      </c>
      <c r="U658">
        <v>1</v>
      </c>
      <c r="V658">
        <v>0</v>
      </c>
      <c r="W658">
        <v>1</v>
      </c>
    </row>
    <row r="659" spans="1:23" ht="16.5" x14ac:dyDescent="0.3">
      <c r="A659" t="s">
        <v>726</v>
      </c>
      <c r="B659" t="s">
        <v>73</v>
      </c>
      <c r="C659" t="s">
        <v>36</v>
      </c>
      <c r="D659" t="s">
        <v>37</v>
      </c>
      <c r="E659">
        <v>30</v>
      </c>
      <c r="F659" t="s">
        <v>27</v>
      </c>
      <c r="G659" t="s">
        <v>38</v>
      </c>
      <c r="H659" s="1">
        <v>43462</v>
      </c>
      <c r="I659" s="2">
        <v>7</v>
      </c>
      <c r="J659" t="s">
        <v>39</v>
      </c>
      <c r="K659" s="3">
        <v>4800</v>
      </c>
      <c r="L659" t="s">
        <v>58</v>
      </c>
      <c r="M659">
        <v>3</v>
      </c>
      <c r="N659">
        <v>3</v>
      </c>
      <c r="O659">
        <v>31</v>
      </c>
      <c r="P659" t="s">
        <v>21</v>
      </c>
      <c r="Q659" s="1"/>
      <c r="U659">
        <v>1</v>
      </c>
      <c r="V659">
        <v>1</v>
      </c>
      <c r="W659">
        <v>0</v>
      </c>
    </row>
    <row r="660" spans="1:23" ht="16.5" x14ac:dyDescent="0.3">
      <c r="A660" t="s">
        <v>727</v>
      </c>
      <c r="B660" t="s">
        <v>48</v>
      </c>
      <c r="C660" t="s">
        <v>36</v>
      </c>
      <c r="D660" t="s">
        <v>26</v>
      </c>
      <c r="E660">
        <v>31</v>
      </c>
      <c r="F660" t="s">
        <v>27</v>
      </c>
      <c r="G660" t="s">
        <v>52</v>
      </c>
      <c r="H660" s="1">
        <v>44133</v>
      </c>
      <c r="I660" s="2">
        <v>5.2</v>
      </c>
      <c r="J660" t="s">
        <v>39</v>
      </c>
      <c r="K660" s="3">
        <v>9050</v>
      </c>
      <c r="L660" t="s">
        <v>30</v>
      </c>
      <c r="M660">
        <v>5</v>
      </c>
      <c r="N660">
        <v>3</v>
      </c>
      <c r="O660">
        <v>25</v>
      </c>
      <c r="P660" t="s">
        <v>21</v>
      </c>
      <c r="Q660" s="1"/>
      <c r="U660">
        <v>1</v>
      </c>
      <c r="V660">
        <v>1</v>
      </c>
      <c r="W660">
        <v>0</v>
      </c>
    </row>
    <row r="661" spans="1:23" ht="16.5" x14ac:dyDescent="0.3">
      <c r="A661" t="s">
        <v>728</v>
      </c>
      <c r="B661" t="s">
        <v>44</v>
      </c>
      <c r="C661" t="s">
        <v>25</v>
      </c>
      <c r="D661" t="s">
        <v>26</v>
      </c>
      <c r="E661">
        <v>21</v>
      </c>
      <c r="F661" t="s">
        <v>57</v>
      </c>
      <c r="G661" t="s">
        <v>38</v>
      </c>
      <c r="H661" s="1">
        <v>45919</v>
      </c>
      <c r="I661" s="2">
        <v>0.3</v>
      </c>
      <c r="J661" t="s">
        <v>64</v>
      </c>
      <c r="K661" s="3">
        <v>4750</v>
      </c>
      <c r="L661" t="s">
        <v>30</v>
      </c>
      <c r="M661">
        <v>2</v>
      </c>
      <c r="N661">
        <v>2</v>
      </c>
      <c r="O661">
        <v>13</v>
      </c>
      <c r="P661" t="s">
        <v>21</v>
      </c>
      <c r="Q661" s="1"/>
      <c r="U661">
        <v>1</v>
      </c>
      <c r="V661">
        <v>1</v>
      </c>
      <c r="W661">
        <v>0</v>
      </c>
    </row>
    <row r="662" spans="1:23" ht="16.5" x14ac:dyDescent="0.3">
      <c r="A662" t="s">
        <v>729</v>
      </c>
      <c r="B662" t="s">
        <v>70</v>
      </c>
      <c r="C662" t="s">
        <v>36</v>
      </c>
      <c r="D662" t="s">
        <v>37</v>
      </c>
      <c r="E662">
        <v>39</v>
      </c>
      <c r="F662" t="s">
        <v>46</v>
      </c>
      <c r="G662" t="s">
        <v>38</v>
      </c>
      <c r="H662" s="1">
        <v>41309</v>
      </c>
      <c r="I662" s="2">
        <v>12.9</v>
      </c>
      <c r="J662" t="s">
        <v>39</v>
      </c>
      <c r="K662" s="3">
        <v>5450</v>
      </c>
      <c r="L662" t="s">
        <v>58</v>
      </c>
      <c r="M662">
        <v>4</v>
      </c>
      <c r="N662">
        <v>5</v>
      </c>
      <c r="O662">
        <v>27</v>
      </c>
      <c r="P662" t="s">
        <v>21</v>
      </c>
      <c r="Q662" s="1"/>
      <c r="U662">
        <v>1</v>
      </c>
      <c r="V662">
        <v>1</v>
      </c>
      <c r="W662">
        <v>0</v>
      </c>
    </row>
    <row r="663" spans="1:23" ht="16.5" x14ac:dyDescent="0.3">
      <c r="A663" t="s">
        <v>730</v>
      </c>
      <c r="B663" t="s">
        <v>44</v>
      </c>
      <c r="C663" t="s">
        <v>25</v>
      </c>
      <c r="D663" t="s">
        <v>37</v>
      </c>
      <c r="E663">
        <v>21</v>
      </c>
      <c r="F663" t="s">
        <v>57</v>
      </c>
      <c r="G663" t="s">
        <v>38</v>
      </c>
      <c r="H663" s="1">
        <v>45941</v>
      </c>
      <c r="I663" s="2">
        <v>0</v>
      </c>
      <c r="J663" t="s">
        <v>64</v>
      </c>
      <c r="K663" s="3">
        <v>5800</v>
      </c>
      <c r="L663" t="s">
        <v>58</v>
      </c>
      <c r="M663">
        <v>3</v>
      </c>
      <c r="N663">
        <v>3</v>
      </c>
      <c r="O663">
        <v>30</v>
      </c>
      <c r="P663" t="s">
        <v>22</v>
      </c>
      <c r="Q663" s="1">
        <v>45947</v>
      </c>
      <c r="R663" t="s">
        <v>40</v>
      </c>
      <c r="S663" t="s">
        <v>206</v>
      </c>
      <c r="T663" t="s">
        <v>42</v>
      </c>
      <c r="U663">
        <v>1</v>
      </c>
      <c r="V663">
        <v>0</v>
      </c>
      <c r="W663">
        <v>1</v>
      </c>
    </row>
    <row r="664" spans="1:23" ht="16.5" x14ac:dyDescent="0.3">
      <c r="A664" t="s">
        <v>731</v>
      </c>
      <c r="B664" t="s">
        <v>35</v>
      </c>
      <c r="C664" t="s">
        <v>45</v>
      </c>
      <c r="D664" t="s">
        <v>37</v>
      </c>
      <c r="E664">
        <v>38</v>
      </c>
      <c r="F664" t="s">
        <v>46</v>
      </c>
      <c r="G664" t="s">
        <v>38</v>
      </c>
      <c r="H664" s="1">
        <v>42795</v>
      </c>
      <c r="I664" s="2">
        <v>8.8000000000000007</v>
      </c>
      <c r="J664" t="s">
        <v>39</v>
      </c>
      <c r="K664" s="3">
        <v>6000</v>
      </c>
      <c r="L664" t="s">
        <v>58</v>
      </c>
      <c r="M664">
        <v>3</v>
      </c>
      <c r="N664">
        <v>4</v>
      </c>
      <c r="O664">
        <v>18</v>
      </c>
      <c r="P664" t="s">
        <v>21</v>
      </c>
      <c r="Q664" s="1"/>
      <c r="U664">
        <v>1</v>
      </c>
      <c r="V664">
        <v>1</v>
      </c>
      <c r="W664">
        <v>0</v>
      </c>
    </row>
    <row r="665" spans="1:23" ht="16.5" x14ac:dyDescent="0.3">
      <c r="A665" t="s">
        <v>732</v>
      </c>
      <c r="B665" t="s">
        <v>48</v>
      </c>
      <c r="C665" t="s">
        <v>25</v>
      </c>
      <c r="D665" t="s">
        <v>37</v>
      </c>
      <c r="E665">
        <v>25</v>
      </c>
      <c r="F665" t="s">
        <v>57</v>
      </c>
      <c r="G665" t="s">
        <v>28</v>
      </c>
      <c r="H665" s="1">
        <v>45118</v>
      </c>
      <c r="I665" s="2">
        <v>2.5</v>
      </c>
      <c r="J665" t="s">
        <v>29</v>
      </c>
      <c r="K665" s="3">
        <v>6200</v>
      </c>
      <c r="L665" t="s">
        <v>58</v>
      </c>
      <c r="M665">
        <v>4</v>
      </c>
      <c r="N665">
        <v>2</v>
      </c>
      <c r="O665">
        <v>41</v>
      </c>
      <c r="P665" t="s">
        <v>21</v>
      </c>
      <c r="Q665" s="1"/>
      <c r="U665">
        <v>1</v>
      </c>
      <c r="V665">
        <v>1</v>
      </c>
      <c r="W665">
        <v>0</v>
      </c>
    </row>
    <row r="666" spans="1:23" ht="16.5" x14ac:dyDescent="0.3">
      <c r="A666" t="s">
        <v>733</v>
      </c>
      <c r="B666" t="s">
        <v>24</v>
      </c>
      <c r="C666" t="s">
        <v>36</v>
      </c>
      <c r="D666" t="s">
        <v>26</v>
      </c>
      <c r="E666">
        <v>36</v>
      </c>
      <c r="F666" t="s">
        <v>46</v>
      </c>
      <c r="G666" t="s">
        <v>28</v>
      </c>
      <c r="H666" s="1">
        <v>43284</v>
      </c>
      <c r="I666" s="2">
        <v>7.2</v>
      </c>
      <c r="J666" t="s">
        <v>39</v>
      </c>
      <c r="K666" s="3">
        <v>3500</v>
      </c>
      <c r="L666" t="s">
        <v>30</v>
      </c>
      <c r="M666">
        <v>3</v>
      </c>
      <c r="N666">
        <v>4</v>
      </c>
      <c r="O666">
        <v>18</v>
      </c>
      <c r="P666" t="s">
        <v>22</v>
      </c>
      <c r="Q666" s="1">
        <v>45926</v>
      </c>
      <c r="R666" t="s">
        <v>40</v>
      </c>
      <c r="S666" t="s">
        <v>259</v>
      </c>
      <c r="T666" t="s">
        <v>42</v>
      </c>
      <c r="U666">
        <v>1</v>
      </c>
      <c r="V666">
        <v>0</v>
      </c>
      <c r="W666">
        <v>1</v>
      </c>
    </row>
    <row r="667" spans="1:23" ht="16.5" x14ac:dyDescent="0.3">
      <c r="A667" t="s">
        <v>734</v>
      </c>
      <c r="B667" t="s">
        <v>24</v>
      </c>
      <c r="C667" t="s">
        <v>36</v>
      </c>
      <c r="D667" t="s">
        <v>26</v>
      </c>
      <c r="E667">
        <v>30</v>
      </c>
      <c r="F667" t="s">
        <v>27</v>
      </c>
      <c r="G667" t="s">
        <v>28</v>
      </c>
      <c r="H667" s="1">
        <v>44302</v>
      </c>
      <c r="I667" s="2">
        <v>4.7</v>
      </c>
      <c r="J667" t="s">
        <v>50</v>
      </c>
      <c r="K667" s="3">
        <v>4300</v>
      </c>
      <c r="L667" t="s">
        <v>30</v>
      </c>
      <c r="M667">
        <v>4</v>
      </c>
      <c r="N667">
        <v>5</v>
      </c>
      <c r="O667">
        <v>14</v>
      </c>
      <c r="P667" t="s">
        <v>21</v>
      </c>
      <c r="Q667" s="1"/>
      <c r="U667">
        <v>1</v>
      </c>
      <c r="V667">
        <v>1</v>
      </c>
      <c r="W667">
        <v>0</v>
      </c>
    </row>
    <row r="668" spans="1:23" ht="16.5" x14ac:dyDescent="0.3">
      <c r="A668" t="s">
        <v>735</v>
      </c>
      <c r="B668" t="s">
        <v>35</v>
      </c>
      <c r="C668" t="s">
        <v>45</v>
      </c>
      <c r="D668" t="s">
        <v>26</v>
      </c>
      <c r="E668">
        <v>43</v>
      </c>
      <c r="F668" t="s">
        <v>46</v>
      </c>
      <c r="G668" t="s">
        <v>52</v>
      </c>
      <c r="H668" s="1">
        <v>41064</v>
      </c>
      <c r="I668" s="2">
        <v>13.6</v>
      </c>
      <c r="J668" t="s">
        <v>39</v>
      </c>
      <c r="K668" s="3">
        <v>5850</v>
      </c>
      <c r="L668" t="s">
        <v>30</v>
      </c>
      <c r="M668">
        <v>4</v>
      </c>
      <c r="N668">
        <v>3</v>
      </c>
      <c r="O668">
        <v>38</v>
      </c>
      <c r="P668" t="s">
        <v>21</v>
      </c>
      <c r="Q668" s="1"/>
      <c r="U668">
        <v>1</v>
      </c>
      <c r="V668">
        <v>1</v>
      </c>
      <c r="W668">
        <v>0</v>
      </c>
    </row>
    <row r="669" spans="1:23" ht="16.5" x14ac:dyDescent="0.3">
      <c r="A669" t="s">
        <v>736</v>
      </c>
      <c r="B669" t="s">
        <v>24</v>
      </c>
      <c r="C669" t="s">
        <v>36</v>
      </c>
      <c r="D669" t="s">
        <v>26</v>
      </c>
      <c r="E669">
        <v>36</v>
      </c>
      <c r="F669" t="s">
        <v>46</v>
      </c>
      <c r="G669" t="s">
        <v>28</v>
      </c>
      <c r="H669" s="1">
        <v>42876</v>
      </c>
      <c r="I669" s="2">
        <v>8.6</v>
      </c>
      <c r="J669" t="s">
        <v>39</v>
      </c>
      <c r="K669" s="3">
        <v>3800</v>
      </c>
      <c r="L669" t="s">
        <v>58</v>
      </c>
      <c r="M669">
        <v>3</v>
      </c>
      <c r="N669">
        <v>4</v>
      </c>
      <c r="O669">
        <v>19</v>
      </c>
      <c r="P669" t="s">
        <v>21</v>
      </c>
      <c r="Q669" s="1"/>
      <c r="U669">
        <v>1</v>
      </c>
      <c r="V669">
        <v>1</v>
      </c>
      <c r="W669">
        <v>0</v>
      </c>
    </row>
    <row r="670" spans="1:23" ht="16.5" x14ac:dyDescent="0.3">
      <c r="A670" t="s">
        <v>737</v>
      </c>
      <c r="B670" t="s">
        <v>70</v>
      </c>
      <c r="C670" t="s">
        <v>25</v>
      </c>
      <c r="D670" t="s">
        <v>26</v>
      </c>
      <c r="E670">
        <v>21</v>
      </c>
      <c r="F670" t="s">
        <v>57</v>
      </c>
      <c r="G670" t="s">
        <v>28</v>
      </c>
      <c r="H670" s="1">
        <v>45931</v>
      </c>
      <c r="I670" s="2">
        <v>0.1</v>
      </c>
      <c r="J670" t="s">
        <v>64</v>
      </c>
      <c r="K670" s="3">
        <v>4350</v>
      </c>
      <c r="L670" t="s">
        <v>58</v>
      </c>
      <c r="M670">
        <v>2</v>
      </c>
      <c r="N670">
        <v>4</v>
      </c>
      <c r="O670">
        <v>7</v>
      </c>
      <c r="P670" t="s">
        <v>22</v>
      </c>
      <c r="Q670" s="1">
        <v>45981</v>
      </c>
      <c r="R670" t="s">
        <v>40</v>
      </c>
      <c r="S670" t="s">
        <v>182</v>
      </c>
      <c r="T670" t="s">
        <v>42</v>
      </c>
      <c r="U670">
        <v>1</v>
      </c>
      <c r="V670">
        <v>0</v>
      </c>
      <c r="W670">
        <v>1</v>
      </c>
    </row>
    <row r="671" spans="1:23" ht="16.5" x14ac:dyDescent="0.3">
      <c r="A671" t="s">
        <v>738</v>
      </c>
      <c r="B671" t="s">
        <v>48</v>
      </c>
      <c r="C671" t="s">
        <v>25</v>
      </c>
      <c r="D671" t="s">
        <v>37</v>
      </c>
      <c r="E671">
        <v>32</v>
      </c>
      <c r="F671" t="s">
        <v>27</v>
      </c>
      <c r="G671" t="s">
        <v>38</v>
      </c>
      <c r="H671" s="1">
        <v>44650</v>
      </c>
      <c r="I671" s="2">
        <v>3.8</v>
      </c>
      <c r="J671" t="s">
        <v>50</v>
      </c>
      <c r="K671" s="3">
        <v>6200</v>
      </c>
      <c r="L671" t="s">
        <v>30</v>
      </c>
      <c r="M671">
        <v>4</v>
      </c>
      <c r="N671">
        <v>3</v>
      </c>
      <c r="O671">
        <v>20</v>
      </c>
      <c r="P671" t="s">
        <v>21</v>
      </c>
      <c r="Q671" s="1"/>
      <c r="U671">
        <v>1</v>
      </c>
      <c r="V671">
        <v>1</v>
      </c>
      <c r="W671">
        <v>0</v>
      </c>
    </row>
    <row r="672" spans="1:23" ht="16.5" x14ac:dyDescent="0.3">
      <c r="A672" t="s">
        <v>739</v>
      </c>
      <c r="B672" t="s">
        <v>24</v>
      </c>
      <c r="C672" t="s">
        <v>36</v>
      </c>
      <c r="D672" t="s">
        <v>37</v>
      </c>
      <c r="E672">
        <v>42</v>
      </c>
      <c r="F672" t="s">
        <v>46</v>
      </c>
      <c r="G672" t="s">
        <v>38</v>
      </c>
      <c r="H672" s="1">
        <v>44305</v>
      </c>
      <c r="I672" s="2">
        <v>4.7</v>
      </c>
      <c r="J672" t="s">
        <v>50</v>
      </c>
      <c r="K672" s="3">
        <v>3850</v>
      </c>
      <c r="L672" t="s">
        <v>30</v>
      </c>
      <c r="M672">
        <v>4</v>
      </c>
      <c r="N672">
        <v>5</v>
      </c>
      <c r="O672">
        <v>8</v>
      </c>
      <c r="P672" t="s">
        <v>21</v>
      </c>
      <c r="Q672" s="1"/>
      <c r="U672">
        <v>1</v>
      </c>
      <c r="V672">
        <v>1</v>
      </c>
      <c r="W672">
        <v>0</v>
      </c>
    </row>
    <row r="673" spans="1:23" ht="16.5" x14ac:dyDescent="0.3">
      <c r="A673" t="s">
        <v>740</v>
      </c>
      <c r="B673" t="s">
        <v>48</v>
      </c>
      <c r="C673" t="s">
        <v>25</v>
      </c>
      <c r="D673" t="s">
        <v>37</v>
      </c>
      <c r="E673">
        <v>28</v>
      </c>
      <c r="F673" t="s">
        <v>27</v>
      </c>
      <c r="G673" t="s">
        <v>38</v>
      </c>
      <c r="H673" s="1">
        <v>44650</v>
      </c>
      <c r="I673" s="2">
        <v>3.8</v>
      </c>
      <c r="J673" t="s">
        <v>50</v>
      </c>
      <c r="K673" s="3">
        <v>5750</v>
      </c>
      <c r="L673" t="s">
        <v>30</v>
      </c>
      <c r="M673">
        <v>4</v>
      </c>
      <c r="N673">
        <v>4</v>
      </c>
      <c r="O673">
        <v>28</v>
      </c>
      <c r="P673" t="s">
        <v>21</v>
      </c>
      <c r="Q673" s="1"/>
      <c r="U673">
        <v>1</v>
      </c>
      <c r="V673">
        <v>1</v>
      </c>
      <c r="W673">
        <v>0</v>
      </c>
    </row>
    <row r="674" spans="1:23" ht="16.5" x14ac:dyDescent="0.3">
      <c r="A674" t="s">
        <v>741</v>
      </c>
      <c r="B674" t="s">
        <v>70</v>
      </c>
      <c r="C674" t="s">
        <v>36</v>
      </c>
      <c r="D674" t="s">
        <v>37</v>
      </c>
      <c r="E674">
        <v>43</v>
      </c>
      <c r="F674" t="s">
        <v>46</v>
      </c>
      <c r="G674" t="s">
        <v>28</v>
      </c>
      <c r="H674" s="1">
        <v>43048</v>
      </c>
      <c r="I674" s="2">
        <v>6.8</v>
      </c>
      <c r="J674" t="s">
        <v>39</v>
      </c>
      <c r="K674" s="3">
        <v>5250</v>
      </c>
      <c r="L674" t="s">
        <v>30</v>
      </c>
      <c r="M674">
        <v>4</v>
      </c>
      <c r="N674">
        <v>2</v>
      </c>
      <c r="O674">
        <v>29</v>
      </c>
      <c r="P674" t="s">
        <v>22</v>
      </c>
      <c r="Q674" s="1">
        <v>45516</v>
      </c>
      <c r="R674" t="s">
        <v>31</v>
      </c>
      <c r="S674" t="s">
        <v>41</v>
      </c>
      <c r="T674" t="s">
        <v>42</v>
      </c>
      <c r="U674">
        <v>1</v>
      </c>
      <c r="V674">
        <v>0</v>
      </c>
      <c r="W674">
        <v>1</v>
      </c>
    </row>
    <row r="675" spans="1:23" ht="16.5" x14ac:dyDescent="0.3">
      <c r="A675" t="s">
        <v>742</v>
      </c>
      <c r="B675" t="s">
        <v>24</v>
      </c>
      <c r="C675" t="s">
        <v>36</v>
      </c>
      <c r="D675" t="s">
        <v>26</v>
      </c>
      <c r="E675">
        <v>26</v>
      </c>
      <c r="F675" t="s">
        <v>27</v>
      </c>
      <c r="G675" t="s">
        <v>38</v>
      </c>
      <c r="H675" s="1">
        <v>44640</v>
      </c>
      <c r="I675" s="2">
        <v>3.8</v>
      </c>
      <c r="J675" t="s">
        <v>50</v>
      </c>
      <c r="K675" s="3">
        <v>3700</v>
      </c>
      <c r="L675" t="s">
        <v>58</v>
      </c>
      <c r="M675">
        <v>4</v>
      </c>
      <c r="N675">
        <v>3</v>
      </c>
      <c r="O675">
        <v>24</v>
      </c>
      <c r="P675" t="s">
        <v>21</v>
      </c>
      <c r="Q675" s="1"/>
      <c r="U675">
        <v>1</v>
      </c>
      <c r="V675">
        <v>1</v>
      </c>
      <c r="W675">
        <v>0</v>
      </c>
    </row>
    <row r="676" spans="1:23" ht="16.5" x14ac:dyDescent="0.3">
      <c r="A676" t="s">
        <v>743</v>
      </c>
      <c r="B676" t="s">
        <v>48</v>
      </c>
      <c r="C676" t="s">
        <v>36</v>
      </c>
      <c r="D676" t="s">
        <v>26</v>
      </c>
      <c r="E676">
        <v>32</v>
      </c>
      <c r="F676" t="s">
        <v>27</v>
      </c>
      <c r="G676" t="s">
        <v>28</v>
      </c>
      <c r="H676" s="1">
        <v>43722</v>
      </c>
      <c r="I676" s="2">
        <v>6.3</v>
      </c>
      <c r="J676" t="s">
        <v>39</v>
      </c>
      <c r="K676" s="3">
        <v>8050</v>
      </c>
      <c r="L676" t="s">
        <v>58</v>
      </c>
      <c r="M676">
        <v>3</v>
      </c>
      <c r="N676">
        <v>3</v>
      </c>
      <c r="O676">
        <v>43</v>
      </c>
      <c r="P676" t="s">
        <v>21</v>
      </c>
      <c r="Q676" s="1"/>
      <c r="U676">
        <v>1</v>
      </c>
      <c r="V676">
        <v>1</v>
      </c>
      <c r="W676">
        <v>0</v>
      </c>
    </row>
    <row r="677" spans="1:23" ht="16.5" x14ac:dyDescent="0.3">
      <c r="A677" t="s">
        <v>744</v>
      </c>
      <c r="B677" t="s">
        <v>70</v>
      </c>
      <c r="C677" t="s">
        <v>45</v>
      </c>
      <c r="D677" t="s">
        <v>37</v>
      </c>
      <c r="E677">
        <v>36</v>
      </c>
      <c r="F677" t="s">
        <v>46</v>
      </c>
      <c r="G677" t="s">
        <v>38</v>
      </c>
      <c r="H677" s="1">
        <v>43540</v>
      </c>
      <c r="I677" s="2">
        <v>6.8</v>
      </c>
      <c r="J677" t="s">
        <v>39</v>
      </c>
      <c r="K677" s="3">
        <v>8450</v>
      </c>
      <c r="L677" t="s">
        <v>30</v>
      </c>
      <c r="M677">
        <v>3</v>
      </c>
      <c r="N677">
        <v>3</v>
      </c>
      <c r="O677">
        <v>23</v>
      </c>
      <c r="P677" t="s">
        <v>21</v>
      </c>
      <c r="Q677" s="1"/>
      <c r="U677">
        <v>1</v>
      </c>
      <c r="V677">
        <v>1</v>
      </c>
      <c r="W677">
        <v>0</v>
      </c>
    </row>
    <row r="678" spans="1:23" ht="16.5" x14ac:dyDescent="0.3">
      <c r="A678" t="s">
        <v>745</v>
      </c>
      <c r="B678" t="s">
        <v>24</v>
      </c>
      <c r="C678" t="s">
        <v>45</v>
      </c>
      <c r="D678" t="s">
        <v>37</v>
      </c>
      <c r="E678">
        <v>41</v>
      </c>
      <c r="F678" t="s">
        <v>46</v>
      </c>
      <c r="G678" t="s">
        <v>38</v>
      </c>
      <c r="H678" s="1">
        <v>40689</v>
      </c>
      <c r="I678" s="2">
        <v>12.7</v>
      </c>
      <c r="J678" t="s">
        <v>39</v>
      </c>
      <c r="K678" s="3">
        <v>4800</v>
      </c>
      <c r="L678" t="s">
        <v>58</v>
      </c>
      <c r="M678">
        <v>3</v>
      </c>
      <c r="N678">
        <v>2</v>
      </c>
      <c r="O678">
        <v>34</v>
      </c>
      <c r="P678" t="s">
        <v>22</v>
      </c>
      <c r="Q678" s="1">
        <v>45322</v>
      </c>
      <c r="R678" t="s">
        <v>31</v>
      </c>
      <c r="S678" t="s">
        <v>107</v>
      </c>
      <c r="T678" t="s">
        <v>60</v>
      </c>
      <c r="U678">
        <v>1</v>
      </c>
      <c r="V678">
        <v>0</v>
      </c>
      <c r="W678">
        <v>1</v>
      </c>
    </row>
    <row r="679" spans="1:23" ht="16.5" x14ac:dyDescent="0.3">
      <c r="A679" t="s">
        <v>746</v>
      </c>
      <c r="B679" t="s">
        <v>35</v>
      </c>
      <c r="C679" t="s">
        <v>25</v>
      </c>
      <c r="D679" t="s">
        <v>37</v>
      </c>
      <c r="E679">
        <v>26</v>
      </c>
      <c r="F679" t="s">
        <v>27</v>
      </c>
      <c r="G679" t="s">
        <v>38</v>
      </c>
      <c r="H679" s="1">
        <v>44863</v>
      </c>
      <c r="I679" s="2">
        <v>3.2</v>
      </c>
      <c r="J679" t="s">
        <v>50</v>
      </c>
      <c r="K679" s="3">
        <v>3550</v>
      </c>
      <c r="L679" t="s">
        <v>30</v>
      </c>
      <c r="M679">
        <v>4</v>
      </c>
      <c r="N679">
        <v>4</v>
      </c>
      <c r="O679">
        <v>16</v>
      </c>
      <c r="P679" t="s">
        <v>21</v>
      </c>
      <c r="Q679" s="1"/>
      <c r="U679">
        <v>1</v>
      </c>
      <c r="V679">
        <v>1</v>
      </c>
      <c r="W679">
        <v>0</v>
      </c>
    </row>
    <row r="680" spans="1:23" ht="16.5" x14ac:dyDescent="0.3">
      <c r="A680" t="s">
        <v>747</v>
      </c>
      <c r="B680" t="s">
        <v>55</v>
      </c>
      <c r="C680" t="s">
        <v>25</v>
      </c>
      <c r="D680" t="s">
        <v>37</v>
      </c>
      <c r="E680">
        <v>24</v>
      </c>
      <c r="F680" t="s">
        <v>57</v>
      </c>
      <c r="G680" t="s">
        <v>38</v>
      </c>
      <c r="H680" s="1">
        <v>45209</v>
      </c>
      <c r="I680" s="2">
        <v>2.2000000000000002</v>
      </c>
      <c r="J680" t="s">
        <v>29</v>
      </c>
      <c r="K680" s="3">
        <v>5950</v>
      </c>
      <c r="L680" t="s">
        <v>30</v>
      </c>
      <c r="M680">
        <v>4</v>
      </c>
      <c r="N680">
        <v>4</v>
      </c>
      <c r="O680">
        <v>20</v>
      </c>
      <c r="P680" t="s">
        <v>21</v>
      </c>
      <c r="Q680" s="1"/>
      <c r="U680">
        <v>1</v>
      </c>
      <c r="V680">
        <v>1</v>
      </c>
      <c r="W680">
        <v>0</v>
      </c>
    </row>
    <row r="681" spans="1:23" ht="16.5" x14ac:dyDescent="0.3">
      <c r="A681" t="s">
        <v>748</v>
      </c>
      <c r="B681" t="s">
        <v>70</v>
      </c>
      <c r="C681" t="s">
        <v>25</v>
      </c>
      <c r="D681" t="s">
        <v>37</v>
      </c>
      <c r="E681">
        <v>23</v>
      </c>
      <c r="F681" t="s">
        <v>57</v>
      </c>
      <c r="G681" t="s">
        <v>52</v>
      </c>
      <c r="H681" s="1">
        <v>45528</v>
      </c>
      <c r="I681" s="2">
        <v>1.4</v>
      </c>
      <c r="J681" t="s">
        <v>29</v>
      </c>
      <c r="K681" s="3">
        <v>4200</v>
      </c>
      <c r="L681" t="s">
        <v>30</v>
      </c>
      <c r="M681">
        <v>5</v>
      </c>
      <c r="N681">
        <v>3</v>
      </c>
      <c r="O681">
        <v>23</v>
      </c>
      <c r="P681" t="s">
        <v>21</v>
      </c>
      <c r="Q681" s="1"/>
      <c r="U681">
        <v>1</v>
      </c>
      <c r="V681">
        <v>1</v>
      </c>
      <c r="W681">
        <v>0</v>
      </c>
    </row>
    <row r="682" spans="1:23" ht="16.5" x14ac:dyDescent="0.3">
      <c r="A682" t="s">
        <v>749</v>
      </c>
      <c r="B682" t="s">
        <v>48</v>
      </c>
      <c r="C682" t="s">
        <v>36</v>
      </c>
      <c r="D682" t="s">
        <v>37</v>
      </c>
      <c r="E682">
        <v>30</v>
      </c>
      <c r="F682" t="s">
        <v>27</v>
      </c>
      <c r="G682" t="s">
        <v>38</v>
      </c>
      <c r="H682" s="1">
        <v>44580</v>
      </c>
      <c r="I682" s="2">
        <v>3.9</v>
      </c>
      <c r="J682" t="s">
        <v>50</v>
      </c>
      <c r="K682" s="3">
        <v>8300</v>
      </c>
      <c r="L682" t="s">
        <v>58</v>
      </c>
      <c r="M682">
        <v>3</v>
      </c>
      <c r="N682">
        <v>3</v>
      </c>
      <c r="O682">
        <v>25</v>
      </c>
      <c r="P682" t="s">
        <v>21</v>
      </c>
      <c r="Q682" s="1"/>
      <c r="U682">
        <v>1</v>
      </c>
      <c r="V682">
        <v>1</v>
      </c>
      <c r="W682">
        <v>0</v>
      </c>
    </row>
    <row r="683" spans="1:23" ht="16.5" x14ac:dyDescent="0.3">
      <c r="A683" t="s">
        <v>750</v>
      </c>
      <c r="B683" t="s">
        <v>35</v>
      </c>
      <c r="C683" t="s">
        <v>25</v>
      </c>
      <c r="D683" t="s">
        <v>37</v>
      </c>
      <c r="E683">
        <v>26</v>
      </c>
      <c r="F683" t="s">
        <v>27</v>
      </c>
      <c r="G683" t="s">
        <v>38</v>
      </c>
      <c r="H683" s="1">
        <v>44563</v>
      </c>
      <c r="I683" s="2">
        <v>4</v>
      </c>
      <c r="J683" t="s">
        <v>50</v>
      </c>
      <c r="K683" s="3">
        <v>2350</v>
      </c>
      <c r="L683" t="s">
        <v>30</v>
      </c>
      <c r="M683">
        <v>3</v>
      </c>
      <c r="N683">
        <v>3</v>
      </c>
      <c r="O683">
        <v>36</v>
      </c>
      <c r="P683" t="s">
        <v>21</v>
      </c>
      <c r="Q683" s="1"/>
      <c r="U683">
        <v>1</v>
      </c>
      <c r="V683">
        <v>1</v>
      </c>
      <c r="W683">
        <v>0</v>
      </c>
    </row>
    <row r="684" spans="1:23" ht="16.5" x14ac:dyDescent="0.3">
      <c r="A684" t="s">
        <v>751</v>
      </c>
      <c r="B684" t="s">
        <v>48</v>
      </c>
      <c r="C684" t="s">
        <v>25</v>
      </c>
      <c r="D684" t="s">
        <v>37</v>
      </c>
      <c r="E684">
        <v>27</v>
      </c>
      <c r="F684" t="s">
        <v>27</v>
      </c>
      <c r="G684" t="s">
        <v>38</v>
      </c>
      <c r="H684" s="1">
        <v>45346</v>
      </c>
      <c r="I684" s="2">
        <v>1.9</v>
      </c>
      <c r="J684" t="s">
        <v>29</v>
      </c>
      <c r="K684" s="3">
        <v>5400</v>
      </c>
      <c r="L684" t="s">
        <v>30</v>
      </c>
      <c r="M684">
        <v>4</v>
      </c>
      <c r="N684">
        <v>3</v>
      </c>
      <c r="O684">
        <v>13</v>
      </c>
      <c r="P684" t="s">
        <v>21</v>
      </c>
      <c r="Q684" s="1"/>
      <c r="U684">
        <v>1</v>
      </c>
      <c r="V684">
        <v>1</v>
      </c>
      <c r="W684">
        <v>0</v>
      </c>
    </row>
    <row r="685" spans="1:23" ht="16.5" x14ac:dyDescent="0.3">
      <c r="A685" t="s">
        <v>752</v>
      </c>
      <c r="B685" t="s">
        <v>70</v>
      </c>
      <c r="C685" t="s">
        <v>25</v>
      </c>
      <c r="D685" t="s">
        <v>37</v>
      </c>
      <c r="E685">
        <v>36</v>
      </c>
      <c r="F685" t="s">
        <v>46</v>
      </c>
      <c r="G685" t="s">
        <v>28</v>
      </c>
      <c r="H685" s="1">
        <v>43716</v>
      </c>
      <c r="I685" s="2">
        <v>5.3</v>
      </c>
      <c r="J685" t="s">
        <v>39</v>
      </c>
      <c r="K685" s="3">
        <v>3350</v>
      </c>
      <c r="L685" t="s">
        <v>58</v>
      </c>
      <c r="M685">
        <v>3</v>
      </c>
      <c r="N685">
        <v>5</v>
      </c>
      <c r="O685">
        <v>14</v>
      </c>
      <c r="P685" t="s">
        <v>22</v>
      </c>
      <c r="Q685" s="1">
        <v>45650</v>
      </c>
      <c r="R685" t="s">
        <v>31</v>
      </c>
      <c r="S685" t="s">
        <v>92</v>
      </c>
      <c r="T685" t="s">
        <v>33</v>
      </c>
      <c r="U685">
        <v>1</v>
      </c>
      <c r="V685">
        <v>0</v>
      </c>
      <c r="W685">
        <v>1</v>
      </c>
    </row>
    <row r="686" spans="1:23" ht="16.5" x14ac:dyDescent="0.3">
      <c r="A686" t="s">
        <v>753</v>
      </c>
      <c r="B686" t="s">
        <v>35</v>
      </c>
      <c r="C686" t="s">
        <v>36</v>
      </c>
      <c r="D686" t="s">
        <v>37</v>
      </c>
      <c r="E686">
        <v>42</v>
      </c>
      <c r="F686" t="s">
        <v>46</v>
      </c>
      <c r="G686" t="s">
        <v>38</v>
      </c>
      <c r="H686" s="1">
        <v>44245</v>
      </c>
      <c r="I686" s="2">
        <v>4.9000000000000004</v>
      </c>
      <c r="J686" t="s">
        <v>50</v>
      </c>
      <c r="K686" s="3">
        <v>4200</v>
      </c>
      <c r="L686" t="s">
        <v>58</v>
      </c>
      <c r="M686">
        <v>1</v>
      </c>
      <c r="N686">
        <v>3</v>
      </c>
      <c r="O686">
        <v>24</v>
      </c>
      <c r="P686" t="s">
        <v>21</v>
      </c>
      <c r="Q686" s="1"/>
      <c r="U686">
        <v>1</v>
      </c>
      <c r="V686">
        <v>1</v>
      </c>
      <c r="W686">
        <v>0</v>
      </c>
    </row>
    <row r="687" spans="1:23" ht="16.5" x14ac:dyDescent="0.3">
      <c r="A687" t="s">
        <v>754</v>
      </c>
      <c r="B687" t="s">
        <v>24</v>
      </c>
      <c r="C687" t="s">
        <v>36</v>
      </c>
      <c r="D687" t="s">
        <v>37</v>
      </c>
      <c r="E687">
        <v>39</v>
      </c>
      <c r="F687" t="s">
        <v>46</v>
      </c>
      <c r="G687" t="s">
        <v>28</v>
      </c>
      <c r="H687" s="1">
        <v>40912</v>
      </c>
      <c r="I687" s="2">
        <v>14</v>
      </c>
      <c r="J687" t="s">
        <v>39</v>
      </c>
      <c r="K687" s="3">
        <v>4450</v>
      </c>
      <c r="L687" t="s">
        <v>30</v>
      </c>
      <c r="M687">
        <v>4</v>
      </c>
      <c r="N687">
        <v>3</v>
      </c>
      <c r="O687">
        <v>31</v>
      </c>
      <c r="P687" t="s">
        <v>21</v>
      </c>
      <c r="Q687" s="1"/>
      <c r="U687">
        <v>1</v>
      </c>
      <c r="V687">
        <v>1</v>
      </c>
      <c r="W687">
        <v>0</v>
      </c>
    </row>
    <row r="688" spans="1:23" ht="16.5" x14ac:dyDescent="0.3">
      <c r="A688" t="s">
        <v>755</v>
      </c>
      <c r="B688" t="s">
        <v>24</v>
      </c>
      <c r="C688" t="s">
        <v>36</v>
      </c>
      <c r="D688" t="s">
        <v>37</v>
      </c>
      <c r="E688">
        <v>21</v>
      </c>
      <c r="F688" t="s">
        <v>57</v>
      </c>
      <c r="G688" t="s">
        <v>28</v>
      </c>
      <c r="H688" s="1">
        <v>45937</v>
      </c>
      <c r="I688" s="2">
        <v>0.2</v>
      </c>
      <c r="J688" t="s">
        <v>64</v>
      </c>
      <c r="K688" s="3">
        <v>4150</v>
      </c>
      <c r="L688" t="s">
        <v>30</v>
      </c>
      <c r="M688">
        <v>4</v>
      </c>
      <c r="N688">
        <v>3</v>
      </c>
      <c r="O688">
        <v>19</v>
      </c>
      <c r="P688" t="s">
        <v>21</v>
      </c>
      <c r="Q688" s="1"/>
      <c r="U688">
        <v>1</v>
      </c>
      <c r="V688">
        <v>1</v>
      </c>
      <c r="W688">
        <v>0</v>
      </c>
    </row>
    <row r="689" spans="1:23" ht="16.5" x14ac:dyDescent="0.3">
      <c r="A689" t="s">
        <v>756</v>
      </c>
      <c r="B689" t="s">
        <v>24</v>
      </c>
      <c r="C689" t="s">
        <v>87</v>
      </c>
      <c r="D689" t="s">
        <v>37</v>
      </c>
      <c r="E689">
        <v>59</v>
      </c>
      <c r="F689" t="s">
        <v>88</v>
      </c>
      <c r="G689" t="s">
        <v>38</v>
      </c>
      <c r="H689" s="1">
        <v>42332</v>
      </c>
      <c r="I689" s="2">
        <v>10.1</v>
      </c>
      <c r="J689" t="s">
        <v>39</v>
      </c>
      <c r="K689" s="3">
        <v>8000</v>
      </c>
      <c r="L689" t="s">
        <v>30</v>
      </c>
      <c r="M689">
        <v>5</v>
      </c>
      <c r="N689">
        <v>3</v>
      </c>
      <c r="O689">
        <v>18</v>
      </c>
      <c r="P689" t="s">
        <v>21</v>
      </c>
      <c r="Q689" s="1"/>
      <c r="U689">
        <v>1</v>
      </c>
      <c r="V689">
        <v>1</v>
      </c>
      <c r="W689">
        <v>0</v>
      </c>
    </row>
    <row r="690" spans="1:23" ht="16.5" x14ac:dyDescent="0.3">
      <c r="A690" t="s">
        <v>757</v>
      </c>
      <c r="B690" t="s">
        <v>70</v>
      </c>
      <c r="C690" t="s">
        <v>36</v>
      </c>
      <c r="D690" t="s">
        <v>37</v>
      </c>
      <c r="E690">
        <v>32</v>
      </c>
      <c r="F690" t="s">
        <v>27</v>
      </c>
      <c r="G690" t="s">
        <v>38</v>
      </c>
      <c r="H690" s="1">
        <v>44883</v>
      </c>
      <c r="I690" s="2">
        <v>1.7</v>
      </c>
      <c r="J690" t="s">
        <v>29</v>
      </c>
      <c r="K690" s="3">
        <v>5000</v>
      </c>
      <c r="L690" t="s">
        <v>58</v>
      </c>
      <c r="M690">
        <v>3</v>
      </c>
      <c r="N690">
        <v>4</v>
      </c>
      <c r="O690">
        <v>10</v>
      </c>
      <c r="P690" t="s">
        <v>22</v>
      </c>
      <c r="Q690" s="1">
        <v>45502</v>
      </c>
      <c r="R690" t="s">
        <v>31</v>
      </c>
      <c r="S690" t="s">
        <v>84</v>
      </c>
      <c r="T690" t="s">
        <v>85</v>
      </c>
      <c r="U690">
        <v>1</v>
      </c>
      <c r="V690">
        <v>0</v>
      </c>
      <c r="W690">
        <v>1</v>
      </c>
    </row>
    <row r="691" spans="1:23" ht="16.5" x14ac:dyDescent="0.3">
      <c r="A691" t="s">
        <v>758</v>
      </c>
      <c r="B691" t="s">
        <v>48</v>
      </c>
      <c r="C691" t="s">
        <v>36</v>
      </c>
      <c r="D691" t="s">
        <v>37</v>
      </c>
      <c r="E691">
        <v>31</v>
      </c>
      <c r="F691" t="s">
        <v>27</v>
      </c>
      <c r="G691" t="s">
        <v>38</v>
      </c>
      <c r="H691" s="1">
        <v>43440</v>
      </c>
      <c r="I691" s="2">
        <v>7.1</v>
      </c>
      <c r="J691" t="s">
        <v>39</v>
      </c>
      <c r="K691" s="3">
        <v>7750</v>
      </c>
      <c r="L691" t="s">
        <v>58</v>
      </c>
      <c r="M691">
        <v>5</v>
      </c>
      <c r="N691">
        <v>3</v>
      </c>
      <c r="O691">
        <v>10</v>
      </c>
      <c r="P691" t="s">
        <v>21</v>
      </c>
      <c r="Q691" s="1"/>
      <c r="U691">
        <v>1</v>
      </c>
      <c r="V691">
        <v>1</v>
      </c>
      <c r="W691">
        <v>0</v>
      </c>
    </row>
    <row r="692" spans="1:23" ht="16.5" x14ac:dyDescent="0.3">
      <c r="A692" t="s">
        <v>759</v>
      </c>
      <c r="B692" t="s">
        <v>35</v>
      </c>
      <c r="C692" t="s">
        <v>25</v>
      </c>
      <c r="D692" t="s">
        <v>26</v>
      </c>
      <c r="E692">
        <v>22</v>
      </c>
      <c r="F692" t="s">
        <v>57</v>
      </c>
      <c r="G692" t="s">
        <v>52</v>
      </c>
      <c r="H692" s="1">
        <v>45885</v>
      </c>
      <c r="I692" s="2">
        <v>0.2</v>
      </c>
      <c r="J692" t="s">
        <v>64</v>
      </c>
      <c r="K692" s="3">
        <v>3650</v>
      </c>
      <c r="L692" t="s">
        <v>58</v>
      </c>
      <c r="M692">
        <v>2</v>
      </c>
      <c r="N692">
        <v>3</v>
      </c>
      <c r="O692">
        <v>23</v>
      </c>
      <c r="P692" t="s">
        <v>22</v>
      </c>
      <c r="Q692" s="1">
        <v>45972</v>
      </c>
      <c r="R692" t="s">
        <v>40</v>
      </c>
      <c r="S692" t="s">
        <v>182</v>
      </c>
      <c r="T692" t="s">
        <v>60</v>
      </c>
      <c r="U692">
        <v>1</v>
      </c>
      <c r="V692">
        <v>0</v>
      </c>
      <c r="W692">
        <v>1</v>
      </c>
    </row>
    <row r="693" spans="1:23" ht="16.5" x14ac:dyDescent="0.3">
      <c r="A693" t="s">
        <v>760</v>
      </c>
      <c r="B693" t="s">
        <v>35</v>
      </c>
      <c r="C693" t="s">
        <v>36</v>
      </c>
      <c r="D693" t="s">
        <v>26</v>
      </c>
      <c r="E693">
        <v>33</v>
      </c>
      <c r="F693" t="s">
        <v>27</v>
      </c>
      <c r="G693" t="s">
        <v>38</v>
      </c>
      <c r="H693" s="1">
        <v>44055</v>
      </c>
      <c r="I693" s="2">
        <v>5.4</v>
      </c>
      <c r="J693" t="s">
        <v>39</v>
      </c>
      <c r="K693" s="3">
        <v>3500</v>
      </c>
      <c r="L693" t="s">
        <v>58</v>
      </c>
      <c r="M693">
        <v>3</v>
      </c>
      <c r="N693">
        <v>4</v>
      </c>
      <c r="O693">
        <v>21</v>
      </c>
      <c r="P693" t="s">
        <v>21</v>
      </c>
      <c r="Q693" s="1"/>
      <c r="U693">
        <v>1</v>
      </c>
      <c r="V693">
        <v>1</v>
      </c>
      <c r="W693">
        <v>0</v>
      </c>
    </row>
    <row r="694" spans="1:23" ht="16.5" x14ac:dyDescent="0.3">
      <c r="A694" t="s">
        <v>761</v>
      </c>
      <c r="B694" t="s">
        <v>48</v>
      </c>
      <c r="C694" t="s">
        <v>36</v>
      </c>
      <c r="D694" t="s">
        <v>26</v>
      </c>
      <c r="E694">
        <v>24</v>
      </c>
      <c r="F694" t="s">
        <v>57</v>
      </c>
      <c r="G694" t="s">
        <v>28</v>
      </c>
      <c r="H694" s="1">
        <v>45452</v>
      </c>
      <c r="I694" s="2">
        <v>1.6</v>
      </c>
      <c r="J694" t="s">
        <v>29</v>
      </c>
      <c r="K694" s="3">
        <v>7850</v>
      </c>
      <c r="L694" t="s">
        <v>30</v>
      </c>
      <c r="M694">
        <v>4</v>
      </c>
      <c r="N694">
        <v>3</v>
      </c>
      <c r="O694">
        <v>21</v>
      </c>
      <c r="P694" t="s">
        <v>21</v>
      </c>
      <c r="Q694" s="1"/>
      <c r="U694">
        <v>1</v>
      </c>
      <c r="V694">
        <v>1</v>
      </c>
      <c r="W694">
        <v>0</v>
      </c>
    </row>
    <row r="695" spans="1:23" ht="16.5" x14ac:dyDescent="0.3">
      <c r="A695" t="s">
        <v>762</v>
      </c>
      <c r="B695" t="s">
        <v>35</v>
      </c>
      <c r="C695" t="s">
        <v>25</v>
      </c>
      <c r="D695" t="s">
        <v>26</v>
      </c>
      <c r="E695">
        <v>21</v>
      </c>
      <c r="F695" t="s">
        <v>57</v>
      </c>
      <c r="G695" t="s">
        <v>38</v>
      </c>
      <c r="H695" s="1">
        <v>45960</v>
      </c>
      <c r="I695" s="2">
        <v>0.2</v>
      </c>
      <c r="J695" t="s">
        <v>64</v>
      </c>
      <c r="K695" s="3">
        <v>3700</v>
      </c>
      <c r="L695" t="s">
        <v>30</v>
      </c>
      <c r="M695">
        <v>4</v>
      </c>
      <c r="N695">
        <v>4</v>
      </c>
      <c r="O695">
        <v>0</v>
      </c>
      <c r="P695" t="s">
        <v>21</v>
      </c>
      <c r="Q695" s="1"/>
      <c r="U695">
        <v>1</v>
      </c>
      <c r="V695">
        <v>1</v>
      </c>
      <c r="W695">
        <v>0</v>
      </c>
    </row>
    <row r="696" spans="1:23" ht="16.5" x14ac:dyDescent="0.3">
      <c r="A696" t="s">
        <v>763</v>
      </c>
      <c r="B696" t="s">
        <v>35</v>
      </c>
      <c r="C696" t="s">
        <v>36</v>
      </c>
      <c r="D696" t="s">
        <v>37</v>
      </c>
      <c r="E696">
        <v>36</v>
      </c>
      <c r="F696" t="s">
        <v>46</v>
      </c>
      <c r="G696" t="s">
        <v>28</v>
      </c>
      <c r="H696" s="1">
        <v>44738</v>
      </c>
      <c r="I696" s="2">
        <v>3.5</v>
      </c>
      <c r="J696" t="s">
        <v>50</v>
      </c>
      <c r="K696" s="3">
        <v>3450</v>
      </c>
      <c r="L696" t="s">
        <v>58</v>
      </c>
      <c r="M696">
        <v>3</v>
      </c>
      <c r="N696">
        <v>2</v>
      </c>
      <c r="O696">
        <v>26</v>
      </c>
      <c r="P696" t="s">
        <v>21</v>
      </c>
      <c r="Q696" s="1"/>
      <c r="U696">
        <v>1</v>
      </c>
      <c r="V696">
        <v>1</v>
      </c>
      <c r="W696">
        <v>0</v>
      </c>
    </row>
    <row r="697" spans="1:23" ht="16.5" x14ac:dyDescent="0.3">
      <c r="A697" t="s">
        <v>764</v>
      </c>
      <c r="B697" t="s">
        <v>55</v>
      </c>
      <c r="C697" t="s">
        <v>36</v>
      </c>
      <c r="D697" t="s">
        <v>37</v>
      </c>
      <c r="E697">
        <v>38</v>
      </c>
      <c r="F697" t="s">
        <v>46</v>
      </c>
      <c r="G697" t="s">
        <v>52</v>
      </c>
      <c r="H697" s="1">
        <v>44483</v>
      </c>
      <c r="I697" s="2">
        <v>4.2</v>
      </c>
      <c r="J697" t="s">
        <v>50</v>
      </c>
      <c r="K697" s="3">
        <v>5450</v>
      </c>
      <c r="L697" t="s">
        <v>30</v>
      </c>
      <c r="M697">
        <v>4</v>
      </c>
      <c r="N697">
        <v>3</v>
      </c>
      <c r="O697">
        <v>37</v>
      </c>
      <c r="P697" t="s">
        <v>21</v>
      </c>
      <c r="Q697" s="1"/>
      <c r="U697">
        <v>1</v>
      </c>
      <c r="V697">
        <v>1</v>
      </c>
      <c r="W697">
        <v>0</v>
      </c>
    </row>
    <row r="698" spans="1:23" ht="16.5" x14ac:dyDescent="0.3">
      <c r="A698" t="s">
        <v>765</v>
      </c>
      <c r="B698" t="s">
        <v>35</v>
      </c>
      <c r="C698" t="s">
        <v>25</v>
      </c>
      <c r="D698" t="s">
        <v>37</v>
      </c>
      <c r="E698">
        <v>29</v>
      </c>
      <c r="F698" t="s">
        <v>27</v>
      </c>
      <c r="G698" t="s">
        <v>38</v>
      </c>
      <c r="H698" s="1">
        <v>45136</v>
      </c>
      <c r="I698" s="2">
        <v>2.4</v>
      </c>
      <c r="J698" t="s">
        <v>29</v>
      </c>
      <c r="K698" s="3">
        <v>3150</v>
      </c>
      <c r="L698" t="s">
        <v>30</v>
      </c>
      <c r="M698">
        <v>3</v>
      </c>
      <c r="N698">
        <v>4</v>
      </c>
      <c r="O698">
        <v>35</v>
      </c>
      <c r="P698" t="s">
        <v>21</v>
      </c>
      <c r="Q698" s="1"/>
      <c r="U698">
        <v>1</v>
      </c>
      <c r="V698">
        <v>1</v>
      </c>
      <c r="W698">
        <v>0</v>
      </c>
    </row>
    <row r="699" spans="1:23" ht="16.5" x14ac:dyDescent="0.3">
      <c r="A699" t="s">
        <v>766</v>
      </c>
      <c r="B699" t="s">
        <v>70</v>
      </c>
      <c r="C699" t="s">
        <v>25</v>
      </c>
      <c r="D699" t="s">
        <v>26</v>
      </c>
      <c r="E699">
        <v>35</v>
      </c>
      <c r="F699" t="s">
        <v>27</v>
      </c>
      <c r="G699" t="s">
        <v>52</v>
      </c>
      <c r="H699" s="1">
        <v>43486</v>
      </c>
      <c r="I699" s="2">
        <v>6.9</v>
      </c>
      <c r="J699" t="s">
        <v>39</v>
      </c>
      <c r="K699" s="3">
        <v>4050</v>
      </c>
      <c r="L699" t="s">
        <v>30</v>
      </c>
      <c r="M699">
        <v>1</v>
      </c>
      <c r="N699">
        <v>5</v>
      </c>
      <c r="O699">
        <v>32</v>
      </c>
      <c r="P699" t="s">
        <v>21</v>
      </c>
      <c r="Q699" s="1"/>
      <c r="U699">
        <v>1</v>
      </c>
      <c r="V699">
        <v>1</v>
      </c>
      <c r="W699">
        <v>0</v>
      </c>
    </row>
    <row r="700" spans="1:23" ht="16.5" x14ac:dyDescent="0.3">
      <c r="A700" t="s">
        <v>767</v>
      </c>
      <c r="B700" t="s">
        <v>48</v>
      </c>
      <c r="C700" t="s">
        <v>45</v>
      </c>
      <c r="D700" t="s">
        <v>26</v>
      </c>
      <c r="E700">
        <v>43</v>
      </c>
      <c r="F700" t="s">
        <v>46</v>
      </c>
      <c r="G700" t="s">
        <v>28</v>
      </c>
      <c r="H700" s="1">
        <v>43027</v>
      </c>
      <c r="I700" s="2">
        <v>7.6</v>
      </c>
      <c r="J700" t="s">
        <v>39</v>
      </c>
      <c r="K700" s="3">
        <v>11000</v>
      </c>
      <c r="L700" t="s">
        <v>30</v>
      </c>
      <c r="M700">
        <v>4</v>
      </c>
      <c r="N700">
        <v>3</v>
      </c>
      <c r="O700">
        <v>32</v>
      </c>
      <c r="P700" t="s">
        <v>22</v>
      </c>
      <c r="Q700" s="1">
        <v>45802</v>
      </c>
      <c r="R700" t="s">
        <v>40</v>
      </c>
      <c r="S700" t="s">
        <v>169</v>
      </c>
      <c r="T700" t="s">
        <v>473</v>
      </c>
      <c r="U700">
        <v>1</v>
      </c>
      <c r="V700">
        <v>0</v>
      </c>
      <c r="W700">
        <v>1</v>
      </c>
    </row>
    <row r="701" spans="1:23" ht="16.5" x14ac:dyDescent="0.3">
      <c r="A701" t="s">
        <v>768</v>
      </c>
      <c r="B701" t="s">
        <v>55</v>
      </c>
      <c r="C701" t="s">
        <v>36</v>
      </c>
      <c r="D701" t="s">
        <v>26</v>
      </c>
      <c r="E701">
        <v>30</v>
      </c>
      <c r="F701" t="s">
        <v>27</v>
      </c>
      <c r="G701" t="s">
        <v>52</v>
      </c>
      <c r="H701" s="1">
        <v>44902</v>
      </c>
      <c r="I701" s="2">
        <v>3.1</v>
      </c>
      <c r="J701" t="s">
        <v>50</v>
      </c>
      <c r="K701" s="3">
        <v>4650</v>
      </c>
      <c r="L701" t="s">
        <v>30</v>
      </c>
      <c r="M701">
        <v>2</v>
      </c>
      <c r="N701">
        <v>3</v>
      </c>
      <c r="O701">
        <v>15</v>
      </c>
      <c r="P701" t="s">
        <v>21</v>
      </c>
      <c r="Q701" s="1"/>
      <c r="U701">
        <v>1</v>
      </c>
      <c r="V701">
        <v>1</v>
      </c>
      <c r="W701">
        <v>0</v>
      </c>
    </row>
    <row r="702" spans="1:23" ht="16.5" x14ac:dyDescent="0.3">
      <c r="A702" t="s">
        <v>769</v>
      </c>
      <c r="B702" t="s">
        <v>70</v>
      </c>
      <c r="C702" t="s">
        <v>36</v>
      </c>
      <c r="D702" t="s">
        <v>37</v>
      </c>
      <c r="E702">
        <v>37</v>
      </c>
      <c r="F702" t="s">
        <v>46</v>
      </c>
      <c r="G702" t="s">
        <v>38</v>
      </c>
      <c r="H702" s="1">
        <v>44602</v>
      </c>
      <c r="I702" s="2">
        <v>3.9</v>
      </c>
      <c r="J702" t="s">
        <v>50</v>
      </c>
      <c r="K702" s="3">
        <v>5300</v>
      </c>
      <c r="L702" t="s">
        <v>58</v>
      </c>
      <c r="M702">
        <v>3</v>
      </c>
      <c r="N702">
        <v>4</v>
      </c>
      <c r="O702">
        <v>0</v>
      </c>
      <c r="P702" t="s">
        <v>21</v>
      </c>
      <c r="Q702" s="1"/>
      <c r="U702">
        <v>1</v>
      </c>
      <c r="V702">
        <v>1</v>
      </c>
      <c r="W702">
        <v>0</v>
      </c>
    </row>
    <row r="703" spans="1:23" ht="16.5" x14ac:dyDescent="0.3">
      <c r="A703" t="s">
        <v>770</v>
      </c>
      <c r="B703" t="s">
        <v>48</v>
      </c>
      <c r="C703" t="s">
        <v>36</v>
      </c>
      <c r="D703" t="s">
        <v>37</v>
      </c>
      <c r="E703">
        <v>39</v>
      </c>
      <c r="F703" t="s">
        <v>46</v>
      </c>
      <c r="G703" t="s">
        <v>28</v>
      </c>
      <c r="H703" s="1">
        <v>42039</v>
      </c>
      <c r="I703" s="2">
        <v>10.9</v>
      </c>
      <c r="J703" t="s">
        <v>39</v>
      </c>
      <c r="K703" s="3">
        <v>8950</v>
      </c>
      <c r="L703" t="s">
        <v>30</v>
      </c>
      <c r="M703">
        <v>4</v>
      </c>
      <c r="N703">
        <v>5</v>
      </c>
      <c r="O703">
        <v>32</v>
      </c>
      <c r="P703" t="s">
        <v>21</v>
      </c>
      <c r="Q703" s="1"/>
      <c r="U703">
        <v>1</v>
      </c>
      <c r="V703">
        <v>1</v>
      </c>
      <c r="W703">
        <v>0</v>
      </c>
    </row>
    <row r="704" spans="1:23" ht="16.5" x14ac:dyDescent="0.3">
      <c r="A704" t="s">
        <v>771</v>
      </c>
      <c r="B704" t="s">
        <v>70</v>
      </c>
      <c r="C704" t="s">
        <v>36</v>
      </c>
      <c r="D704" t="s">
        <v>37</v>
      </c>
      <c r="E704">
        <v>33</v>
      </c>
      <c r="F704" t="s">
        <v>27</v>
      </c>
      <c r="G704" t="s">
        <v>38</v>
      </c>
      <c r="H704" s="1">
        <v>44479</v>
      </c>
      <c r="I704" s="2">
        <v>3.8</v>
      </c>
      <c r="J704" t="s">
        <v>50</v>
      </c>
      <c r="K704" s="3">
        <v>4850</v>
      </c>
      <c r="L704" t="s">
        <v>58</v>
      </c>
      <c r="M704">
        <v>5</v>
      </c>
      <c r="N704">
        <v>3</v>
      </c>
      <c r="O704">
        <v>30</v>
      </c>
      <c r="P704" t="s">
        <v>22</v>
      </c>
      <c r="Q704" s="1">
        <v>45854</v>
      </c>
      <c r="R704" t="s">
        <v>40</v>
      </c>
      <c r="S704" t="s">
        <v>84</v>
      </c>
      <c r="T704" t="s">
        <v>151</v>
      </c>
      <c r="U704">
        <v>1</v>
      </c>
      <c r="V704">
        <v>0</v>
      </c>
      <c r="W704">
        <v>1</v>
      </c>
    </row>
    <row r="705" spans="1:23" ht="16.5" x14ac:dyDescent="0.3">
      <c r="A705" t="s">
        <v>772</v>
      </c>
      <c r="B705" t="s">
        <v>48</v>
      </c>
      <c r="C705" t="s">
        <v>36</v>
      </c>
      <c r="D705" t="s">
        <v>37</v>
      </c>
      <c r="E705">
        <v>33</v>
      </c>
      <c r="F705" t="s">
        <v>27</v>
      </c>
      <c r="G705" t="s">
        <v>38</v>
      </c>
      <c r="H705" s="1">
        <v>43729</v>
      </c>
      <c r="I705" s="2">
        <v>4.9000000000000004</v>
      </c>
      <c r="J705" t="s">
        <v>50</v>
      </c>
      <c r="K705" s="3">
        <v>8100</v>
      </c>
      <c r="L705" t="s">
        <v>30</v>
      </c>
      <c r="M705">
        <v>3</v>
      </c>
      <c r="N705">
        <v>4</v>
      </c>
      <c r="O705">
        <v>21</v>
      </c>
      <c r="P705" t="s">
        <v>22</v>
      </c>
      <c r="Q705" s="1">
        <v>45534</v>
      </c>
      <c r="R705" t="s">
        <v>31</v>
      </c>
      <c r="S705" t="s">
        <v>41</v>
      </c>
      <c r="T705" t="s">
        <v>85</v>
      </c>
      <c r="U705">
        <v>1</v>
      </c>
      <c r="V705">
        <v>0</v>
      </c>
      <c r="W705">
        <v>1</v>
      </c>
    </row>
    <row r="706" spans="1:23" ht="16.5" x14ac:dyDescent="0.3">
      <c r="A706" t="s">
        <v>773</v>
      </c>
      <c r="B706" t="s">
        <v>70</v>
      </c>
      <c r="C706" t="s">
        <v>45</v>
      </c>
      <c r="D706" t="s">
        <v>37</v>
      </c>
      <c r="E706">
        <v>36</v>
      </c>
      <c r="F706" t="s">
        <v>46</v>
      </c>
      <c r="G706" t="s">
        <v>38</v>
      </c>
      <c r="H706" s="1">
        <v>42321</v>
      </c>
      <c r="I706" s="2">
        <v>10.1</v>
      </c>
      <c r="J706" t="s">
        <v>39</v>
      </c>
      <c r="K706" s="3">
        <v>8800</v>
      </c>
      <c r="L706" t="s">
        <v>30</v>
      </c>
      <c r="M706">
        <v>4</v>
      </c>
      <c r="N706">
        <v>3</v>
      </c>
      <c r="O706">
        <v>23</v>
      </c>
      <c r="P706" t="s">
        <v>21</v>
      </c>
      <c r="Q706" s="1"/>
      <c r="U706">
        <v>1</v>
      </c>
      <c r="V706">
        <v>1</v>
      </c>
      <c r="W706">
        <v>0</v>
      </c>
    </row>
    <row r="707" spans="1:23" ht="16.5" x14ac:dyDescent="0.3">
      <c r="A707" t="s">
        <v>774</v>
      </c>
      <c r="B707" t="s">
        <v>24</v>
      </c>
      <c r="C707" t="s">
        <v>45</v>
      </c>
      <c r="D707" t="s">
        <v>26</v>
      </c>
      <c r="E707">
        <v>31</v>
      </c>
      <c r="F707" t="s">
        <v>27</v>
      </c>
      <c r="G707" t="s">
        <v>38</v>
      </c>
      <c r="H707" s="1">
        <v>43630</v>
      </c>
      <c r="I707" s="2">
        <v>6.5</v>
      </c>
      <c r="J707" t="s">
        <v>39</v>
      </c>
      <c r="K707" s="3">
        <v>5200</v>
      </c>
      <c r="L707" t="s">
        <v>58</v>
      </c>
      <c r="M707">
        <v>3</v>
      </c>
      <c r="N707">
        <v>4</v>
      </c>
      <c r="O707">
        <v>6</v>
      </c>
      <c r="P707" t="s">
        <v>21</v>
      </c>
      <c r="Q707" s="1"/>
      <c r="U707">
        <v>1</v>
      </c>
      <c r="V707">
        <v>1</v>
      </c>
      <c r="W707">
        <v>0</v>
      </c>
    </row>
    <row r="708" spans="1:23" ht="16.5" x14ac:dyDescent="0.3">
      <c r="A708" t="s">
        <v>775</v>
      </c>
      <c r="B708" t="s">
        <v>70</v>
      </c>
      <c r="C708" t="s">
        <v>25</v>
      </c>
      <c r="D708" t="s">
        <v>26</v>
      </c>
      <c r="E708">
        <v>21</v>
      </c>
      <c r="F708" t="s">
        <v>57</v>
      </c>
      <c r="G708" t="s">
        <v>38</v>
      </c>
      <c r="H708" s="1">
        <v>45923</v>
      </c>
      <c r="I708" s="2">
        <v>0.2</v>
      </c>
      <c r="J708" t="s">
        <v>64</v>
      </c>
      <c r="K708" s="3">
        <v>3550</v>
      </c>
      <c r="L708" t="s">
        <v>58</v>
      </c>
      <c r="M708">
        <v>3</v>
      </c>
      <c r="N708">
        <v>5</v>
      </c>
      <c r="O708">
        <v>37</v>
      </c>
      <c r="P708" t="s">
        <v>22</v>
      </c>
      <c r="Q708" s="1">
        <v>46000</v>
      </c>
      <c r="R708" t="s">
        <v>40</v>
      </c>
      <c r="S708" t="s">
        <v>92</v>
      </c>
      <c r="T708" t="s">
        <v>60</v>
      </c>
      <c r="U708">
        <v>1</v>
      </c>
      <c r="V708">
        <v>0</v>
      </c>
      <c r="W708">
        <v>1</v>
      </c>
    </row>
    <row r="709" spans="1:23" ht="16.5" x14ac:dyDescent="0.3">
      <c r="A709" t="s">
        <v>776</v>
      </c>
      <c r="B709" t="s">
        <v>35</v>
      </c>
      <c r="C709" t="s">
        <v>36</v>
      </c>
      <c r="D709" t="s">
        <v>37</v>
      </c>
      <c r="E709">
        <v>40</v>
      </c>
      <c r="F709" t="s">
        <v>46</v>
      </c>
      <c r="G709" t="s">
        <v>38</v>
      </c>
      <c r="H709" s="1">
        <v>43574</v>
      </c>
      <c r="I709" s="2">
        <v>6.7</v>
      </c>
      <c r="J709" t="s">
        <v>39</v>
      </c>
      <c r="K709" s="3">
        <v>4500</v>
      </c>
      <c r="L709" t="s">
        <v>58</v>
      </c>
      <c r="M709">
        <v>2</v>
      </c>
      <c r="N709">
        <v>3</v>
      </c>
      <c r="O709">
        <v>32</v>
      </c>
      <c r="P709" t="s">
        <v>21</v>
      </c>
      <c r="Q709" s="1"/>
      <c r="U709">
        <v>1</v>
      </c>
      <c r="V709">
        <v>1</v>
      </c>
      <c r="W709">
        <v>0</v>
      </c>
    </row>
    <row r="710" spans="1:23" ht="16.5" x14ac:dyDescent="0.3">
      <c r="A710" t="s">
        <v>777</v>
      </c>
      <c r="B710" t="s">
        <v>48</v>
      </c>
      <c r="C710" t="s">
        <v>45</v>
      </c>
      <c r="D710" t="s">
        <v>37</v>
      </c>
      <c r="E710">
        <v>42</v>
      </c>
      <c r="F710" t="s">
        <v>46</v>
      </c>
      <c r="G710" t="s">
        <v>38</v>
      </c>
      <c r="H710" s="1">
        <v>45137</v>
      </c>
      <c r="I710" s="2">
        <v>2.4</v>
      </c>
      <c r="J710" t="s">
        <v>29</v>
      </c>
      <c r="K710" s="3">
        <v>12200</v>
      </c>
      <c r="L710" t="s">
        <v>58</v>
      </c>
      <c r="M710">
        <v>3</v>
      </c>
      <c r="N710">
        <v>2</v>
      </c>
      <c r="O710">
        <v>33</v>
      </c>
      <c r="P710" t="s">
        <v>21</v>
      </c>
      <c r="Q710" s="1"/>
      <c r="U710">
        <v>1</v>
      </c>
      <c r="V710">
        <v>1</v>
      </c>
      <c r="W710">
        <v>0</v>
      </c>
    </row>
    <row r="711" spans="1:23" ht="16.5" x14ac:dyDescent="0.3">
      <c r="A711" t="s">
        <v>778</v>
      </c>
      <c r="B711" t="s">
        <v>48</v>
      </c>
      <c r="C711" t="s">
        <v>25</v>
      </c>
      <c r="D711" t="s">
        <v>37</v>
      </c>
      <c r="E711">
        <v>21</v>
      </c>
      <c r="F711" t="s">
        <v>57</v>
      </c>
      <c r="G711" t="s">
        <v>38</v>
      </c>
      <c r="H711" s="1">
        <v>45976</v>
      </c>
      <c r="I711" s="2">
        <v>0.1</v>
      </c>
      <c r="J711" t="s">
        <v>64</v>
      </c>
      <c r="K711" s="3">
        <v>5500</v>
      </c>
      <c r="L711" t="s">
        <v>30</v>
      </c>
      <c r="M711">
        <v>4</v>
      </c>
      <c r="N711">
        <v>4</v>
      </c>
      <c r="O711">
        <v>13</v>
      </c>
      <c r="P711" t="s">
        <v>21</v>
      </c>
      <c r="Q711" s="1"/>
      <c r="U711">
        <v>1</v>
      </c>
      <c r="V711">
        <v>1</v>
      </c>
      <c r="W711">
        <v>0</v>
      </c>
    </row>
    <row r="712" spans="1:23" ht="16.5" x14ac:dyDescent="0.3">
      <c r="A712" t="s">
        <v>779</v>
      </c>
      <c r="B712" t="s">
        <v>35</v>
      </c>
      <c r="C712" t="s">
        <v>36</v>
      </c>
      <c r="D712" t="s">
        <v>37</v>
      </c>
      <c r="E712">
        <v>33</v>
      </c>
      <c r="F712" t="s">
        <v>27</v>
      </c>
      <c r="G712" t="s">
        <v>28</v>
      </c>
      <c r="H712" s="1">
        <v>44681</v>
      </c>
      <c r="I712" s="2">
        <v>3.7</v>
      </c>
      <c r="J712" t="s">
        <v>50</v>
      </c>
      <c r="K712" s="3">
        <v>4000</v>
      </c>
      <c r="L712" t="s">
        <v>30</v>
      </c>
      <c r="M712">
        <v>3</v>
      </c>
      <c r="N712">
        <v>2</v>
      </c>
      <c r="O712">
        <v>22</v>
      </c>
      <c r="P712" t="s">
        <v>21</v>
      </c>
      <c r="Q712" s="1"/>
      <c r="U712">
        <v>1</v>
      </c>
      <c r="V712">
        <v>1</v>
      </c>
      <c r="W712">
        <v>0</v>
      </c>
    </row>
    <row r="713" spans="1:23" ht="16.5" x14ac:dyDescent="0.3">
      <c r="A713" t="s">
        <v>780</v>
      </c>
      <c r="B713" t="s">
        <v>70</v>
      </c>
      <c r="C713" t="s">
        <v>25</v>
      </c>
      <c r="D713" t="s">
        <v>37</v>
      </c>
      <c r="E713">
        <v>30</v>
      </c>
      <c r="F713" t="s">
        <v>27</v>
      </c>
      <c r="G713" t="s">
        <v>38</v>
      </c>
      <c r="H713" s="1">
        <v>44269</v>
      </c>
      <c r="I713" s="2">
        <v>4.4000000000000004</v>
      </c>
      <c r="J713" t="s">
        <v>50</v>
      </c>
      <c r="K713" s="3">
        <v>4400</v>
      </c>
      <c r="L713" t="s">
        <v>58</v>
      </c>
      <c r="M713">
        <v>1</v>
      </c>
      <c r="N713">
        <v>4</v>
      </c>
      <c r="O713">
        <v>16</v>
      </c>
      <c r="P713" t="s">
        <v>22</v>
      </c>
      <c r="Q713" s="1">
        <v>45890</v>
      </c>
      <c r="R713" t="s">
        <v>40</v>
      </c>
      <c r="S713" t="s">
        <v>41</v>
      </c>
      <c r="T713" t="s">
        <v>42</v>
      </c>
      <c r="U713">
        <v>1</v>
      </c>
      <c r="V713">
        <v>0</v>
      </c>
      <c r="W713">
        <v>1</v>
      </c>
    </row>
    <row r="714" spans="1:23" ht="16.5" x14ac:dyDescent="0.3">
      <c r="A714" t="s">
        <v>781</v>
      </c>
      <c r="B714" t="s">
        <v>48</v>
      </c>
      <c r="C714" t="s">
        <v>87</v>
      </c>
      <c r="D714" t="s">
        <v>26</v>
      </c>
      <c r="E714">
        <v>44</v>
      </c>
      <c r="F714" t="s">
        <v>46</v>
      </c>
      <c r="G714" t="s">
        <v>38</v>
      </c>
      <c r="H714" s="1">
        <v>43911</v>
      </c>
      <c r="I714" s="2">
        <v>5.5</v>
      </c>
      <c r="J714" t="s">
        <v>39</v>
      </c>
      <c r="K714" s="3">
        <v>17200</v>
      </c>
      <c r="L714" t="s">
        <v>30</v>
      </c>
      <c r="M714">
        <v>2</v>
      </c>
      <c r="N714">
        <v>3</v>
      </c>
      <c r="O714">
        <v>5</v>
      </c>
      <c r="P714" t="s">
        <v>22</v>
      </c>
      <c r="Q714" s="1">
        <v>45909</v>
      </c>
      <c r="R714" t="s">
        <v>40</v>
      </c>
      <c r="S714" t="s">
        <v>259</v>
      </c>
      <c r="T714" t="s">
        <v>42</v>
      </c>
      <c r="U714">
        <v>1</v>
      </c>
      <c r="V714">
        <v>0</v>
      </c>
      <c r="W714">
        <v>1</v>
      </c>
    </row>
    <row r="715" spans="1:23" ht="16.5" x14ac:dyDescent="0.3">
      <c r="A715" t="s">
        <v>782</v>
      </c>
      <c r="B715" t="s">
        <v>48</v>
      </c>
      <c r="C715" t="s">
        <v>36</v>
      </c>
      <c r="D715" t="s">
        <v>37</v>
      </c>
      <c r="E715">
        <v>30</v>
      </c>
      <c r="F715" t="s">
        <v>27</v>
      </c>
      <c r="G715" t="s">
        <v>52</v>
      </c>
      <c r="H715" s="1">
        <v>44517</v>
      </c>
      <c r="I715" s="2">
        <v>4.0999999999999996</v>
      </c>
      <c r="J715" t="s">
        <v>50</v>
      </c>
      <c r="K715" s="3">
        <v>5400</v>
      </c>
      <c r="L715" t="s">
        <v>30</v>
      </c>
      <c r="M715">
        <v>3</v>
      </c>
      <c r="N715">
        <v>2</v>
      </c>
      <c r="O715">
        <v>26</v>
      </c>
      <c r="P715" t="s">
        <v>21</v>
      </c>
      <c r="Q715" s="1"/>
      <c r="U715">
        <v>1</v>
      </c>
      <c r="V715">
        <v>1</v>
      </c>
      <c r="W715">
        <v>0</v>
      </c>
    </row>
    <row r="716" spans="1:23" ht="16.5" x14ac:dyDescent="0.3">
      <c r="A716" t="s">
        <v>783</v>
      </c>
      <c r="B716" t="s">
        <v>48</v>
      </c>
      <c r="C716" t="s">
        <v>87</v>
      </c>
      <c r="D716" t="s">
        <v>37</v>
      </c>
      <c r="E716">
        <v>46</v>
      </c>
      <c r="F716" t="s">
        <v>88</v>
      </c>
      <c r="G716" t="s">
        <v>38</v>
      </c>
      <c r="H716" s="1">
        <v>40809</v>
      </c>
      <c r="I716" s="2">
        <v>14.3</v>
      </c>
      <c r="J716" t="s">
        <v>39</v>
      </c>
      <c r="K716" s="3">
        <v>14400</v>
      </c>
      <c r="L716" t="s">
        <v>30</v>
      </c>
      <c r="M716">
        <v>2</v>
      </c>
      <c r="N716">
        <v>4</v>
      </c>
      <c r="O716">
        <v>12</v>
      </c>
      <c r="P716" t="s">
        <v>21</v>
      </c>
      <c r="Q716" s="1"/>
      <c r="U716">
        <v>1</v>
      </c>
      <c r="V716">
        <v>1</v>
      </c>
      <c r="W716">
        <v>0</v>
      </c>
    </row>
    <row r="717" spans="1:23" ht="16.5" x14ac:dyDescent="0.3">
      <c r="A717" t="s">
        <v>784</v>
      </c>
      <c r="B717" t="s">
        <v>73</v>
      </c>
      <c r="C717" t="s">
        <v>87</v>
      </c>
      <c r="D717" t="s">
        <v>37</v>
      </c>
      <c r="E717">
        <v>57</v>
      </c>
      <c r="F717" t="s">
        <v>88</v>
      </c>
      <c r="G717" t="s">
        <v>28</v>
      </c>
      <c r="H717" s="1">
        <v>44835</v>
      </c>
      <c r="I717" s="2">
        <v>3.2</v>
      </c>
      <c r="J717" t="s">
        <v>50</v>
      </c>
      <c r="K717" s="3">
        <v>7900</v>
      </c>
      <c r="L717" t="s">
        <v>30</v>
      </c>
      <c r="M717">
        <v>4</v>
      </c>
      <c r="N717">
        <v>4</v>
      </c>
      <c r="O717">
        <v>11</v>
      </c>
      <c r="P717" t="s">
        <v>21</v>
      </c>
      <c r="Q717" s="1"/>
      <c r="U717">
        <v>1</v>
      </c>
      <c r="V717">
        <v>1</v>
      </c>
      <c r="W717">
        <v>0</v>
      </c>
    </row>
    <row r="718" spans="1:23" ht="16.5" x14ac:dyDescent="0.3">
      <c r="A718" t="s">
        <v>785</v>
      </c>
      <c r="B718" t="s">
        <v>48</v>
      </c>
      <c r="C718" t="s">
        <v>25</v>
      </c>
      <c r="D718" t="s">
        <v>37</v>
      </c>
      <c r="E718">
        <v>23</v>
      </c>
      <c r="F718" t="s">
        <v>57</v>
      </c>
      <c r="G718" t="s">
        <v>38</v>
      </c>
      <c r="H718" s="1">
        <v>45827</v>
      </c>
      <c r="I718" s="2">
        <v>0.5</v>
      </c>
      <c r="J718" t="s">
        <v>64</v>
      </c>
      <c r="K718" s="3">
        <v>6500</v>
      </c>
      <c r="L718" t="s">
        <v>30</v>
      </c>
      <c r="M718">
        <v>4</v>
      </c>
      <c r="N718">
        <v>4</v>
      </c>
      <c r="O718">
        <v>29</v>
      </c>
      <c r="P718" t="s">
        <v>21</v>
      </c>
      <c r="Q718" s="1"/>
      <c r="U718">
        <v>1</v>
      </c>
      <c r="V718">
        <v>1</v>
      </c>
      <c r="W718">
        <v>0</v>
      </c>
    </row>
    <row r="719" spans="1:23" ht="16.5" x14ac:dyDescent="0.3">
      <c r="A719" t="s">
        <v>786</v>
      </c>
      <c r="B719" t="s">
        <v>24</v>
      </c>
      <c r="C719" t="s">
        <v>36</v>
      </c>
      <c r="D719" t="s">
        <v>37</v>
      </c>
      <c r="E719">
        <v>34</v>
      </c>
      <c r="F719" t="s">
        <v>27</v>
      </c>
      <c r="G719" t="s">
        <v>38</v>
      </c>
      <c r="H719" s="1">
        <v>45410</v>
      </c>
      <c r="I719" s="2">
        <v>1.7</v>
      </c>
      <c r="J719" t="s">
        <v>29</v>
      </c>
      <c r="K719" s="3">
        <v>2900</v>
      </c>
      <c r="L719" t="s">
        <v>58</v>
      </c>
      <c r="M719">
        <v>4</v>
      </c>
      <c r="N719">
        <v>4</v>
      </c>
      <c r="O719">
        <v>27</v>
      </c>
      <c r="P719" t="s">
        <v>21</v>
      </c>
      <c r="Q719" s="1"/>
      <c r="U719">
        <v>1</v>
      </c>
      <c r="V719">
        <v>1</v>
      </c>
      <c r="W719">
        <v>0</v>
      </c>
    </row>
    <row r="720" spans="1:23" ht="16.5" x14ac:dyDescent="0.3">
      <c r="A720" t="s">
        <v>787</v>
      </c>
      <c r="B720" t="s">
        <v>48</v>
      </c>
      <c r="C720" t="s">
        <v>36</v>
      </c>
      <c r="D720" t="s">
        <v>37</v>
      </c>
      <c r="E720">
        <v>28</v>
      </c>
      <c r="F720" t="s">
        <v>27</v>
      </c>
      <c r="G720" t="s">
        <v>38</v>
      </c>
      <c r="H720" s="1">
        <v>44507</v>
      </c>
      <c r="I720" s="2">
        <v>4.0999999999999996</v>
      </c>
      <c r="J720" t="s">
        <v>50</v>
      </c>
      <c r="K720" s="3">
        <v>7700</v>
      </c>
      <c r="L720" t="s">
        <v>58</v>
      </c>
      <c r="M720">
        <v>2</v>
      </c>
      <c r="N720">
        <v>5</v>
      </c>
      <c r="O720">
        <v>34</v>
      </c>
      <c r="P720" t="s">
        <v>21</v>
      </c>
      <c r="Q720" s="1"/>
      <c r="U720">
        <v>1</v>
      </c>
      <c r="V720">
        <v>1</v>
      </c>
      <c r="W720">
        <v>0</v>
      </c>
    </row>
    <row r="721" spans="1:23" ht="16.5" x14ac:dyDescent="0.3">
      <c r="A721" t="s">
        <v>788</v>
      </c>
      <c r="B721" t="s">
        <v>48</v>
      </c>
      <c r="C721" t="s">
        <v>25</v>
      </c>
      <c r="D721" t="s">
        <v>37</v>
      </c>
      <c r="E721">
        <v>21</v>
      </c>
      <c r="F721" t="s">
        <v>57</v>
      </c>
      <c r="G721" t="s">
        <v>28</v>
      </c>
      <c r="H721" s="1">
        <v>45930</v>
      </c>
      <c r="I721" s="2">
        <v>0.3</v>
      </c>
      <c r="J721" t="s">
        <v>64</v>
      </c>
      <c r="K721" s="3">
        <v>6400</v>
      </c>
      <c r="L721" t="s">
        <v>30</v>
      </c>
      <c r="M721">
        <v>4</v>
      </c>
      <c r="N721">
        <v>5</v>
      </c>
      <c r="O721">
        <v>24</v>
      </c>
      <c r="P721" t="s">
        <v>21</v>
      </c>
      <c r="Q721" s="1"/>
      <c r="U721">
        <v>1</v>
      </c>
      <c r="V721">
        <v>1</v>
      </c>
      <c r="W721">
        <v>0</v>
      </c>
    </row>
    <row r="722" spans="1:23" ht="16.5" x14ac:dyDescent="0.3">
      <c r="A722" t="s">
        <v>789</v>
      </c>
      <c r="B722" t="s">
        <v>48</v>
      </c>
      <c r="C722" t="s">
        <v>36</v>
      </c>
      <c r="D722" t="s">
        <v>37</v>
      </c>
      <c r="E722">
        <v>30</v>
      </c>
      <c r="F722" t="s">
        <v>27</v>
      </c>
      <c r="G722" t="s">
        <v>38</v>
      </c>
      <c r="H722" s="1">
        <v>44258</v>
      </c>
      <c r="I722" s="2">
        <v>4.8</v>
      </c>
      <c r="J722" t="s">
        <v>50</v>
      </c>
      <c r="K722" s="3">
        <v>9200</v>
      </c>
      <c r="L722" t="s">
        <v>58</v>
      </c>
      <c r="M722">
        <v>3</v>
      </c>
      <c r="N722">
        <v>4</v>
      </c>
      <c r="O722">
        <v>29</v>
      </c>
      <c r="P722" t="s">
        <v>21</v>
      </c>
      <c r="Q722" s="1"/>
      <c r="U722">
        <v>1</v>
      </c>
      <c r="V722">
        <v>1</v>
      </c>
      <c r="W722">
        <v>0</v>
      </c>
    </row>
    <row r="723" spans="1:23" ht="16.5" x14ac:dyDescent="0.3">
      <c r="A723" t="s">
        <v>790</v>
      </c>
      <c r="B723" t="s">
        <v>70</v>
      </c>
      <c r="C723" t="s">
        <v>36</v>
      </c>
      <c r="D723" t="s">
        <v>37</v>
      </c>
      <c r="E723">
        <v>29</v>
      </c>
      <c r="F723" t="s">
        <v>27</v>
      </c>
      <c r="G723" t="s">
        <v>28</v>
      </c>
      <c r="H723" s="1">
        <v>44873</v>
      </c>
      <c r="I723" s="2">
        <v>3.1</v>
      </c>
      <c r="J723" t="s">
        <v>50</v>
      </c>
      <c r="K723" s="3">
        <v>6500</v>
      </c>
      <c r="L723" t="s">
        <v>30</v>
      </c>
      <c r="M723">
        <v>4</v>
      </c>
      <c r="N723">
        <v>4</v>
      </c>
      <c r="O723">
        <v>24</v>
      </c>
      <c r="P723" t="s">
        <v>21</v>
      </c>
      <c r="Q723" s="1"/>
      <c r="U723">
        <v>1</v>
      </c>
      <c r="V723">
        <v>1</v>
      </c>
      <c r="W723">
        <v>0</v>
      </c>
    </row>
    <row r="724" spans="1:23" ht="16.5" x14ac:dyDescent="0.3">
      <c r="A724" t="s">
        <v>791</v>
      </c>
      <c r="B724" t="s">
        <v>73</v>
      </c>
      <c r="C724" t="s">
        <v>45</v>
      </c>
      <c r="D724" t="s">
        <v>37</v>
      </c>
      <c r="E724">
        <v>36</v>
      </c>
      <c r="F724" t="s">
        <v>46</v>
      </c>
      <c r="G724" t="s">
        <v>38</v>
      </c>
      <c r="H724" s="1">
        <v>42165</v>
      </c>
      <c r="I724" s="2">
        <v>10.6</v>
      </c>
      <c r="J724" t="s">
        <v>39</v>
      </c>
      <c r="K724" s="3">
        <v>6850</v>
      </c>
      <c r="L724" t="s">
        <v>58</v>
      </c>
      <c r="M724">
        <v>1</v>
      </c>
      <c r="N724">
        <v>3</v>
      </c>
      <c r="O724">
        <v>23</v>
      </c>
      <c r="P724" t="s">
        <v>21</v>
      </c>
      <c r="Q724" s="1"/>
      <c r="U724">
        <v>1</v>
      </c>
      <c r="V724">
        <v>1</v>
      </c>
      <c r="W724">
        <v>0</v>
      </c>
    </row>
    <row r="725" spans="1:23" ht="16.5" x14ac:dyDescent="0.3">
      <c r="A725" t="s">
        <v>792</v>
      </c>
      <c r="B725" t="s">
        <v>73</v>
      </c>
      <c r="C725" t="s">
        <v>25</v>
      </c>
      <c r="D725" t="s">
        <v>26</v>
      </c>
      <c r="E725">
        <v>33</v>
      </c>
      <c r="F725" t="s">
        <v>27</v>
      </c>
      <c r="G725" t="s">
        <v>38</v>
      </c>
      <c r="H725" s="1">
        <v>44828</v>
      </c>
      <c r="I725" s="2">
        <v>3.3</v>
      </c>
      <c r="J725" t="s">
        <v>50</v>
      </c>
      <c r="K725" s="3">
        <v>4750</v>
      </c>
      <c r="L725" t="s">
        <v>30</v>
      </c>
      <c r="M725">
        <v>4</v>
      </c>
      <c r="N725">
        <v>3</v>
      </c>
      <c r="O725">
        <v>19</v>
      </c>
      <c r="P725" t="s">
        <v>21</v>
      </c>
      <c r="Q725" s="1"/>
      <c r="U725">
        <v>1</v>
      </c>
      <c r="V725">
        <v>1</v>
      </c>
      <c r="W725">
        <v>0</v>
      </c>
    </row>
    <row r="726" spans="1:23" ht="16.5" x14ac:dyDescent="0.3">
      <c r="A726" t="s">
        <v>793</v>
      </c>
      <c r="B726" t="s">
        <v>35</v>
      </c>
      <c r="C726" t="s">
        <v>25</v>
      </c>
      <c r="D726" t="s">
        <v>26</v>
      </c>
      <c r="E726">
        <v>21</v>
      </c>
      <c r="F726" t="s">
        <v>57</v>
      </c>
      <c r="G726" t="s">
        <v>38</v>
      </c>
      <c r="H726" s="1">
        <v>45958</v>
      </c>
      <c r="I726" s="2">
        <v>0.1</v>
      </c>
      <c r="J726" t="s">
        <v>64</v>
      </c>
      <c r="K726" s="3">
        <v>3350</v>
      </c>
      <c r="L726" t="s">
        <v>58</v>
      </c>
      <c r="M726">
        <v>2</v>
      </c>
      <c r="N726">
        <v>4</v>
      </c>
      <c r="O726">
        <v>25</v>
      </c>
      <c r="P726" t="s">
        <v>22</v>
      </c>
      <c r="Q726" s="1">
        <v>45981</v>
      </c>
      <c r="R726" t="s">
        <v>40</v>
      </c>
      <c r="S726" t="s">
        <v>182</v>
      </c>
      <c r="T726" t="s">
        <v>473</v>
      </c>
      <c r="U726">
        <v>1</v>
      </c>
      <c r="V726">
        <v>0</v>
      </c>
      <c r="W726">
        <v>1</v>
      </c>
    </row>
    <row r="727" spans="1:23" ht="16.5" x14ac:dyDescent="0.3">
      <c r="A727" t="s">
        <v>794</v>
      </c>
      <c r="B727" t="s">
        <v>35</v>
      </c>
      <c r="C727" t="s">
        <v>87</v>
      </c>
      <c r="D727" t="s">
        <v>37</v>
      </c>
      <c r="E727">
        <v>46</v>
      </c>
      <c r="F727" t="s">
        <v>88</v>
      </c>
      <c r="G727" t="s">
        <v>38</v>
      </c>
      <c r="H727" s="1">
        <v>41531</v>
      </c>
      <c r="I727" s="2">
        <v>12.3</v>
      </c>
      <c r="J727" t="s">
        <v>39</v>
      </c>
      <c r="K727" s="3">
        <v>8200</v>
      </c>
      <c r="L727" t="s">
        <v>30</v>
      </c>
      <c r="M727">
        <v>3</v>
      </c>
      <c r="N727">
        <v>4</v>
      </c>
      <c r="O727">
        <v>27</v>
      </c>
      <c r="P727" t="s">
        <v>21</v>
      </c>
      <c r="Q727" s="1"/>
      <c r="U727">
        <v>1</v>
      </c>
      <c r="V727">
        <v>1</v>
      </c>
      <c r="W727">
        <v>0</v>
      </c>
    </row>
    <row r="728" spans="1:23" ht="16.5" x14ac:dyDescent="0.3">
      <c r="A728" t="s">
        <v>795</v>
      </c>
      <c r="B728" t="s">
        <v>35</v>
      </c>
      <c r="C728" t="s">
        <v>36</v>
      </c>
      <c r="D728" t="s">
        <v>26</v>
      </c>
      <c r="E728">
        <v>42</v>
      </c>
      <c r="F728" t="s">
        <v>46</v>
      </c>
      <c r="G728" t="s">
        <v>28</v>
      </c>
      <c r="H728" s="1">
        <v>44248</v>
      </c>
      <c r="I728" s="2">
        <v>4.9000000000000004</v>
      </c>
      <c r="J728" t="s">
        <v>50</v>
      </c>
      <c r="K728" s="3">
        <v>4300</v>
      </c>
      <c r="L728" t="s">
        <v>30</v>
      </c>
      <c r="M728">
        <v>3</v>
      </c>
      <c r="N728">
        <v>3</v>
      </c>
      <c r="O728">
        <v>24</v>
      </c>
      <c r="P728" t="s">
        <v>21</v>
      </c>
      <c r="Q728" s="1"/>
      <c r="U728">
        <v>1</v>
      </c>
      <c r="V728">
        <v>1</v>
      </c>
      <c r="W728">
        <v>0</v>
      </c>
    </row>
    <row r="729" spans="1:23" ht="16.5" x14ac:dyDescent="0.3">
      <c r="A729" t="s">
        <v>796</v>
      </c>
      <c r="B729" t="s">
        <v>24</v>
      </c>
      <c r="C729" t="s">
        <v>45</v>
      </c>
      <c r="D729" t="s">
        <v>37</v>
      </c>
      <c r="E729">
        <v>21</v>
      </c>
      <c r="F729" t="s">
        <v>57</v>
      </c>
      <c r="G729" t="s">
        <v>28</v>
      </c>
      <c r="H729" s="1">
        <v>45990</v>
      </c>
      <c r="I729" s="2">
        <v>0.1</v>
      </c>
      <c r="J729" t="s">
        <v>64</v>
      </c>
      <c r="K729" s="3">
        <v>5350</v>
      </c>
      <c r="L729" t="s">
        <v>30</v>
      </c>
      <c r="M729">
        <v>3</v>
      </c>
      <c r="N729">
        <v>4</v>
      </c>
      <c r="O729">
        <v>43</v>
      </c>
      <c r="P729" t="s">
        <v>21</v>
      </c>
      <c r="Q729" s="1"/>
      <c r="U729">
        <v>1</v>
      </c>
      <c r="V729">
        <v>1</v>
      </c>
      <c r="W729">
        <v>0</v>
      </c>
    </row>
    <row r="730" spans="1:23" ht="16.5" x14ac:dyDescent="0.3">
      <c r="A730" t="s">
        <v>797</v>
      </c>
      <c r="B730" t="s">
        <v>48</v>
      </c>
      <c r="C730" t="s">
        <v>36</v>
      </c>
      <c r="D730" t="s">
        <v>37</v>
      </c>
      <c r="E730">
        <v>31</v>
      </c>
      <c r="F730" t="s">
        <v>27</v>
      </c>
      <c r="G730" t="s">
        <v>28</v>
      </c>
      <c r="H730" s="1">
        <v>43568</v>
      </c>
      <c r="I730" s="2">
        <v>6.7</v>
      </c>
      <c r="J730" t="s">
        <v>39</v>
      </c>
      <c r="K730" s="3">
        <v>7100</v>
      </c>
      <c r="L730" t="s">
        <v>30</v>
      </c>
      <c r="M730">
        <v>4</v>
      </c>
      <c r="N730">
        <v>3</v>
      </c>
      <c r="O730">
        <v>24</v>
      </c>
      <c r="P730" t="s">
        <v>21</v>
      </c>
      <c r="Q730" s="1"/>
      <c r="U730">
        <v>1</v>
      </c>
      <c r="V730">
        <v>1</v>
      </c>
      <c r="W730">
        <v>0</v>
      </c>
    </row>
    <row r="731" spans="1:23" ht="16.5" x14ac:dyDescent="0.3">
      <c r="A731" t="s">
        <v>798</v>
      </c>
      <c r="B731" t="s">
        <v>35</v>
      </c>
      <c r="C731" t="s">
        <v>45</v>
      </c>
      <c r="D731" t="s">
        <v>37</v>
      </c>
      <c r="E731">
        <v>40</v>
      </c>
      <c r="F731" t="s">
        <v>46</v>
      </c>
      <c r="G731" t="s">
        <v>38</v>
      </c>
      <c r="H731" s="1">
        <v>44943</v>
      </c>
      <c r="I731" s="2">
        <v>3</v>
      </c>
      <c r="J731" t="s">
        <v>29</v>
      </c>
      <c r="K731" s="3">
        <v>5500</v>
      </c>
      <c r="L731" t="s">
        <v>30</v>
      </c>
      <c r="M731">
        <v>5</v>
      </c>
      <c r="N731">
        <v>3</v>
      </c>
      <c r="O731">
        <v>30</v>
      </c>
      <c r="P731" t="s">
        <v>21</v>
      </c>
      <c r="Q731" s="1"/>
      <c r="U731">
        <v>1</v>
      </c>
      <c r="V731">
        <v>1</v>
      </c>
      <c r="W731">
        <v>0</v>
      </c>
    </row>
    <row r="732" spans="1:23" ht="16.5" x14ac:dyDescent="0.3">
      <c r="A732" t="s">
        <v>799</v>
      </c>
      <c r="B732" t="s">
        <v>48</v>
      </c>
      <c r="C732" t="s">
        <v>36</v>
      </c>
      <c r="D732" t="s">
        <v>26</v>
      </c>
      <c r="E732">
        <v>33</v>
      </c>
      <c r="F732" t="s">
        <v>27</v>
      </c>
      <c r="G732" t="s">
        <v>38</v>
      </c>
      <c r="H732" s="1">
        <v>44239</v>
      </c>
      <c r="I732" s="2">
        <v>4.9000000000000004</v>
      </c>
      <c r="J732" t="s">
        <v>50</v>
      </c>
      <c r="K732" s="3">
        <v>7450</v>
      </c>
      <c r="L732" t="s">
        <v>58</v>
      </c>
      <c r="M732">
        <v>2</v>
      </c>
      <c r="N732">
        <v>4</v>
      </c>
      <c r="O732">
        <v>10</v>
      </c>
      <c r="P732" t="s">
        <v>21</v>
      </c>
      <c r="Q732" s="1"/>
      <c r="U732">
        <v>1</v>
      </c>
      <c r="V732">
        <v>1</v>
      </c>
      <c r="W732">
        <v>0</v>
      </c>
    </row>
    <row r="733" spans="1:23" ht="16.5" x14ac:dyDescent="0.3">
      <c r="A733" t="s">
        <v>800</v>
      </c>
      <c r="B733" t="s">
        <v>48</v>
      </c>
      <c r="C733" t="s">
        <v>87</v>
      </c>
      <c r="D733" t="s">
        <v>26</v>
      </c>
      <c r="E733">
        <v>52</v>
      </c>
      <c r="F733" t="s">
        <v>88</v>
      </c>
      <c r="G733" t="s">
        <v>28</v>
      </c>
      <c r="H733" s="1">
        <v>40872</v>
      </c>
      <c r="I733" s="2">
        <v>14.1</v>
      </c>
      <c r="J733" t="s">
        <v>39</v>
      </c>
      <c r="K733" s="3">
        <v>13450</v>
      </c>
      <c r="L733" t="s">
        <v>58</v>
      </c>
      <c r="M733">
        <v>4</v>
      </c>
      <c r="N733">
        <v>2</v>
      </c>
      <c r="O733">
        <v>2</v>
      </c>
      <c r="P733" t="s">
        <v>21</v>
      </c>
      <c r="Q733" s="1"/>
      <c r="U733">
        <v>1</v>
      </c>
      <c r="V733">
        <v>1</v>
      </c>
      <c r="W733">
        <v>0</v>
      </c>
    </row>
    <row r="734" spans="1:23" ht="16.5" x14ac:dyDescent="0.3">
      <c r="A734" t="s">
        <v>801</v>
      </c>
      <c r="B734" t="s">
        <v>35</v>
      </c>
      <c r="C734" t="s">
        <v>25</v>
      </c>
      <c r="D734" t="s">
        <v>26</v>
      </c>
      <c r="E734">
        <v>25</v>
      </c>
      <c r="F734" t="s">
        <v>57</v>
      </c>
      <c r="G734" t="s">
        <v>38</v>
      </c>
      <c r="H734" s="1">
        <v>45311</v>
      </c>
      <c r="I734" s="2">
        <v>1.9</v>
      </c>
      <c r="J734" t="s">
        <v>29</v>
      </c>
      <c r="K734" s="3">
        <v>3150</v>
      </c>
      <c r="L734" t="s">
        <v>58</v>
      </c>
      <c r="M734">
        <v>2</v>
      </c>
      <c r="N734">
        <v>4</v>
      </c>
      <c r="O734">
        <v>15</v>
      </c>
      <c r="P734" t="s">
        <v>21</v>
      </c>
      <c r="Q734" s="1"/>
      <c r="U734">
        <v>1</v>
      </c>
      <c r="V734">
        <v>1</v>
      </c>
      <c r="W734">
        <v>0</v>
      </c>
    </row>
    <row r="735" spans="1:23" ht="16.5" x14ac:dyDescent="0.3">
      <c r="A735" t="s">
        <v>802</v>
      </c>
      <c r="B735" t="s">
        <v>24</v>
      </c>
      <c r="C735" t="s">
        <v>36</v>
      </c>
      <c r="D735" t="s">
        <v>37</v>
      </c>
      <c r="E735">
        <v>32</v>
      </c>
      <c r="F735" t="s">
        <v>27</v>
      </c>
      <c r="G735" t="s">
        <v>28</v>
      </c>
      <c r="H735" s="1">
        <v>44060</v>
      </c>
      <c r="I735" s="2">
        <v>4</v>
      </c>
      <c r="J735" t="s">
        <v>50</v>
      </c>
      <c r="K735" s="3">
        <v>4100</v>
      </c>
      <c r="L735" t="s">
        <v>58</v>
      </c>
      <c r="M735">
        <v>3</v>
      </c>
      <c r="N735">
        <v>2</v>
      </c>
      <c r="O735">
        <v>15</v>
      </c>
      <c r="P735" t="s">
        <v>22</v>
      </c>
      <c r="Q735" s="1">
        <v>45539</v>
      </c>
      <c r="R735" t="s">
        <v>31</v>
      </c>
      <c r="S735" t="s">
        <v>259</v>
      </c>
      <c r="T735" t="s">
        <v>151</v>
      </c>
      <c r="U735">
        <v>1</v>
      </c>
      <c r="V735">
        <v>0</v>
      </c>
      <c r="W735">
        <v>1</v>
      </c>
    </row>
    <row r="736" spans="1:23" ht="16.5" x14ac:dyDescent="0.3">
      <c r="A736" t="s">
        <v>803</v>
      </c>
      <c r="B736" t="s">
        <v>70</v>
      </c>
      <c r="C736" t="s">
        <v>25</v>
      </c>
      <c r="D736" t="s">
        <v>37</v>
      </c>
      <c r="E736">
        <v>21</v>
      </c>
      <c r="F736" t="s">
        <v>57</v>
      </c>
      <c r="G736" t="s">
        <v>28</v>
      </c>
      <c r="H736" s="1">
        <v>45918</v>
      </c>
      <c r="I736" s="2">
        <v>0.3</v>
      </c>
      <c r="J736" t="s">
        <v>64</v>
      </c>
      <c r="K736" s="3">
        <v>3450</v>
      </c>
      <c r="L736" t="s">
        <v>30</v>
      </c>
      <c r="M736">
        <v>3</v>
      </c>
      <c r="N736">
        <v>3</v>
      </c>
      <c r="O736">
        <v>18</v>
      </c>
      <c r="P736" t="s">
        <v>21</v>
      </c>
      <c r="Q736" s="1"/>
      <c r="U736">
        <v>1</v>
      </c>
      <c r="V736">
        <v>1</v>
      </c>
      <c r="W736">
        <v>0</v>
      </c>
    </row>
    <row r="737" spans="1:23" ht="16.5" x14ac:dyDescent="0.3">
      <c r="A737" t="s">
        <v>804</v>
      </c>
      <c r="B737" t="s">
        <v>48</v>
      </c>
      <c r="C737" t="s">
        <v>25</v>
      </c>
      <c r="D737" t="s">
        <v>37</v>
      </c>
      <c r="E737">
        <v>28</v>
      </c>
      <c r="F737" t="s">
        <v>27</v>
      </c>
      <c r="G737" t="s">
        <v>38</v>
      </c>
      <c r="H737" s="1">
        <v>44559</v>
      </c>
      <c r="I737" s="2">
        <v>4</v>
      </c>
      <c r="J737" t="s">
        <v>50</v>
      </c>
      <c r="K737" s="3">
        <v>5850</v>
      </c>
      <c r="L737" t="s">
        <v>58</v>
      </c>
      <c r="M737">
        <v>2</v>
      </c>
      <c r="N737">
        <v>5</v>
      </c>
      <c r="O737">
        <v>26</v>
      </c>
      <c r="P737" t="s">
        <v>21</v>
      </c>
      <c r="Q737" s="1"/>
      <c r="U737">
        <v>1</v>
      </c>
      <c r="V737">
        <v>1</v>
      </c>
      <c r="W737">
        <v>0</v>
      </c>
    </row>
    <row r="738" spans="1:23" ht="16.5" x14ac:dyDescent="0.3">
      <c r="A738" t="s">
        <v>805</v>
      </c>
      <c r="B738" t="s">
        <v>35</v>
      </c>
      <c r="C738" t="s">
        <v>36</v>
      </c>
      <c r="D738" t="s">
        <v>26</v>
      </c>
      <c r="E738">
        <v>37</v>
      </c>
      <c r="F738" t="s">
        <v>46</v>
      </c>
      <c r="G738" t="s">
        <v>28</v>
      </c>
      <c r="H738" s="1">
        <v>43479</v>
      </c>
      <c r="I738" s="2">
        <v>7</v>
      </c>
      <c r="J738" t="s">
        <v>39</v>
      </c>
      <c r="K738" s="3">
        <v>5050</v>
      </c>
      <c r="L738" t="s">
        <v>30</v>
      </c>
      <c r="M738">
        <v>3</v>
      </c>
      <c r="N738">
        <v>3</v>
      </c>
      <c r="O738">
        <v>12</v>
      </c>
      <c r="P738" t="s">
        <v>21</v>
      </c>
      <c r="Q738" s="1"/>
      <c r="U738">
        <v>1</v>
      </c>
      <c r="V738">
        <v>1</v>
      </c>
      <c r="W738">
        <v>0</v>
      </c>
    </row>
    <row r="739" spans="1:23" ht="16.5" x14ac:dyDescent="0.3">
      <c r="A739" t="s">
        <v>806</v>
      </c>
      <c r="B739" t="s">
        <v>48</v>
      </c>
      <c r="C739" t="s">
        <v>25</v>
      </c>
      <c r="D739" t="s">
        <v>37</v>
      </c>
      <c r="E739">
        <v>26</v>
      </c>
      <c r="F739" t="s">
        <v>27</v>
      </c>
      <c r="G739" t="s">
        <v>38</v>
      </c>
      <c r="H739" s="1">
        <v>45344</v>
      </c>
      <c r="I739" s="2">
        <v>1.9</v>
      </c>
      <c r="J739" t="s">
        <v>29</v>
      </c>
      <c r="K739" s="3">
        <v>5650</v>
      </c>
      <c r="L739" t="s">
        <v>30</v>
      </c>
      <c r="M739">
        <v>2</v>
      </c>
      <c r="N739">
        <v>3</v>
      </c>
      <c r="O739">
        <v>9</v>
      </c>
      <c r="P739" t="s">
        <v>21</v>
      </c>
      <c r="Q739" s="1"/>
      <c r="U739">
        <v>1</v>
      </c>
      <c r="V739">
        <v>1</v>
      </c>
      <c r="W739">
        <v>0</v>
      </c>
    </row>
    <row r="740" spans="1:23" ht="16.5" x14ac:dyDescent="0.3">
      <c r="A740" t="s">
        <v>807</v>
      </c>
      <c r="B740" t="s">
        <v>35</v>
      </c>
      <c r="C740" t="s">
        <v>45</v>
      </c>
      <c r="D740" t="s">
        <v>37</v>
      </c>
      <c r="E740">
        <v>52</v>
      </c>
      <c r="F740" t="s">
        <v>88</v>
      </c>
      <c r="G740" t="s">
        <v>38</v>
      </c>
      <c r="H740" s="1">
        <v>45041</v>
      </c>
      <c r="I740" s="2">
        <v>2.2999999999999998</v>
      </c>
      <c r="J740" t="s">
        <v>29</v>
      </c>
      <c r="K740" s="3">
        <v>6450</v>
      </c>
      <c r="L740" t="s">
        <v>30</v>
      </c>
      <c r="M740">
        <v>3</v>
      </c>
      <c r="N740">
        <v>4</v>
      </c>
      <c r="O740">
        <v>14</v>
      </c>
      <c r="P740" t="s">
        <v>22</v>
      </c>
      <c r="Q740" s="1">
        <v>45880</v>
      </c>
      <c r="R740" t="s">
        <v>40</v>
      </c>
      <c r="S740" t="s">
        <v>41</v>
      </c>
      <c r="T740" t="s">
        <v>33</v>
      </c>
      <c r="U740">
        <v>1</v>
      </c>
      <c r="V740">
        <v>0</v>
      </c>
      <c r="W740">
        <v>1</v>
      </c>
    </row>
    <row r="741" spans="1:23" ht="16.5" x14ac:dyDescent="0.3">
      <c r="A741" t="s">
        <v>808</v>
      </c>
      <c r="B741" t="s">
        <v>24</v>
      </c>
      <c r="C741" t="s">
        <v>36</v>
      </c>
      <c r="D741" t="s">
        <v>37</v>
      </c>
      <c r="E741">
        <v>31</v>
      </c>
      <c r="F741" t="s">
        <v>27</v>
      </c>
      <c r="G741" t="s">
        <v>38</v>
      </c>
      <c r="H741" s="1">
        <v>43996</v>
      </c>
      <c r="I741" s="2">
        <v>5.5</v>
      </c>
      <c r="J741" t="s">
        <v>39</v>
      </c>
      <c r="K741" s="3">
        <v>4050</v>
      </c>
      <c r="L741" t="s">
        <v>58</v>
      </c>
      <c r="M741">
        <v>3</v>
      </c>
      <c r="N741">
        <v>5</v>
      </c>
      <c r="O741">
        <v>23</v>
      </c>
      <c r="P741" t="s">
        <v>21</v>
      </c>
      <c r="Q741" s="1"/>
      <c r="U741">
        <v>1</v>
      </c>
      <c r="V741">
        <v>1</v>
      </c>
      <c r="W741">
        <v>0</v>
      </c>
    </row>
    <row r="742" spans="1:23" ht="16.5" x14ac:dyDescent="0.3">
      <c r="A742" t="s">
        <v>809</v>
      </c>
      <c r="B742" t="s">
        <v>55</v>
      </c>
      <c r="C742" t="s">
        <v>36</v>
      </c>
      <c r="D742" t="s">
        <v>37</v>
      </c>
      <c r="E742">
        <v>41</v>
      </c>
      <c r="F742" t="s">
        <v>46</v>
      </c>
      <c r="G742" t="s">
        <v>52</v>
      </c>
      <c r="H742" s="1">
        <v>40820</v>
      </c>
      <c r="I742" s="2">
        <v>14.2</v>
      </c>
      <c r="J742" t="s">
        <v>39</v>
      </c>
      <c r="K742" s="3">
        <v>6200</v>
      </c>
      <c r="L742" t="s">
        <v>30</v>
      </c>
      <c r="M742">
        <v>2</v>
      </c>
      <c r="N742">
        <v>4</v>
      </c>
      <c r="O742">
        <v>30</v>
      </c>
      <c r="P742" t="s">
        <v>21</v>
      </c>
      <c r="Q742" s="1"/>
      <c r="U742">
        <v>1</v>
      </c>
      <c r="V742">
        <v>1</v>
      </c>
      <c r="W742">
        <v>0</v>
      </c>
    </row>
    <row r="743" spans="1:23" ht="16.5" x14ac:dyDescent="0.3">
      <c r="A743" t="s">
        <v>810</v>
      </c>
      <c r="B743" t="s">
        <v>35</v>
      </c>
      <c r="C743" t="s">
        <v>45</v>
      </c>
      <c r="D743" t="s">
        <v>26</v>
      </c>
      <c r="E743">
        <v>46</v>
      </c>
      <c r="F743" t="s">
        <v>88</v>
      </c>
      <c r="G743" t="s">
        <v>28</v>
      </c>
      <c r="H743" s="1">
        <v>41123</v>
      </c>
      <c r="I743" s="2">
        <v>13.4</v>
      </c>
      <c r="J743" t="s">
        <v>39</v>
      </c>
      <c r="K743" s="3">
        <v>6200</v>
      </c>
      <c r="L743" t="s">
        <v>30</v>
      </c>
      <c r="M743">
        <v>2</v>
      </c>
      <c r="N743">
        <v>2</v>
      </c>
      <c r="O743">
        <v>11</v>
      </c>
      <c r="P743" t="s">
        <v>21</v>
      </c>
      <c r="Q743" s="1"/>
      <c r="U743">
        <v>1</v>
      </c>
      <c r="V743">
        <v>1</v>
      </c>
      <c r="W743">
        <v>0</v>
      </c>
    </row>
    <row r="744" spans="1:23" ht="16.5" x14ac:dyDescent="0.3">
      <c r="A744" t="s">
        <v>811</v>
      </c>
      <c r="B744" t="s">
        <v>35</v>
      </c>
      <c r="C744" t="s">
        <v>36</v>
      </c>
      <c r="D744" t="s">
        <v>37</v>
      </c>
      <c r="E744">
        <v>28</v>
      </c>
      <c r="F744" t="s">
        <v>27</v>
      </c>
      <c r="G744" t="s">
        <v>28</v>
      </c>
      <c r="H744" s="1">
        <v>44167</v>
      </c>
      <c r="I744" s="2">
        <v>5.0999999999999996</v>
      </c>
      <c r="J744" t="s">
        <v>39</v>
      </c>
      <c r="K744" s="3">
        <v>3750</v>
      </c>
      <c r="L744" t="s">
        <v>58</v>
      </c>
      <c r="M744">
        <v>2</v>
      </c>
      <c r="N744">
        <v>3</v>
      </c>
      <c r="O744">
        <v>21</v>
      </c>
      <c r="P744" t="s">
        <v>21</v>
      </c>
      <c r="Q744" s="1"/>
      <c r="U744">
        <v>1</v>
      </c>
      <c r="V744">
        <v>1</v>
      </c>
      <c r="W744">
        <v>0</v>
      </c>
    </row>
    <row r="745" spans="1:23" ht="16.5" x14ac:dyDescent="0.3">
      <c r="A745" t="s">
        <v>812</v>
      </c>
      <c r="B745" t="s">
        <v>24</v>
      </c>
      <c r="C745" t="s">
        <v>25</v>
      </c>
      <c r="D745" t="s">
        <v>37</v>
      </c>
      <c r="E745">
        <v>23</v>
      </c>
      <c r="F745" t="s">
        <v>57</v>
      </c>
      <c r="G745" t="s">
        <v>38</v>
      </c>
      <c r="H745" s="1">
        <v>45923</v>
      </c>
      <c r="I745" s="2">
        <v>0.3</v>
      </c>
      <c r="J745" t="s">
        <v>64</v>
      </c>
      <c r="K745" s="3">
        <v>2300</v>
      </c>
      <c r="L745" t="s">
        <v>30</v>
      </c>
      <c r="M745">
        <v>4</v>
      </c>
      <c r="N745">
        <v>3</v>
      </c>
      <c r="O745">
        <v>7</v>
      </c>
      <c r="P745" t="s">
        <v>21</v>
      </c>
      <c r="Q745" s="1"/>
      <c r="U745">
        <v>1</v>
      </c>
      <c r="V745">
        <v>1</v>
      </c>
      <c r="W745">
        <v>0</v>
      </c>
    </row>
    <row r="746" spans="1:23" ht="16.5" x14ac:dyDescent="0.3">
      <c r="A746" t="s">
        <v>813</v>
      </c>
      <c r="B746" t="s">
        <v>44</v>
      </c>
      <c r="C746" t="s">
        <v>36</v>
      </c>
      <c r="D746" t="s">
        <v>26</v>
      </c>
      <c r="E746">
        <v>34</v>
      </c>
      <c r="F746" t="s">
        <v>27</v>
      </c>
      <c r="G746" t="s">
        <v>38</v>
      </c>
      <c r="H746" s="1">
        <v>43488</v>
      </c>
      <c r="I746" s="2">
        <v>6.9</v>
      </c>
      <c r="J746" t="s">
        <v>39</v>
      </c>
      <c r="K746" s="3">
        <v>7000</v>
      </c>
      <c r="L746" t="s">
        <v>58</v>
      </c>
      <c r="M746">
        <v>3</v>
      </c>
      <c r="N746">
        <v>4</v>
      </c>
      <c r="O746">
        <v>29</v>
      </c>
      <c r="P746" t="s">
        <v>21</v>
      </c>
      <c r="Q746" s="1"/>
      <c r="U746">
        <v>1</v>
      </c>
      <c r="V746">
        <v>1</v>
      </c>
      <c r="W746">
        <v>0</v>
      </c>
    </row>
    <row r="747" spans="1:23" ht="16.5" x14ac:dyDescent="0.3">
      <c r="A747" t="s">
        <v>814</v>
      </c>
      <c r="B747" t="s">
        <v>55</v>
      </c>
      <c r="C747" t="s">
        <v>25</v>
      </c>
      <c r="D747" t="s">
        <v>37</v>
      </c>
      <c r="E747">
        <v>21</v>
      </c>
      <c r="F747" t="s">
        <v>57</v>
      </c>
      <c r="G747" t="s">
        <v>52</v>
      </c>
      <c r="H747" s="1">
        <v>45993</v>
      </c>
      <c r="I747" s="2">
        <v>0.1</v>
      </c>
      <c r="J747" t="s">
        <v>64</v>
      </c>
      <c r="K747" s="3">
        <v>5650</v>
      </c>
      <c r="L747" t="s">
        <v>30</v>
      </c>
      <c r="M747">
        <v>3</v>
      </c>
      <c r="N747">
        <v>2</v>
      </c>
      <c r="O747">
        <v>25</v>
      </c>
      <c r="P747" t="s">
        <v>21</v>
      </c>
      <c r="Q747" s="1"/>
      <c r="U747">
        <v>1</v>
      </c>
      <c r="V747">
        <v>1</v>
      </c>
      <c r="W747">
        <v>0</v>
      </c>
    </row>
    <row r="748" spans="1:23" ht="16.5" x14ac:dyDescent="0.3">
      <c r="A748" t="s">
        <v>815</v>
      </c>
      <c r="B748" t="s">
        <v>73</v>
      </c>
      <c r="C748" t="s">
        <v>36</v>
      </c>
      <c r="D748" t="s">
        <v>26</v>
      </c>
      <c r="E748">
        <v>32</v>
      </c>
      <c r="F748" t="s">
        <v>27</v>
      </c>
      <c r="G748" t="s">
        <v>38</v>
      </c>
      <c r="H748" s="1">
        <v>44009</v>
      </c>
      <c r="I748" s="2">
        <v>5.5</v>
      </c>
      <c r="J748" t="s">
        <v>39</v>
      </c>
      <c r="K748" s="3">
        <v>4400</v>
      </c>
      <c r="L748" t="s">
        <v>30</v>
      </c>
      <c r="M748">
        <v>4</v>
      </c>
      <c r="N748">
        <v>3</v>
      </c>
      <c r="O748">
        <v>34</v>
      </c>
      <c r="P748" t="s">
        <v>21</v>
      </c>
      <c r="Q748" s="1"/>
      <c r="U748">
        <v>1</v>
      </c>
      <c r="V748">
        <v>1</v>
      </c>
      <c r="W748">
        <v>0</v>
      </c>
    </row>
    <row r="749" spans="1:23" ht="16.5" x14ac:dyDescent="0.3">
      <c r="A749" t="s">
        <v>816</v>
      </c>
      <c r="B749" t="s">
        <v>35</v>
      </c>
      <c r="C749" t="s">
        <v>25</v>
      </c>
      <c r="D749" t="s">
        <v>37</v>
      </c>
      <c r="E749">
        <v>21</v>
      </c>
      <c r="F749" t="s">
        <v>57</v>
      </c>
      <c r="G749" t="s">
        <v>38</v>
      </c>
      <c r="H749" s="1">
        <v>45988</v>
      </c>
      <c r="I749" s="2">
        <v>0.1</v>
      </c>
      <c r="J749" t="s">
        <v>64</v>
      </c>
      <c r="K749" s="3">
        <v>3850</v>
      </c>
      <c r="L749" t="s">
        <v>30</v>
      </c>
      <c r="M749">
        <v>4</v>
      </c>
      <c r="N749">
        <v>4</v>
      </c>
      <c r="O749">
        <v>26</v>
      </c>
      <c r="P749" t="s">
        <v>21</v>
      </c>
      <c r="Q749" s="1"/>
      <c r="U749">
        <v>1</v>
      </c>
      <c r="V749">
        <v>1</v>
      </c>
      <c r="W749">
        <v>0</v>
      </c>
    </row>
    <row r="750" spans="1:23" ht="16.5" x14ac:dyDescent="0.3">
      <c r="A750" t="s">
        <v>817</v>
      </c>
      <c r="B750" t="s">
        <v>70</v>
      </c>
      <c r="C750" t="s">
        <v>36</v>
      </c>
      <c r="D750" t="s">
        <v>26</v>
      </c>
      <c r="E750">
        <v>32</v>
      </c>
      <c r="F750" t="s">
        <v>27</v>
      </c>
      <c r="G750" t="s">
        <v>28</v>
      </c>
      <c r="H750" s="1">
        <v>43704</v>
      </c>
      <c r="I750" s="2">
        <v>4.5</v>
      </c>
      <c r="J750" t="s">
        <v>50</v>
      </c>
      <c r="K750" s="3">
        <v>4100</v>
      </c>
      <c r="L750" t="s">
        <v>30</v>
      </c>
      <c r="M750">
        <v>3</v>
      </c>
      <c r="N750">
        <v>3</v>
      </c>
      <c r="O750">
        <v>31</v>
      </c>
      <c r="P750" t="s">
        <v>22</v>
      </c>
      <c r="Q750" s="1">
        <v>45349</v>
      </c>
      <c r="R750" t="s">
        <v>31</v>
      </c>
      <c r="S750" t="s">
        <v>103</v>
      </c>
      <c r="T750" t="s">
        <v>33</v>
      </c>
      <c r="U750">
        <v>1</v>
      </c>
      <c r="V750">
        <v>0</v>
      </c>
      <c r="W750">
        <v>1</v>
      </c>
    </row>
    <row r="751" spans="1:23" ht="16.5" x14ac:dyDescent="0.3">
      <c r="A751" t="s">
        <v>818</v>
      </c>
      <c r="B751" t="s">
        <v>70</v>
      </c>
      <c r="C751" t="s">
        <v>36</v>
      </c>
      <c r="D751" t="s">
        <v>26</v>
      </c>
      <c r="E751">
        <v>31</v>
      </c>
      <c r="F751" t="s">
        <v>27</v>
      </c>
      <c r="G751" t="s">
        <v>28</v>
      </c>
      <c r="H751" s="1">
        <v>45304</v>
      </c>
      <c r="I751" s="2">
        <v>1.7</v>
      </c>
      <c r="J751" t="s">
        <v>29</v>
      </c>
      <c r="K751" s="3">
        <v>5350</v>
      </c>
      <c r="L751" t="s">
        <v>30</v>
      </c>
      <c r="M751">
        <v>3</v>
      </c>
      <c r="N751">
        <v>3</v>
      </c>
      <c r="O751">
        <v>8</v>
      </c>
      <c r="P751" t="s">
        <v>22</v>
      </c>
      <c r="Q751" s="1">
        <v>45918</v>
      </c>
      <c r="R751" t="s">
        <v>40</v>
      </c>
      <c r="S751" t="s">
        <v>259</v>
      </c>
      <c r="T751" t="s">
        <v>60</v>
      </c>
      <c r="U751">
        <v>1</v>
      </c>
      <c r="V751">
        <v>0</v>
      </c>
      <c r="W751">
        <v>1</v>
      </c>
    </row>
    <row r="752" spans="1:23" ht="16.5" x14ac:dyDescent="0.3">
      <c r="A752" t="s">
        <v>819</v>
      </c>
      <c r="B752" t="s">
        <v>73</v>
      </c>
      <c r="C752" t="s">
        <v>45</v>
      </c>
      <c r="D752" t="s">
        <v>26</v>
      </c>
      <c r="E752">
        <v>33</v>
      </c>
      <c r="F752" t="s">
        <v>27</v>
      </c>
      <c r="G752" t="s">
        <v>38</v>
      </c>
      <c r="H752" s="1">
        <v>43372</v>
      </c>
      <c r="I752" s="2">
        <v>7.3</v>
      </c>
      <c r="J752" t="s">
        <v>39</v>
      </c>
      <c r="K752" s="3">
        <v>7000</v>
      </c>
      <c r="L752" t="s">
        <v>30</v>
      </c>
      <c r="M752">
        <v>3</v>
      </c>
      <c r="N752">
        <v>3</v>
      </c>
      <c r="O752">
        <v>27</v>
      </c>
      <c r="P752" t="s">
        <v>21</v>
      </c>
      <c r="Q752" s="1"/>
      <c r="U752">
        <v>1</v>
      </c>
      <c r="V752">
        <v>1</v>
      </c>
      <c r="W752">
        <v>0</v>
      </c>
    </row>
    <row r="753" spans="1:23" ht="16.5" x14ac:dyDescent="0.3">
      <c r="A753" t="s">
        <v>820</v>
      </c>
      <c r="B753" t="s">
        <v>35</v>
      </c>
      <c r="C753" t="s">
        <v>25</v>
      </c>
      <c r="D753" t="s">
        <v>26</v>
      </c>
      <c r="E753">
        <v>27</v>
      </c>
      <c r="F753" t="s">
        <v>27</v>
      </c>
      <c r="G753" t="s">
        <v>52</v>
      </c>
      <c r="H753" s="1">
        <v>45265</v>
      </c>
      <c r="I753" s="2">
        <v>2.1</v>
      </c>
      <c r="J753" t="s">
        <v>29</v>
      </c>
      <c r="K753" s="3">
        <v>4050</v>
      </c>
      <c r="L753" t="s">
        <v>58</v>
      </c>
      <c r="M753">
        <v>3</v>
      </c>
      <c r="N753">
        <v>2</v>
      </c>
      <c r="O753">
        <v>29</v>
      </c>
      <c r="P753" t="s">
        <v>21</v>
      </c>
      <c r="Q753" s="1"/>
      <c r="U753">
        <v>1</v>
      </c>
      <c r="V753">
        <v>1</v>
      </c>
      <c r="W753">
        <v>0</v>
      </c>
    </row>
    <row r="754" spans="1:23" ht="16.5" x14ac:dyDescent="0.3">
      <c r="A754" t="s">
        <v>821</v>
      </c>
      <c r="B754" t="s">
        <v>70</v>
      </c>
      <c r="C754" t="s">
        <v>25</v>
      </c>
      <c r="D754" t="s">
        <v>37</v>
      </c>
      <c r="E754">
        <v>21</v>
      </c>
      <c r="F754" t="s">
        <v>57</v>
      </c>
      <c r="G754" t="s">
        <v>28</v>
      </c>
      <c r="H754" s="1">
        <v>45931</v>
      </c>
      <c r="I754" s="2">
        <v>0.1</v>
      </c>
      <c r="J754" t="s">
        <v>64</v>
      </c>
      <c r="K754" s="3">
        <v>2800</v>
      </c>
      <c r="L754" t="s">
        <v>30</v>
      </c>
      <c r="M754">
        <v>3</v>
      </c>
      <c r="N754">
        <v>3</v>
      </c>
      <c r="O754">
        <v>11</v>
      </c>
      <c r="P754" t="s">
        <v>22</v>
      </c>
      <c r="Q754" s="1">
        <v>45982</v>
      </c>
      <c r="R754" t="s">
        <v>40</v>
      </c>
      <c r="S754" t="s">
        <v>182</v>
      </c>
      <c r="T754" t="s">
        <v>473</v>
      </c>
      <c r="U754">
        <v>1</v>
      </c>
      <c r="V754">
        <v>0</v>
      </c>
      <c r="W754">
        <v>1</v>
      </c>
    </row>
    <row r="755" spans="1:23" ht="16.5" x14ac:dyDescent="0.3">
      <c r="A755" t="s">
        <v>822</v>
      </c>
      <c r="B755" t="s">
        <v>24</v>
      </c>
      <c r="C755" t="s">
        <v>25</v>
      </c>
      <c r="D755" t="s">
        <v>26</v>
      </c>
      <c r="E755">
        <v>30</v>
      </c>
      <c r="F755" t="s">
        <v>27</v>
      </c>
      <c r="G755" t="s">
        <v>28</v>
      </c>
      <c r="H755" s="1">
        <v>45070</v>
      </c>
      <c r="I755" s="2">
        <v>2.6</v>
      </c>
      <c r="J755" t="s">
        <v>29</v>
      </c>
      <c r="K755" s="3">
        <v>2750</v>
      </c>
      <c r="L755" t="s">
        <v>58</v>
      </c>
      <c r="M755">
        <v>3</v>
      </c>
      <c r="N755">
        <v>3</v>
      </c>
      <c r="O755">
        <v>10</v>
      </c>
      <c r="P755" t="s">
        <v>21</v>
      </c>
      <c r="Q755" s="1"/>
      <c r="U755">
        <v>1</v>
      </c>
      <c r="V755">
        <v>1</v>
      </c>
      <c r="W755">
        <v>0</v>
      </c>
    </row>
    <row r="756" spans="1:23" ht="16.5" x14ac:dyDescent="0.3">
      <c r="A756" t="s">
        <v>823</v>
      </c>
      <c r="B756" t="s">
        <v>48</v>
      </c>
      <c r="C756" t="s">
        <v>25</v>
      </c>
      <c r="D756" t="s">
        <v>37</v>
      </c>
      <c r="E756">
        <v>22</v>
      </c>
      <c r="F756" t="s">
        <v>57</v>
      </c>
      <c r="G756" t="s">
        <v>38</v>
      </c>
      <c r="H756" s="1">
        <v>45898</v>
      </c>
      <c r="I756" s="2">
        <v>0.2</v>
      </c>
      <c r="J756" t="s">
        <v>64</v>
      </c>
      <c r="K756" s="3">
        <v>6200</v>
      </c>
      <c r="L756" t="s">
        <v>58</v>
      </c>
      <c r="M756">
        <v>3</v>
      </c>
      <c r="N756">
        <v>2</v>
      </c>
      <c r="O756">
        <v>36</v>
      </c>
      <c r="P756" t="s">
        <v>22</v>
      </c>
      <c r="Q756" s="1">
        <v>45986</v>
      </c>
      <c r="R756" t="s">
        <v>40</v>
      </c>
      <c r="S756" t="s">
        <v>182</v>
      </c>
      <c r="T756" t="s">
        <v>42</v>
      </c>
      <c r="U756">
        <v>1</v>
      </c>
      <c r="V756">
        <v>0</v>
      </c>
      <c r="W756">
        <v>1</v>
      </c>
    </row>
    <row r="757" spans="1:23" ht="16.5" x14ac:dyDescent="0.3">
      <c r="A757" t="s">
        <v>824</v>
      </c>
      <c r="B757" t="s">
        <v>70</v>
      </c>
      <c r="C757" t="s">
        <v>87</v>
      </c>
      <c r="D757" t="s">
        <v>26</v>
      </c>
      <c r="E757">
        <v>48</v>
      </c>
      <c r="F757" t="s">
        <v>88</v>
      </c>
      <c r="G757" t="s">
        <v>28</v>
      </c>
      <c r="H757" s="1">
        <v>45071</v>
      </c>
      <c r="I757" s="2">
        <v>2.6</v>
      </c>
      <c r="J757" t="s">
        <v>29</v>
      </c>
      <c r="K757" s="3">
        <v>11250</v>
      </c>
      <c r="L757" t="s">
        <v>58</v>
      </c>
      <c r="M757">
        <v>3</v>
      </c>
      <c r="N757">
        <v>3</v>
      </c>
      <c r="O757">
        <v>26</v>
      </c>
      <c r="P757" t="s">
        <v>21</v>
      </c>
      <c r="Q757" s="1"/>
      <c r="U757">
        <v>1</v>
      </c>
      <c r="V757">
        <v>1</v>
      </c>
      <c r="W757">
        <v>0</v>
      </c>
    </row>
    <row r="758" spans="1:23" ht="16.5" x14ac:dyDescent="0.3">
      <c r="A758" t="s">
        <v>825</v>
      </c>
      <c r="B758" t="s">
        <v>48</v>
      </c>
      <c r="C758" t="s">
        <v>25</v>
      </c>
      <c r="D758" t="s">
        <v>26</v>
      </c>
      <c r="E758">
        <v>24</v>
      </c>
      <c r="F758" t="s">
        <v>57</v>
      </c>
      <c r="G758" t="s">
        <v>38</v>
      </c>
      <c r="H758" s="1">
        <v>45152</v>
      </c>
      <c r="I758" s="2">
        <v>2.4</v>
      </c>
      <c r="J758" t="s">
        <v>29</v>
      </c>
      <c r="K758" s="3">
        <v>6900</v>
      </c>
      <c r="L758" t="s">
        <v>30</v>
      </c>
      <c r="M758">
        <v>5</v>
      </c>
      <c r="N758">
        <v>3</v>
      </c>
      <c r="O758">
        <v>16</v>
      </c>
      <c r="P758" t="s">
        <v>21</v>
      </c>
      <c r="Q758" s="1"/>
      <c r="U758">
        <v>1</v>
      </c>
      <c r="V758">
        <v>1</v>
      </c>
      <c r="W758">
        <v>0</v>
      </c>
    </row>
    <row r="759" spans="1:23" ht="16.5" x14ac:dyDescent="0.3">
      <c r="A759" t="s">
        <v>826</v>
      </c>
      <c r="B759" t="s">
        <v>35</v>
      </c>
      <c r="C759" t="s">
        <v>25</v>
      </c>
      <c r="D759" t="s">
        <v>26</v>
      </c>
      <c r="E759">
        <v>21</v>
      </c>
      <c r="F759" t="s">
        <v>57</v>
      </c>
      <c r="G759" t="s">
        <v>38</v>
      </c>
      <c r="H759" s="1">
        <v>45955</v>
      </c>
      <c r="I759" s="2">
        <v>0.2</v>
      </c>
      <c r="J759" t="s">
        <v>64</v>
      </c>
      <c r="K759" s="3">
        <v>3500</v>
      </c>
      <c r="L759" t="s">
        <v>58</v>
      </c>
      <c r="M759">
        <v>2</v>
      </c>
      <c r="N759">
        <v>4</v>
      </c>
      <c r="O759">
        <v>35</v>
      </c>
      <c r="P759" t="s">
        <v>21</v>
      </c>
      <c r="Q759" s="1"/>
      <c r="U759">
        <v>1</v>
      </c>
      <c r="V759">
        <v>1</v>
      </c>
      <c r="W759">
        <v>0</v>
      </c>
    </row>
    <row r="760" spans="1:23" ht="16.5" x14ac:dyDescent="0.3">
      <c r="A760" t="s">
        <v>827</v>
      </c>
      <c r="B760" t="s">
        <v>44</v>
      </c>
      <c r="C760" t="s">
        <v>45</v>
      </c>
      <c r="D760" t="s">
        <v>37</v>
      </c>
      <c r="E760">
        <v>43</v>
      </c>
      <c r="F760" t="s">
        <v>46</v>
      </c>
      <c r="G760" t="s">
        <v>38</v>
      </c>
      <c r="H760" s="1">
        <v>45174</v>
      </c>
      <c r="I760" s="2">
        <v>2.2999999999999998</v>
      </c>
      <c r="J760" t="s">
        <v>29</v>
      </c>
      <c r="K760" s="3">
        <v>8650</v>
      </c>
      <c r="L760" t="s">
        <v>30</v>
      </c>
      <c r="M760">
        <v>3</v>
      </c>
      <c r="N760">
        <v>3</v>
      </c>
      <c r="O760">
        <v>28</v>
      </c>
      <c r="P760" t="s">
        <v>21</v>
      </c>
      <c r="Q760" s="1"/>
      <c r="U760">
        <v>1</v>
      </c>
      <c r="V760">
        <v>1</v>
      </c>
      <c r="W760">
        <v>0</v>
      </c>
    </row>
    <row r="761" spans="1:23" ht="16.5" x14ac:dyDescent="0.3">
      <c r="A761" t="s">
        <v>828</v>
      </c>
      <c r="B761" t="s">
        <v>35</v>
      </c>
      <c r="C761" t="s">
        <v>36</v>
      </c>
      <c r="D761" t="s">
        <v>26</v>
      </c>
      <c r="E761">
        <v>27</v>
      </c>
      <c r="F761" t="s">
        <v>27</v>
      </c>
      <c r="G761" t="s">
        <v>38</v>
      </c>
      <c r="H761" s="1">
        <v>44393</v>
      </c>
      <c r="I761" s="2">
        <v>4.5</v>
      </c>
      <c r="J761" t="s">
        <v>50</v>
      </c>
      <c r="K761" s="3">
        <v>3050</v>
      </c>
      <c r="L761" t="s">
        <v>30</v>
      </c>
      <c r="M761">
        <v>3</v>
      </c>
      <c r="N761">
        <v>4</v>
      </c>
      <c r="O761">
        <v>11</v>
      </c>
      <c r="P761" t="s">
        <v>21</v>
      </c>
      <c r="Q761" s="1"/>
      <c r="U761">
        <v>1</v>
      </c>
      <c r="V761">
        <v>1</v>
      </c>
      <c r="W761">
        <v>0</v>
      </c>
    </row>
    <row r="762" spans="1:23" ht="16.5" x14ac:dyDescent="0.3">
      <c r="A762" t="s">
        <v>829</v>
      </c>
      <c r="B762" t="s">
        <v>24</v>
      </c>
      <c r="C762" t="s">
        <v>25</v>
      </c>
      <c r="D762" t="s">
        <v>26</v>
      </c>
      <c r="E762">
        <v>25</v>
      </c>
      <c r="F762" t="s">
        <v>57</v>
      </c>
      <c r="G762" t="s">
        <v>28</v>
      </c>
      <c r="H762" s="1">
        <v>45620</v>
      </c>
      <c r="I762" s="2">
        <v>0.7</v>
      </c>
      <c r="J762" t="s">
        <v>64</v>
      </c>
      <c r="K762" s="3">
        <v>3450</v>
      </c>
      <c r="L762" t="s">
        <v>30</v>
      </c>
      <c r="M762">
        <v>3</v>
      </c>
      <c r="N762">
        <v>2</v>
      </c>
      <c r="O762">
        <v>37</v>
      </c>
      <c r="P762" t="s">
        <v>22</v>
      </c>
      <c r="Q762" s="1">
        <v>45861</v>
      </c>
      <c r="R762" t="s">
        <v>40</v>
      </c>
      <c r="S762" t="s">
        <v>84</v>
      </c>
      <c r="T762" t="s">
        <v>151</v>
      </c>
      <c r="U762">
        <v>1</v>
      </c>
      <c r="V762">
        <v>0</v>
      </c>
      <c r="W762">
        <v>1</v>
      </c>
    </row>
    <row r="763" spans="1:23" ht="16.5" x14ac:dyDescent="0.3">
      <c r="A763" t="s">
        <v>830</v>
      </c>
      <c r="B763" t="s">
        <v>70</v>
      </c>
      <c r="C763" t="s">
        <v>36</v>
      </c>
      <c r="D763" t="s">
        <v>37</v>
      </c>
      <c r="E763">
        <v>30</v>
      </c>
      <c r="F763" t="s">
        <v>27</v>
      </c>
      <c r="G763" t="s">
        <v>28</v>
      </c>
      <c r="H763" s="1">
        <v>44647</v>
      </c>
      <c r="I763" s="2">
        <v>3.8</v>
      </c>
      <c r="J763" t="s">
        <v>50</v>
      </c>
      <c r="K763" s="3">
        <v>4250</v>
      </c>
      <c r="L763" t="s">
        <v>30</v>
      </c>
      <c r="M763">
        <v>5</v>
      </c>
      <c r="N763">
        <v>4</v>
      </c>
      <c r="O763">
        <v>14</v>
      </c>
      <c r="P763" t="s">
        <v>21</v>
      </c>
      <c r="Q763" s="1"/>
      <c r="U763">
        <v>1</v>
      </c>
      <c r="V763">
        <v>1</v>
      </c>
      <c r="W763">
        <v>0</v>
      </c>
    </row>
    <row r="764" spans="1:23" ht="16.5" x14ac:dyDescent="0.3">
      <c r="A764" t="s">
        <v>831</v>
      </c>
      <c r="B764" t="s">
        <v>48</v>
      </c>
      <c r="C764" t="s">
        <v>25</v>
      </c>
      <c r="D764" t="s">
        <v>37</v>
      </c>
      <c r="E764">
        <v>22</v>
      </c>
      <c r="F764" t="s">
        <v>57</v>
      </c>
      <c r="G764" t="s">
        <v>28</v>
      </c>
      <c r="H764" s="1">
        <v>45970</v>
      </c>
      <c r="I764" s="2">
        <v>0.1</v>
      </c>
      <c r="J764" t="s">
        <v>64</v>
      </c>
      <c r="K764" s="3">
        <v>6150</v>
      </c>
      <c r="L764" t="s">
        <v>30</v>
      </c>
      <c r="M764">
        <v>2</v>
      </c>
      <c r="N764">
        <v>4</v>
      </c>
      <c r="O764">
        <v>36</v>
      </c>
      <c r="P764" t="s">
        <v>21</v>
      </c>
      <c r="Q764" s="1"/>
      <c r="U764">
        <v>1</v>
      </c>
      <c r="V764">
        <v>1</v>
      </c>
      <c r="W764">
        <v>0</v>
      </c>
    </row>
    <row r="765" spans="1:23" ht="16.5" x14ac:dyDescent="0.3">
      <c r="A765" t="s">
        <v>832</v>
      </c>
      <c r="B765" t="s">
        <v>24</v>
      </c>
      <c r="C765" t="s">
        <v>36</v>
      </c>
      <c r="D765" t="s">
        <v>37</v>
      </c>
      <c r="E765">
        <v>38</v>
      </c>
      <c r="F765" t="s">
        <v>46</v>
      </c>
      <c r="G765" t="s">
        <v>38</v>
      </c>
      <c r="H765" s="1">
        <v>42660</v>
      </c>
      <c r="I765" s="2">
        <v>8.5</v>
      </c>
      <c r="J765" t="s">
        <v>39</v>
      </c>
      <c r="K765" s="3">
        <v>3400</v>
      </c>
      <c r="L765" t="s">
        <v>58</v>
      </c>
      <c r="M765">
        <v>1</v>
      </c>
      <c r="N765">
        <v>3</v>
      </c>
      <c r="O765">
        <v>20</v>
      </c>
      <c r="P765" t="s">
        <v>22</v>
      </c>
      <c r="Q765" s="1">
        <v>45757</v>
      </c>
      <c r="R765" t="s">
        <v>40</v>
      </c>
      <c r="S765" t="s">
        <v>153</v>
      </c>
      <c r="T765" t="s">
        <v>60</v>
      </c>
      <c r="U765">
        <v>1</v>
      </c>
      <c r="V765">
        <v>0</v>
      </c>
      <c r="W765">
        <v>1</v>
      </c>
    </row>
    <row r="766" spans="1:23" ht="16.5" x14ac:dyDescent="0.3">
      <c r="A766" t="s">
        <v>833</v>
      </c>
      <c r="B766" t="s">
        <v>44</v>
      </c>
      <c r="C766" t="s">
        <v>25</v>
      </c>
      <c r="D766" t="s">
        <v>26</v>
      </c>
      <c r="E766">
        <v>26</v>
      </c>
      <c r="F766" t="s">
        <v>27</v>
      </c>
      <c r="G766" t="s">
        <v>52</v>
      </c>
      <c r="H766" s="1">
        <v>44667</v>
      </c>
      <c r="I766" s="2">
        <v>3.7</v>
      </c>
      <c r="J766" t="s">
        <v>50</v>
      </c>
      <c r="K766" s="3">
        <v>6000</v>
      </c>
      <c r="L766" t="s">
        <v>30</v>
      </c>
      <c r="M766">
        <v>4</v>
      </c>
      <c r="N766">
        <v>3</v>
      </c>
      <c r="O766">
        <v>7</v>
      </c>
      <c r="P766" t="s">
        <v>21</v>
      </c>
      <c r="Q766" s="1"/>
      <c r="U766">
        <v>1</v>
      </c>
      <c r="V766">
        <v>1</v>
      </c>
      <c r="W766">
        <v>0</v>
      </c>
    </row>
    <row r="767" spans="1:23" ht="16.5" x14ac:dyDescent="0.3">
      <c r="A767" t="s">
        <v>834</v>
      </c>
      <c r="B767" t="s">
        <v>44</v>
      </c>
      <c r="C767" t="s">
        <v>25</v>
      </c>
      <c r="D767" t="s">
        <v>37</v>
      </c>
      <c r="E767">
        <v>30</v>
      </c>
      <c r="F767" t="s">
        <v>27</v>
      </c>
      <c r="G767" t="s">
        <v>38</v>
      </c>
      <c r="H767" s="1">
        <v>43543</v>
      </c>
      <c r="I767" s="2">
        <v>6.8</v>
      </c>
      <c r="J767" t="s">
        <v>39</v>
      </c>
      <c r="K767" s="3">
        <v>4700</v>
      </c>
      <c r="L767" t="s">
        <v>30</v>
      </c>
      <c r="M767">
        <v>3</v>
      </c>
      <c r="N767">
        <v>5</v>
      </c>
      <c r="O767">
        <v>14</v>
      </c>
      <c r="P767" t="s">
        <v>21</v>
      </c>
      <c r="Q767" s="1"/>
      <c r="U767">
        <v>1</v>
      </c>
      <c r="V767">
        <v>1</v>
      </c>
      <c r="W767">
        <v>0</v>
      </c>
    </row>
    <row r="768" spans="1:23" ht="16.5" x14ac:dyDescent="0.3">
      <c r="A768" t="s">
        <v>835</v>
      </c>
      <c r="B768" t="s">
        <v>70</v>
      </c>
      <c r="C768" t="s">
        <v>87</v>
      </c>
      <c r="D768" t="s">
        <v>26</v>
      </c>
      <c r="E768">
        <v>43</v>
      </c>
      <c r="F768" t="s">
        <v>46</v>
      </c>
      <c r="G768" t="s">
        <v>38</v>
      </c>
      <c r="H768" s="1">
        <v>44110</v>
      </c>
      <c r="I768" s="2">
        <v>5.2</v>
      </c>
      <c r="J768" t="s">
        <v>39</v>
      </c>
      <c r="K768" s="3">
        <v>10600</v>
      </c>
      <c r="L768" t="s">
        <v>30</v>
      </c>
      <c r="M768">
        <v>4</v>
      </c>
      <c r="N768">
        <v>3</v>
      </c>
      <c r="O768">
        <v>22</v>
      </c>
      <c r="P768" t="s">
        <v>21</v>
      </c>
      <c r="Q768" s="1"/>
      <c r="U768">
        <v>1</v>
      </c>
      <c r="V768">
        <v>1</v>
      </c>
      <c r="W768">
        <v>0</v>
      </c>
    </row>
    <row r="769" spans="1:23" ht="16.5" x14ac:dyDescent="0.3">
      <c r="A769" t="s">
        <v>836</v>
      </c>
      <c r="B769" t="s">
        <v>48</v>
      </c>
      <c r="C769" t="s">
        <v>25</v>
      </c>
      <c r="D769" t="s">
        <v>37</v>
      </c>
      <c r="E769">
        <v>28</v>
      </c>
      <c r="F769" t="s">
        <v>27</v>
      </c>
      <c r="G769" t="s">
        <v>52</v>
      </c>
      <c r="H769" s="1">
        <v>44837</v>
      </c>
      <c r="I769" s="2">
        <v>3.2</v>
      </c>
      <c r="J769" t="s">
        <v>50</v>
      </c>
      <c r="K769" s="3">
        <v>5250</v>
      </c>
      <c r="L769" t="s">
        <v>30</v>
      </c>
      <c r="M769">
        <v>3</v>
      </c>
      <c r="N769">
        <v>4</v>
      </c>
      <c r="O769">
        <v>24</v>
      </c>
      <c r="P769" t="s">
        <v>21</v>
      </c>
      <c r="Q769" s="1"/>
      <c r="U769">
        <v>1</v>
      </c>
      <c r="V769">
        <v>1</v>
      </c>
      <c r="W769">
        <v>0</v>
      </c>
    </row>
    <row r="770" spans="1:23" ht="16.5" x14ac:dyDescent="0.3">
      <c r="A770" t="s">
        <v>837</v>
      </c>
      <c r="B770" t="s">
        <v>24</v>
      </c>
      <c r="C770" t="s">
        <v>87</v>
      </c>
      <c r="D770" t="s">
        <v>37</v>
      </c>
      <c r="E770">
        <v>49</v>
      </c>
      <c r="F770" t="s">
        <v>88</v>
      </c>
      <c r="G770" t="s">
        <v>52</v>
      </c>
      <c r="H770" s="1">
        <v>45012</v>
      </c>
      <c r="I770" s="2">
        <v>0.8</v>
      </c>
      <c r="J770" t="s">
        <v>64</v>
      </c>
      <c r="K770" s="3">
        <v>7450</v>
      </c>
      <c r="L770" t="s">
        <v>30</v>
      </c>
      <c r="M770">
        <v>3</v>
      </c>
      <c r="N770">
        <v>2</v>
      </c>
      <c r="O770">
        <v>30</v>
      </c>
      <c r="P770" t="s">
        <v>22</v>
      </c>
      <c r="Q770" s="1">
        <v>45307</v>
      </c>
      <c r="R770" t="s">
        <v>31</v>
      </c>
      <c r="S770" t="s">
        <v>107</v>
      </c>
      <c r="T770" t="s">
        <v>42</v>
      </c>
      <c r="U770">
        <v>1</v>
      </c>
      <c r="V770">
        <v>0</v>
      </c>
      <c r="W770">
        <v>1</v>
      </c>
    </row>
    <row r="771" spans="1:23" ht="16.5" x14ac:dyDescent="0.3">
      <c r="A771" t="s">
        <v>838</v>
      </c>
      <c r="B771" t="s">
        <v>48</v>
      </c>
      <c r="C771" t="s">
        <v>87</v>
      </c>
      <c r="D771" t="s">
        <v>26</v>
      </c>
      <c r="E771">
        <v>45</v>
      </c>
      <c r="F771" t="s">
        <v>46</v>
      </c>
      <c r="G771" t="s">
        <v>38</v>
      </c>
      <c r="H771" s="1">
        <v>41565</v>
      </c>
      <c r="I771" s="2">
        <v>12.2</v>
      </c>
      <c r="J771" t="s">
        <v>39</v>
      </c>
      <c r="K771" s="3">
        <v>14800</v>
      </c>
      <c r="L771" t="s">
        <v>30</v>
      </c>
      <c r="M771">
        <v>4</v>
      </c>
      <c r="N771">
        <v>3</v>
      </c>
      <c r="O771">
        <v>24</v>
      </c>
      <c r="P771" t="s">
        <v>21</v>
      </c>
      <c r="Q771" s="1"/>
      <c r="U771">
        <v>1</v>
      </c>
      <c r="V771">
        <v>1</v>
      </c>
      <c r="W771">
        <v>0</v>
      </c>
    </row>
    <row r="772" spans="1:23" ht="16.5" x14ac:dyDescent="0.3">
      <c r="A772" t="s">
        <v>839</v>
      </c>
      <c r="B772" t="s">
        <v>35</v>
      </c>
      <c r="C772" t="s">
        <v>25</v>
      </c>
      <c r="D772" t="s">
        <v>26</v>
      </c>
      <c r="E772">
        <v>21</v>
      </c>
      <c r="F772" t="s">
        <v>57</v>
      </c>
      <c r="G772" t="s">
        <v>28</v>
      </c>
      <c r="H772" s="1">
        <v>45944</v>
      </c>
      <c r="I772" s="2">
        <v>0.2</v>
      </c>
      <c r="J772" t="s">
        <v>64</v>
      </c>
      <c r="K772" s="3">
        <v>3400</v>
      </c>
      <c r="L772" t="s">
        <v>30</v>
      </c>
      <c r="M772">
        <v>5</v>
      </c>
      <c r="N772">
        <v>4</v>
      </c>
      <c r="O772">
        <v>6</v>
      </c>
      <c r="P772" t="s">
        <v>21</v>
      </c>
      <c r="Q772" s="1"/>
      <c r="U772">
        <v>1</v>
      </c>
      <c r="V772">
        <v>1</v>
      </c>
      <c r="W772">
        <v>0</v>
      </c>
    </row>
    <row r="773" spans="1:23" ht="16.5" x14ac:dyDescent="0.3">
      <c r="A773" t="s">
        <v>840</v>
      </c>
      <c r="B773" t="s">
        <v>24</v>
      </c>
      <c r="C773" t="s">
        <v>45</v>
      </c>
      <c r="D773" t="s">
        <v>37</v>
      </c>
      <c r="E773">
        <v>34</v>
      </c>
      <c r="F773" t="s">
        <v>27</v>
      </c>
      <c r="G773" t="s">
        <v>28</v>
      </c>
      <c r="H773" s="1">
        <v>44073</v>
      </c>
      <c r="I773" s="2">
        <v>5.3</v>
      </c>
      <c r="J773" t="s">
        <v>39</v>
      </c>
      <c r="K773" s="3">
        <v>5000</v>
      </c>
      <c r="L773" t="s">
        <v>30</v>
      </c>
      <c r="M773">
        <v>3</v>
      </c>
      <c r="N773">
        <v>3</v>
      </c>
      <c r="O773">
        <v>27</v>
      </c>
      <c r="P773" t="s">
        <v>21</v>
      </c>
      <c r="Q773" s="1"/>
      <c r="U773">
        <v>1</v>
      </c>
      <c r="V773">
        <v>1</v>
      </c>
      <c r="W773">
        <v>0</v>
      </c>
    </row>
    <row r="774" spans="1:23" ht="16.5" x14ac:dyDescent="0.3">
      <c r="A774" t="s">
        <v>841</v>
      </c>
      <c r="B774" t="s">
        <v>48</v>
      </c>
      <c r="C774" t="s">
        <v>25</v>
      </c>
      <c r="D774" t="s">
        <v>37</v>
      </c>
      <c r="E774">
        <v>21</v>
      </c>
      <c r="F774" t="s">
        <v>57</v>
      </c>
      <c r="G774" t="s">
        <v>28</v>
      </c>
      <c r="H774" s="1">
        <v>45996</v>
      </c>
      <c r="I774" s="2">
        <v>0.1</v>
      </c>
      <c r="J774" t="s">
        <v>64</v>
      </c>
      <c r="K774" s="3">
        <v>6250</v>
      </c>
      <c r="L774" t="s">
        <v>58</v>
      </c>
      <c r="M774">
        <v>3</v>
      </c>
      <c r="N774">
        <v>4</v>
      </c>
      <c r="O774">
        <v>25</v>
      </c>
      <c r="P774" t="s">
        <v>21</v>
      </c>
      <c r="Q774" s="1"/>
      <c r="U774">
        <v>1</v>
      </c>
      <c r="V774">
        <v>1</v>
      </c>
      <c r="W774">
        <v>0</v>
      </c>
    </row>
    <row r="775" spans="1:23" ht="16.5" x14ac:dyDescent="0.3">
      <c r="A775" t="s">
        <v>842</v>
      </c>
      <c r="B775" t="s">
        <v>44</v>
      </c>
      <c r="C775" t="s">
        <v>45</v>
      </c>
      <c r="D775" t="s">
        <v>37</v>
      </c>
      <c r="E775">
        <v>37</v>
      </c>
      <c r="F775" t="s">
        <v>46</v>
      </c>
      <c r="G775" t="s">
        <v>38</v>
      </c>
      <c r="H775" s="1">
        <v>41853</v>
      </c>
      <c r="I775" s="2">
        <v>11.4</v>
      </c>
      <c r="J775" t="s">
        <v>39</v>
      </c>
      <c r="K775" s="3">
        <v>10100</v>
      </c>
      <c r="L775" t="s">
        <v>30</v>
      </c>
      <c r="M775">
        <v>4</v>
      </c>
      <c r="N775">
        <v>3</v>
      </c>
      <c r="O775">
        <v>29</v>
      </c>
      <c r="P775" t="s">
        <v>21</v>
      </c>
      <c r="Q775" s="1"/>
      <c r="U775">
        <v>1</v>
      </c>
      <c r="V775">
        <v>1</v>
      </c>
      <c r="W775">
        <v>0</v>
      </c>
    </row>
    <row r="776" spans="1:23" ht="16.5" x14ac:dyDescent="0.3">
      <c r="A776" t="s">
        <v>843</v>
      </c>
      <c r="B776" t="s">
        <v>55</v>
      </c>
      <c r="C776" t="s">
        <v>36</v>
      </c>
      <c r="D776" t="s">
        <v>37</v>
      </c>
      <c r="E776">
        <v>29</v>
      </c>
      <c r="F776" t="s">
        <v>27</v>
      </c>
      <c r="G776" t="s">
        <v>52</v>
      </c>
      <c r="H776" s="1">
        <v>44986</v>
      </c>
      <c r="I776" s="2">
        <v>2.8</v>
      </c>
      <c r="J776" t="s">
        <v>29</v>
      </c>
      <c r="K776" s="3">
        <v>5900</v>
      </c>
      <c r="L776" t="s">
        <v>58</v>
      </c>
      <c r="M776">
        <v>5</v>
      </c>
      <c r="N776">
        <v>3</v>
      </c>
      <c r="O776">
        <v>31</v>
      </c>
      <c r="P776" t="s">
        <v>21</v>
      </c>
      <c r="Q776" s="1"/>
      <c r="U776">
        <v>1</v>
      </c>
      <c r="V776">
        <v>1</v>
      </c>
      <c r="W776">
        <v>0</v>
      </c>
    </row>
    <row r="777" spans="1:23" ht="16.5" x14ac:dyDescent="0.3">
      <c r="A777" t="s">
        <v>844</v>
      </c>
      <c r="B777" t="s">
        <v>70</v>
      </c>
      <c r="C777" t="s">
        <v>25</v>
      </c>
      <c r="D777" t="s">
        <v>37</v>
      </c>
      <c r="E777">
        <v>30</v>
      </c>
      <c r="F777" t="s">
        <v>27</v>
      </c>
      <c r="G777" t="s">
        <v>38</v>
      </c>
      <c r="H777" s="1">
        <v>45598</v>
      </c>
      <c r="I777" s="2">
        <v>1.2</v>
      </c>
      <c r="J777" t="s">
        <v>29</v>
      </c>
      <c r="K777" s="3">
        <v>4700</v>
      </c>
      <c r="L777" t="s">
        <v>30</v>
      </c>
      <c r="M777">
        <v>3</v>
      </c>
      <c r="N777">
        <v>3</v>
      </c>
      <c r="O777">
        <v>28</v>
      </c>
      <c r="P777" t="s">
        <v>21</v>
      </c>
      <c r="Q777" s="1"/>
      <c r="U777">
        <v>1</v>
      </c>
      <c r="V777">
        <v>1</v>
      </c>
      <c r="W777">
        <v>0</v>
      </c>
    </row>
    <row r="778" spans="1:23" ht="16.5" x14ac:dyDescent="0.3">
      <c r="A778" t="s">
        <v>845</v>
      </c>
      <c r="B778" t="s">
        <v>48</v>
      </c>
      <c r="C778" t="s">
        <v>25</v>
      </c>
      <c r="D778" t="s">
        <v>37</v>
      </c>
      <c r="E778">
        <v>26</v>
      </c>
      <c r="F778" t="s">
        <v>27</v>
      </c>
      <c r="G778" t="s">
        <v>38</v>
      </c>
      <c r="H778" s="1">
        <v>45697</v>
      </c>
      <c r="I778" s="2">
        <v>0.9</v>
      </c>
      <c r="J778" t="s">
        <v>64</v>
      </c>
      <c r="K778" s="3">
        <v>7850</v>
      </c>
      <c r="L778" t="s">
        <v>30</v>
      </c>
      <c r="M778">
        <v>1</v>
      </c>
      <c r="N778">
        <v>4</v>
      </c>
      <c r="O778">
        <v>24</v>
      </c>
      <c r="P778" t="s">
        <v>21</v>
      </c>
      <c r="Q778" s="1"/>
      <c r="U778">
        <v>1</v>
      </c>
      <c r="V778">
        <v>1</v>
      </c>
      <c r="W778">
        <v>0</v>
      </c>
    </row>
    <row r="779" spans="1:23" ht="16.5" x14ac:dyDescent="0.3">
      <c r="A779" t="s">
        <v>846</v>
      </c>
      <c r="B779" t="s">
        <v>48</v>
      </c>
      <c r="C779" t="s">
        <v>45</v>
      </c>
      <c r="D779" t="s">
        <v>37</v>
      </c>
      <c r="E779">
        <v>49</v>
      </c>
      <c r="F779" t="s">
        <v>88</v>
      </c>
      <c r="G779" t="s">
        <v>38</v>
      </c>
      <c r="H779" s="1">
        <v>41467</v>
      </c>
      <c r="I779" s="2">
        <v>12.5</v>
      </c>
      <c r="J779" t="s">
        <v>39</v>
      </c>
      <c r="K779" s="3">
        <v>11100</v>
      </c>
      <c r="L779" t="s">
        <v>30</v>
      </c>
      <c r="M779">
        <v>5</v>
      </c>
      <c r="N779">
        <v>4</v>
      </c>
      <c r="O779">
        <v>30</v>
      </c>
      <c r="P779" t="s">
        <v>21</v>
      </c>
      <c r="Q779" s="1"/>
      <c r="U779">
        <v>1</v>
      </c>
      <c r="V779">
        <v>1</v>
      </c>
      <c r="W779">
        <v>0</v>
      </c>
    </row>
    <row r="780" spans="1:23" ht="16.5" x14ac:dyDescent="0.3">
      <c r="A780" t="s">
        <v>847</v>
      </c>
      <c r="B780" t="s">
        <v>35</v>
      </c>
      <c r="C780" t="s">
        <v>25</v>
      </c>
      <c r="D780" t="s">
        <v>37</v>
      </c>
      <c r="E780">
        <v>28</v>
      </c>
      <c r="F780" t="s">
        <v>27</v>
      </c>
      <c r="G780" t="s">
        <v>52</v>
      </c>
      <c r="H780" s="1">
        <v>45362</v>
      </c>
      <c r="I780" s="2">
        <v>1.8</v>
      </c>
      <c r="J780" t="s">
        <v>29</v>
      </c>
      <c r="K780" s="3">
        <v>3000</v>
      </c>
      <c r="L780" t="s">
        <v>30</v>
      </c>
      <c r="M780">
        <v>2</v>
      </c>
      <c r="N780">
        <v>4</v>
      </c>
      <c r="O780">
        <v>14</v>
      </c>
      <c r="P780" t="s">
        <v>21</v>
      </c>
      <c r="Q780" s="1"/>
      <c r="U780">
        <v>1</v>
      </c>
      <c r="V780">
        <v>1</v>
      </c>
      <c r="W780">
        <v>0</v>
      </c>
    </row>
    <row r="781" spans="1:23" ht="16.5" x14ac:dyDescent="0.3">
      <c r="A781" t="s">
        <v>848</v>
      </c>
      <c r="B781" t="s">
        <v>73</v>
      </c>
      <c r="C781" t="s">
        <v>25</v>
      </c>
      <c r="D781" t="s">
        <v>26</v>
      </c>
      <c r="E781">
        <v>24</v>
      </c>
      <c r="F781" t="s">
        <v>57</v>
      </c>
      <c r="G781" t="s">
        <v>28</v>
      </c>
      <c r="H781" s="1">
        <v>45370</v>
      </c>
      <c r="I781" s="2">
        <v>1.8</v>
      </c>
      <c r="J781" t="s">
        <v>29</v>
      </c>
      <c r="K781" s="3">
        <v>3900</v>
      </c>
      <c r="L781" t="s">
        <v>30</v>
      </c>
      <c r="M781">
        <v>2</v>
      </c>
      <c r="N781">
        <v>3</v>
      </c>
      <c r="O781">
        <v>27</v>
      </c>
      <c r="P781" t="s">
        <v>21</v>
      </c>
      <c r="Q781" s="1"/>
      <c r="U781">
        <v>1</v>
      </c>
      <c r="V781">
        <v>1</v>
      </c>
      <c r="W781">
        <v>0</v>
      </c>
    </row>
    <row r="782" spans="1:23" ht="16.5" x14ac:dyDescent="0.3">
      <c r="A782" t="s">
        <v>849</v>
      </c>
      <c r="B782" t="s">
        <v>35</v>
      </c>
      <c r="C782" t="s">
        <v>45</v>
      </c>
      <c r="D782" t="s">
        <v>26</v>
      </c>
      <c r="E782">
        <v>35</v>
      </c>
      <c r="F782" t="s">
        <v>27</v>
      </c>
      <c r="G782" t="s">
        <v>28</v>
      </c>
      <c r="H782" s="1">
        <v>44754</v>
      </c>
      <c r="I782" s="2">
        <v>3.5</v>
      </c>
      <c r="J782" t="s">
        <v>50</v>
      </c>
      <c r="K782" s="3">
        <v>6200</v>
      </c>
      <c r="L782" t="s">
        <v>58</v>
      </c>
      <c r="M782">
        <v>3</v>
      </c>
      <c r="N782">
        <v>3</v>
      </c>
      <c r="O782">
        <v>21</v>
      </c>
      <c r="P782" t="s">
        <v>21</v>
      </c>
      <c r="Q782" s="1"/>
      <c r="U782">
        <v>1</v>
      </c>
      <c r="V782">
        <v>1</v>
      </c>
      <c r="W782">
        <v>0</v>
      </c>
    </row>
    <row r="783" spans="1:23" ht="16.5" x14ac:dyDescent="0.3">
      <c r="A783" t="s">
        <v>850</v>
      </c>
      <c r="B783" t="s">
        <v>24</v>
      </c>
      <c r="C783" t="s">
        <v>87</v>
      </c>
      <c r="D783" t="s">
        <v>37</v>
      </c>
      <c r="E783">
        <v>46</v>
      </c>
      <c r="F783" t="s">
        <v>88</v>
      </c>
      <c r="G783" t="s">
        <v>52</v>
      </c>
      <c r="H783" s="1">
        <v>42017</v>
      </c>
      <c r="I783" s="2">
        <v>11</v>
      </c>
      <c r="J783" t="s">
        <v>39</v>
      </c>
      <c r="K783" s="3">
        <v>6850</v>
      </c>
      <c r="L783" t="s">
        <v>58</v>
      </c>
      <c r="M783">
        <v>4</v>
      </c>
      <c r="N783">
        <v>3</v>
      </c>
      <c r="O783">
        <v>21</v>
      </c>
      <c r="P783" t="s">
        <v>21</v>
      </c>
      <c r="Q783" s="1"/>
      <c r="U783">
        <v>1</v>
      </c>
      <c r="V783">
        <v>1</v>
      </c>
      <c r="W783">
        <v>0</v>
      </c>
    </row>
    <row r="784" spans="1:23" ht="16.5" x14ac:dyDescent="0.3">
      <c r="A784" t="s">
        <v>851</v>
      </c>
      <c r="B784" t="s">
        <v>70</v>
      </c>
      <c r="C784" t="s">
        <v>25</v>
      </c>
      <c r="D784" t="s">
        <v>37</v>
      </c>
      <c r="E784">
        <v>22</v>
      </c>
      <c r="F784" t="s">
        <v>57</v>
      </c>
      <c r="G784" t="s">
        <v>28</v>
      </c>
      <c r="H784" s="1">
        <v>45874</v>
      </c>
      <c r="I784" s="2">
        <v>0.4</v>
      </c>
      <c r="J784" t="s">
        <v>64</v>
      </c>
      <c r="K784" s="3">
        <v>5150</v>
      </c>
      <c r="L784" t="s">
        <v>30</v>
      </c>
      <c r="M784">
        <v>5</v>
      </c>
      <c r="N784">
        <v>3</v>
      </c>
      <c r="O784">
        <v>29</v>
      </c>
      <c r="P784" t="s">
        <v>21</v>
      </c>
      <c r="Q784" s="1"/>
      <c r="U784">
        <v>1</v>
      </c>
      <c r="V784">
        <v>1</v>
      </c>
      <c r="W784">
        <v>0</v>
      </c>
    </row>
    <row r="785" spans="1:23" ht="16.5" x14ac:dyDescent="0.3">
      <c r="A785" t="s">
        <v>852</v>
      </c>
      <c r="B785" t="s">
        <v>55</v>
      </c>
      <c r="C785" t="s">
        <v>45</v>
      </c>
      <c r="D785" t="s">
        <v>26</v>
      </c>
      <c r="E785">
        <v>37</v>
      </c>
      <c r="F785" t="s">
        <v>46</v>
      </c>
      <c r="G785" t="s">
        <v>38</v>
      </c>
      <c r="H785" s="1">
        <v>42479</v>
      </c>
      <c r="I785" s="2">
        <v>9.6999999999999993</v>
      </c>
      <c r="J785" t="s">
        <v>39</v>
      </c>
      <c r="K785" s="3">
        <v>9250</v>
      </c>
      <c r="L785" t="s">
        <v>30</v>
      </c>
      <c r="M785">
        <v>2</v>
      </c>
      <c r="N785">
        <v>4</v>
      </c>
      <c r="O785">
        <v>29</v>
      </c>
      <c r="P785" t="s">
        <v>21</v>
      </c>
      <c r="Q785" s="1"/>
      <c r="U785">
        <v>1</v>
      </c>
      <c r="V785">
        <v>1</v>
      </c>
      <c r="W785">
        <v>0</v>
      </c>
    </row>
    <row r="786" spans="1:23" ht="16.5" x14ac:dyDescent="0.3">
      <c r="A786" t="s">
        <v>853</v>
      </c>
      <c r="B786" t="s">
        <v>70</v>
      </c>
      <c r="C786" t="s">
        <v>45</v>
      </c>
      <c r="D786" t="s">
        <v>26</v>
      </c>
      <c r="E786">
        <v>36</v>
      </c>
      <c r="F786" t="s">
        <v>46</v>
      </c>
      <c r="G786" t="s">
        <v>38</v>
      </c>
      <c r="H786" s="1">
        <v>44318</v>
      </c>
      <c r="I786" s="2">
        <v>4.7</v>
      </c>
      <c r="J786" t="s">
        <v>50</v>
      </c>
      <c r="K786" s="3">
        <v>8700</v>
      </c>
      <c r="L786" t="s">
        <v>30</v>
      </c>
      <c r="M786">
        <v>5</v>
      </c>
      <c r="N786">
        <v>4</v>
      </c>
      <c r="O786">
        <v>26</v>
      </c>
      <c r="P786" t="s">
        <v>21</v>
      </c>
      <c r="Q786" s="1"/>
      <c r="U786">
        <v>1</v>
      </c>
      <c r="V786">
        <v>1</v>
      </c>
      <c r="W786">
        <v>0</v>
      </c>
    </row>
    <row r="787" spans="1:23" ht="16.5" x14ac:dyDescent="0.3">
      <c r="A787" t="s">
        <v>854</v>
      </c>
      <c r="B787" t="s">
        <v>35</v>
      </c>
      <c r="C787" t="s">
        <v>87</v>
      </c>
      <c r="D787" t="s">
        <v>26</v>
      </c>
      <c r="E787">
        <v>45</v>
      </c>
      <c r="F787" t="s">
        <v>46</v>
      </c>
      <c r="G787" t="s">
        <v>28</v>
      </c>
      <c r="H787" s="1">
        <v>45188</v>
      </c>
      <c r="I787" s="2">
        <v>2.2999999999999998</v>
      </c>
      <c r="J787" t="s">
        <v>29</v>
      </c>
      <c r="K787" s="3">
        <v>7100</v>
      </c>
      <c r="L787" t="s">
        <v>30</v>
      </c>
      <c r="M787">
        <v>4</v>
      </c>
      <c r="N787">
        <v>2</v>
      </c>
      <c r="O787">
        <v>24</v>
      </c>
      <c r="P787" t="s">
        <v>21</v>
      </c>
      <c r="Q787" s="1"/>
      <c r="U787">
        <v>1</v>
      </c>
      <c r="V787">
        <v>1</v>
      </c>
      <c r="W787">
        <v>0</v>
      </c>
    </row>
    <row r="788" spans="1:23" ht="16.5" x14ac:dyDescent="0.3">
      <c r="A788" t="s">
        <v>855</v>
      </c>
      <c r="B788" t="s">
        <v>70</v>
      </c>
      <c r="C788" t="s">
        <v>36</v>
      </c>
      <c r="D788" t="s">
        <v>37</v>
      </c>
      <c r="E788">
        <v>25</v>
      </c>
      <c r="F788" t="s">
        <v>57</v>
      </c>
      <c r="G788" t="s">
        <v>38</v>
      </c>
      <c r="H788" s="1">
        <v>45752</v>
      </c>
      <c r="I788" s="2">
        <v>0.7</v>
      </c>
      <c r="J788" t="s">
        <v>64</v>
      </c>
      <c r="K788" s="3">
        <v>6200</v>
      </c>
      <c r="L788" t="s">
        <v>58</v>
      </c>
      <c r="M788">
        <v>2</v>
      </c>
      <c r="N788">
        <v>3</v>
      </c>
      <c r="O788">
        <v>11</v>
      </c>
      <c r="P788" t="s">
        <v>21</v>
      </c>
      <c r="Q788" s="1"/>
      <c r="U788">
        <v>1</v>
      </c>
      <c r="V788">
        <v>1</v>
      </c>
      <c r="W788">
        <v>0</v>
      </c>
    </row>
    <row r="789" spans="1:23" ht="16.5" x14ac:dyDescent="0.3">
      <c r="A789" t="s">
        <v>856</v>
      </c>
      <c r="B789" t="s">
        <v>35</v>
      </c>
      <c r="C789" t="s">
        <v>25</v>
      </c>
      <c r="D789" t="s">
        <v>37</v>
      </c>
      <c r="E789">
        <v>21</v>
      </c>
      <c r="F789" t="s">
        <v>57</v>
      </c>
      <c r="G789" t="s">
        <v>38</v>
      </c>
      <c r="H789" s="1">
        <v>45921</v>
      </c>
      <c r="I789" s="2">
        <v>0</v>
      </c>
      <c r="J789" t="s">
        <v>64</v>
      </c>
      <c r="K789" s="3">
        <v>3750</v>
      </c>
      <c r="L789" t="s">
        <v>58</v>
      </c>
      <c r="M789">
        <v>4</v>
      </c>
      <c r="N789">
        <v>3</v>
      </c>
      <c r="O789">
        <v>33</v>
      </c>
      <c r="P789" t="s">
        <v>22</v>
      </c>
      <c r="Q789" s="1">
        <v>45939</v>
      </c>
      <c r="R789" t="s">
        <v>40</v>
      </c>
      <c r="S789" t="s">
        <v>206</v>
      </c>
      <c r="T789" t="s">
        <v>151</v>
      </c>
      <c r="U789">
        <v>1</v>
      </c>
      <c r="V789">
        <v>0</v>
      </c>
      <c r="W789">
        <v>1</v>
      </c>
    </row>
    <row r="790" spans="1:23" ht="16.5" x14ac:dyDescent="0.3">
      <c r="A790" t="s">
        <v>857</v>
      </c>
      <c r="B790" t="s">
        <v>70</v>
      </c>
      <c r="C790" t="s">
        <v>45</v>
      </c>
      <c r="D790" t="s">
        <v>37</v>
      </c>
      <c r="E790">
        <v>39</v>
      </c>
      <c r="F790" t="s">
        <v>46</v>
      </c>
      <c r="G790" t="s">
        <v>38</v>
      </c>
      <c r="H790" s="1">
        <v>42086</v>
      </c>
      <c r="I790" s="2">
        <v>10.8</v>
      </c>
      <c r="J790" t="s">
        <v>39</v>
      </c>
      <c r="K790" s="3">
        <v>7550</v>
      </c>
      <c r="L790" t="s">
        <v>58</v>
      </c>
      <c r="M790">
        <v>3</v>
      </c>
      <c r="N790">
        <v>3</v>
      </c>
      <c r="O790">
        <v>12</v>
      </c>
      <c r="P790" t="s">
        <v>21</v>
      </c>
      <c r="Q790" s="1"/>
      <c r="U790">
        <v>1</v>
      </c>
      <c r="V790">
        <v>1</v>
      </c>
      <c r="W790">
        <v>0</v>
      </c>
    </row>
    <row r="791" spans="1:23" ht="16.5" x14ac:dyDescent="0.3">
      <c r="A791" t="s">
        <v>858</v>
      </c>
      <c r="B791" t="s">
        <v>24</v>
      </c>
      <c r="C791" t="s">
        <v>25</v>
      </c>
      <c r="D791" t="s">
        <v>26</v>
      </c>
      <c r="E791">
        <v>32</v>
      </c>
      <c r="F791" t="s">
        <v>27</v>
      </c>
      <c r="G791" t="s">
        <v>38</v>
      </c>
      <c r="H791" s="1">
        <v>43677</v>
      </c>
      <c r="I791" s="2">
        <v>5.8</v>
      </c>
      <c r="J791" t="s">
        <v>39</v>
      </c>
      <c r="K791" s="3">
        <v>3100</v>
      </c>
      <c r="L791" t="s">
        <v>30</v>
      </c>
      <c r="M791">
        <v>5</v>
      </c>
      <c r="N791">
        <v>3</v>
      </c>
      <c r="O791">
        <v>13</v>
      </c>
      <c r="P791" t="s">
        <v>22</v>
      </c>
      <c r="Q791" s="1">
        <v>45813</v>
      </c>
      <c r="R791" t="s">
        <v>40</v>
      </c>
      <c r="S791" t="s">
        <v>32</v>
      </c>
      <c r="T791" t="s">
        <v>42</v>
      </c>
      <c r="U791">
        <v>1</v>
      </c>
      <c r="V791">
        <v>0</v>
      </c>
      <c r="W791">
        <v>1</v>
      </c>
    </row>
    <row r="792" spans="1:23" ht="16.5" x14ac:dyDescent="0.3">
      <c r="A792" t="s">
        <v>859</v>
      </c>
      <c r="B792" t="s">
        <v>24</v>
      </c>
      <c r="C792" t="s">
        <v>25</v>
      </c>
      <c r="D792" t="s">
        <v>37</v>
      </c>
      <c r="E792">
        <v>32</v>
      </c>
      <c r="F792" t="s">
        <v>27</v>
      </c>
      <c r="G792" t="s">
        <v>28</v>
      </c>
      <c r="H792" s="1">
        <v>45170</v>
      </c>
      <c r="I792" s="2">
        <v>2.2999999999999998</v>
      </c>
      <c r="J792" t="s">
        <v>29</v>
      </c>
      <c r="K792" s="3">
        <v>2800</v>
      </c>
      <c r="L792" t="s">
        <v>58</v>
      </c>
      <c r="M792">
        <v>4</v>
      </c>
      <c r="N792">
        <v>2</v>
      </c>
      <c r="O792">
        <v>32</v>
      </c>
      <c r="P792" t="s">
        <v>21</v>
      </c>
      <c r="Q792" s="1"/>
      <c r="U792">
        <v>1</v>
      </c>
      <c r="V792">
        <v>1</v>
      </c>
      <c r="W792">
        <v>0</v>
      </c>
    </row>
    <row r="793" spans="1:23" ht="16.5" x14ac:dyDescent="0.3">
      <c r="A793" t="s">
        <v>860</v>
      </c>
      <c r="B793" t="s">
        <v>70</v>
      </c>
      <c r="C793" t="s">
        <v>36</v>
      </c>
      <c r="D793" t="s">
        <v>26</v>
      </c>
      <c r="E793">
        <v>27</v>
      </c>
      <c r="F793" t="s">
        <v>27</v>
      </c>
      <c r="G793" t="s">
        <v>38</v>
      </c>
      <c r="H793" s="1">
        <v>45007</v>
      </c>
      <c r="I793" s="2">
        <v>2.8</v>
      </c>
      <c r="J793" t="s">
        <v>29</v>
      </c>
      <c r="K793" s="3">
        <v>3800</v>
      </c>
      <c r="L793" t="s">
        <v>30</v>
      </c>
      <c r="M793">
        <v>3</v>
      </c>
      <c r="N793">
        <v>4</v>
      </c>
      <c r="O793">
        <v>15</v>
      </c>
      <c r="P793" t="s">
        <v>21</v>
      </c>
      <c r="Q793" s="1"/>
      <c r="U793">
        <v>1</v>
      </c>
      <c r="V793">
        <v>1</v>
      </c>
      <c r="W793">
        <v>0</v>
      </c>
    </row>
    <row r="794" spans="1:23" ht="16.5" x14ac:dyDescent="0.3">
      <c r="A794" t="s">
        <v>861</v>
      </c>
      <c r="B794" t="s">
        <v>24</v>
      </c>
      <c r="C794" t="s">
        <v>25</v>
      </c>
      <c r="D794" t="s">
        <v>37</v>
      </c>
      <c r="E794">
        <v>27</v>
      </c>
      <c r="F794" t="s">
        <v>27</v>
      </c>
      <c r="G794" t="s">
        <v>52</v>
      </c>
      <c r="H794" s="1">
        <v>45513</v>
      </c>
      <c r="I794" s="2">
        <v>1.4</v>
      </c>
      <c r="J794" t="s">
        <v>29</v>
      </c>
      <c r="K794" s="3">
        <v>2850</v>
      </c>
      <c r="L794" t="s">
        <v>30</v>
      </c>
      <c r="M794">
        <v>4</v>
      </c>
      <c r="N794">
        <v>2</v>
      </c>
      <c r="O794">
        <v>29</v>
      </c>
      <c r="P794" t="s">
        <v>21</v>
      </c>
      <c r="Q794" s="1"/>
      <c r="U794">
        <v>1</v>
      </c>
      <c r="V794">
        <v>1</v>
      </c>
      <c r="W794">
        <v>0</v>
      </c>
    </row>
    <row r="795" spans="1:23" ht="16.5" x14ac:dyDescent="0.3">
      <c r="A795" t="s">
        <v>862</v>
      </c>
      <c r="B795" t="s">
        <v>48</v>
      </c>
      <c r="C795" t="s">
        <v>25</v>
      </c>
      <c r="D795" t="s">
        <v>37</v>
      </c>
      <c r="E795">
        <v>36</v>
      </c>
      <c r="F795" t="s">
        <v>46</v>
      </c>
      <c r="G795" t="s">
        <v>28</v>
      </c>
      <c r="H795" s="1">
        <v>44114</v>
      </c>
      <c r="I795" s="2">
        <v>5.2</v>
      </c>
      <c r="J795" t="s">
        <v>39</v>
      </c>
      <c r="K795" s="3">
        <v>5750</v>
      </c>
      <c r="L795" t="s">
        <v>30</v>
      </c>
      <c r="M795">
        <v>4</v>
      </c>
      <c r="N795">
        <v>3</v>
      </c>
      <c r="O795">
        <v>34</v>
      </c>
      <c r="P795" t="s">
        <v>21</v>
      </c>
      <c r="Q795" s="1"/>
      <c r="U795">
        <v>1</v>
      </c>
      <c r="V795">
        <v>1</v>
      </c>
      <c r="W795">
        <v>0</v>
      </c>
    </row>
    <row r="796" spans="1:23" ht="16.5" x14ac:dyDescent="0.3">
      <c r="A796" t="s">
        <v>863</v>
      </c>
      <c r="B796" t="s">
        <v>48</v>
      </c>
      <c r="C796" t="s">
        <v>25</v>
      </c>
      <c r="D796" t="s">
        <v>37</v>
      </c>
      <c r="E796">
        <v>35</v>
      </c>
      <c r="F796" t="s">
        <v>27</v>
      </c>
      <c r="G796" t="s">
        <v>38</v>
      </c>
      <c r="H796" s="1">
        <v>43292</v>
      </c>
      <c r="I796" s="2">
        <v>7.5</v>
      </c>
      <c r="J796" t="s">
        <v>39</v>
      </c>
      <c r="K796" s="3">
        <v>6000</v>
      </c>
      <c r="L796" t="s">
        <v>58</v>
      </c>
      <c r="M796">
        <v>3</v>
      </c>
      <c r="N796">
        <v>3</v>
      </c>
      <c r="O796">
        <v>18</v>
      </c>
      <c r="P796" t="s">
        <v>21</v>
      </c>
      <c r="Q796" s="1"/>
      <c r="U796">
        <v>1</v>
      </c>
      <c r="V796">
        <v>1</v>
      </c>
      <c r="W796">
        <v>0</v>
      </c>
    </row>
    <row r="797" spans="1:23" ht="16.5" x14ac:dyDescent="0.3">
      <c r="A797" t="s">
        <v>864</v>
      </c>
      <c r="B797" t="s">
        <v>48</v>
      </c>
      <c r="C797" t="s">
        <v>25</v>
      </c>
      <c r="D797" t="s">
        <v>26</v>
      </c>
      <c r="E797">
        <v>28</v>
      </c>
      <c r="F797" t="s">
        <v>27</v>
      </c>
      <c r="G797" t="s">
        <v>28</v>
      </c>
      <c r="H797" s="1">
        <v>44699</v>
      </c>
      <c r="I797" s="2">
        <v>3.6</v>
      </c>
      <c r="J797" t="s">
        <v>50</v>
      </c>
      <c r="K797" s="3">
        <v>6450</v>
      </c>
      <c r="L797" t="s">
        <v>30</v>
      </c>
      <c r="M797">
        <v>3</v>
      </c>
      <c r="N797">
        <v>3</v>
      </c>
      <c r="O797">
        <v>27</v>
      </c>
      <c r="P797" t="s">
        <v>21</v>
      </c>
      <c r="Q797" s="1"/>
      <c r="U797">
        <v>1</v>
      </c>
      <c r="V797">
        <v>1</v>
      </c>
      <c r="W797">
        <v>0</v>
      </c>
    </row>
    <row r="798" spans="1:23" ht="16.5" x14ac:dyDescent="0.3">
      <c r="A798" t="s">
        <v>865</v>
      </c>
      <c r="B798" t="s">
        <v>24</v>
      </c>
      <c r="C798" t="s">
        <v>25</v>
      </c>
      <c r="D798" t="s">
        <v>26</v>
      </c>
      <c r="E798">
        <v>22</v>
      </c>
      <c r="F798" t="s">
        <v>57</v>
      </c>
      <c r="G798" t="s">
        <v>28</v>
      </c>
      <c r="H798" s="1">
        <v>45766</v>
      </c>
      <c r="I798" s="2">
        <v>0.5</v>
      </c>
      <c r="J798" t="s">
        <v>64</v>
      </c>
      <c r="K798" s="3">
        <v>3050</v>
      </c>
      <c r="L798" t="s">
        <v>58</v>
      </c>
      <c r="M798">
        <v>2</v>
      </c>
      <c r="N798">
        <v>4</v>
      </c>
      <c r="O798">
        <v>30</v>
      </c>
      <c r="P798" t="s">
        <v>22</v>
      </c>
      <c r="Q798" s="1">
        <v>45959</v>
      </c>
      <c r="R798" t="s">
        <v>40</v>
      </c>
      <c r="S798" t="s">
        <v>206</v>
      </c>
      <c r="T798" t="s">
        <v>60</v>
      </c>
      <c r="U798">
        <v>1</v>
      </c>
      <c r="V798">
        <v>0</v>
      </c>
      <c r="W798">
        <v>1</v>
      </c>
    </row>
    <row r="799" spans="1:23" ht="16.5" x14ac:dyDescent="0.3">
      <c r="A799" t="s">
        <v>866</v>
      </c>
      <c r="B799" t="s">
        <v>73</v>
      </c>
      <c r="C799" t="s">
        <v>45</v>
      </c>
      <c r="D799" t="s">
        <v>37</v>
      </c>
      <c r="E799">
        <v>35</v>
      </c>
      <c r="F799" t="s">
        <v>27</v>
      </c>
      <c r="G799" t="s">
        <v>38</v>
      </c>
      <c r="H799" s="1">
        <v>44624</v>
      </c>
      <c r="I799" s="2">
        <v>3.8</v>
      </c>
      <c r="J799" t="s">
        <v>50</v>
      </c>
      <c r="K799" s="3">
        <v>7800</v>
      </c>
      <c r="L799" t="s">
        <v>30</v>
      </c>
      <c r="M799">
        <v>4</v>
      </c>
      <c r="N799">
        <v>3</v>
      </c>
      <c r="O799">
        <v>9</v>
      </c>
      <c r="P799" t="s">
        <v>21</v>
      </c>
      <c r="Q799" s="1"/>
      <c r="U799">
        <v>1</v>
      </c>
      <c r="V799">
        <v>1</v>
      </c>
      <c r="W799">
        <v>0</v>
      </c>
    </row>
    <row r="800" spans="1:23" ht="16.5" x14ac:dyDescent="0.3">
      <c r="A800" t="s">
        <v>867</v>
      </c>
      <c r="B800" t="s">
        <v>35</v>
      </c>
      <c r="C800" t="s">
        <v>25</v>
      </c>
      <c r="D800" t="s">
        <v>37</v>
      </c>
      <c r="E800">
        <v>21</v>
      </c>
      <c r="F800" t="s">
        <v>57</v>
      </c>
      <c r="G800" t="s">
        <v>38</v>
      </c>
      <c r="H800" s="1">
        <v>45959</v>
      </c>
      <c r="I800" s="2">
        <v>0.2</v>
      </c>
      <c r="J800" t="s">
        <v>64</v>
      </c>
      <c r="K800" s="3">
        <v>3500</v>
      </c>
      <c r="L800" t="s">
        <v>58</v>
      </c>
      <c r="M800">
        <v>5</v>
      </c>
      <c r="N800">
        <v>3</v>
      </c>
      <c r="O800">
        <v>40</v>
      </c>
      <c r="P800" t="s">
        <v>21</v>
      </c>
      <c r="Q800" s="1"/>
      <c r="U800">
        <v>1</v>
      </c>
      <c r="V800">
        <v>1</v>
      </c>
      <c r="W800">
        <v>0</v>
      </c>
    </row>
    <row r="801" spans="1:23" ht="16.5" x14ac:dyDescent="0.3">
      <c r="A801" t="s">
        <v>868</v>
      </c>
      <c r="B801" t="s">
        <v>44</v>
      </c>
      <c r="C801" t="s">
        <v>25</v>
      </c>
      <c r="D801" t="s">
        <v>37</v>
      </c>
      <c r="E801">
        <v>30</v>
      </c>
      <c r="F801" t="s">
        <v>27</v>
      </c>
      <c r="G801" t="s">
        <v>28</v>
      </c>
      <c r="H801" s="1">
        <v>43966</v>
      </c>
      <c r="I801" s="2">
        <v>5.6</v>
      </c>
      <c r="J801" t="s">
        <v>39</v>
      </c>
      <c r="K801" s="3">
        <v>4950</v>
      </c>
      <c r="L801" t="s">
        <v>30</v>
      </c>
      <c r="M801">
        <v>2</v>
      </c>
      <c r="N801">
        <v>4</v>
      </c>
      <c r="O801">
        <v>18</v>
      </c>
      <c r="P801" t="s">
        <v>21</v>
      </c>
      <c r="Q801" s="1"/>
      <c r="U801">
        <v>1</v>
      </c>
      <c r="V801">
        <v>1</v>
      </c>
      <c r="W801">
        <v>0</v>
      </c>
    </row>
    <row r="802" spans="1:23" ht="16.5" x14ac:dyDescent="0.3">
      <c r="A802" t="s">
        <v>869</v>
      </c>
      <c r="B802" t="s">
        <v>24</v>
      </c>
      <c r="C802" t="s">
        <v>25</v>
      </c>
      <c r="D802" t="s">
        <v>37</v>
      </c>
      <c r="E802">
        <v>25</v>
      </c>
      <c r="F802" t="s">
        <v>57</v>
      </c>
      <c r="G802" t="s">
        <v>28</v>
      </c>
      <c r="H802" s="1">
        <v>45339</v>
      </c>
      <c r="I802" s="2">
        <v>1.9</v>
      </c>
      <c r="J802" t="s">
        <v>29</v>
      </c>
      <c r="K802" s="3">
        <v>2900</v>
      </c>
      <c r="L802" t="s">
        <v>30</v>
      </c>
      <c r="M802">
        <v>3</v>
      </c>
      <c r="N802">
        <v>4</v>
      </c>
      <c r="O802">
        <v>9</v>
      </c>
      <c r="P802" t="s">
        <v>21</v>
      </c>
      <c r="Q802" s="1"/>
      <c r="U802">
        <v>1</v>
      </c>
      <c r="V802">
        <v>1</v>
      </c>
      <c r="W802">
        <v>0</v>
      </c>
    </row>
    <row r="803" spans="1:23" ht="16.5" x14ac:dyDescent="0.3">
      <c r="A803" t="s">
        <v>870</v>
      </c>
      <c r="B803" t="s">
        <v>73</v>
      </c>
      <c r="C803" t="s">
        <v>25</v>
      </c>
      <c r="D803" t="s">
        <v>37</v>
      </c>
      <c r="E803">
        <v>33</v>
      </c>
      <c r="F803" t="s">
        <v>27</v>
      </c>
      <c r="G803" t="s">
        <v>28</v>
      </c>
      <c r="H803" s="1">
        <v>43591</v>
      </c>
      <c r="I803" s="2">
        <v>5.0999999999999996</v>
      </c>
      <c r="J803" t="s">
        <v>39</v>
      </c>
      <c r="K803" s="3">
        <v>4350</v>
      </c>
      <c r="L803" t="s">
        <v>58</v>
      </c>
      <c r="M803">
        <v>3</v>
      </c>
      <c r="N803">
        <v>4</v>
      </c>
      <c r="O803">
        <v>33</v>
      </c>
      <c r="P803" t="s">
        <v>22</v>
      </c>
      <c r="Q803" s="1">
        <v>45464</v>
      </c>
      <c r="R803" t="s">
        <v>31</v>
      </c>
      <c r="S803" t="s">
        <v>32</v>
      </c>
      <c r="T803" t="s">
        <v>151</v>
      </c>
      <c r="U803">
        <v>1</v>
      </c>
      <c r="V803">
        <v>0</v>
      </c>
      <c r="W803">
        <v>1</v>
      </c>
    </row>
    <row r="804" spans="1:23" ht="16.5" x14ac:dyDescent="0.3">
      <c r="A804" t="s">
        <v>871</v>
      </c>
      <c r="B804" t="s">
        <v>24</v>
      </c>
      <c r="C804" t="s">
        <v>36</v>
      </c>
      <c r="D804" t="s">
        <v>37</v>
      </c>
      <c r="E804">
        <v>30</v>
      </c>
      <c r="F804" t="s">
        <v>27</v>
      </c>
      <c r="G804" t="s">
        <v>38</v>
      </c>
      <c r="H804" s="1">
        <v>44039</v>
      </c>
      <c r="I804" s="2">
        <v>5.4</v>
      </c>
      <c r="J804" t="s">
        <v>39</v>
      </c>
      <c r="K804" s="3">
        <v>3700</v>
      </c>
      <c r="L804" t="s">
        <v>30</v>
      </c>
      <c r="M804">
        <v>3</v>
      </c>
      <c r="N804">
        <v>3</v>
      </c>
      <c r="O804">
        <v>35</v>
      </c>
      <c r="P804" t="s">
        <v>21</v>
      </c>
      <c r="Q804" s="1"/>
      <c r="U804">
        <v>1</v>
      </c>
      <c r="V804">
        <v>1</v>
      </c>
      <c r="W804">
        <v>0</v>
      </c>
    </row>
    <row r="805" spans="1:23" ht="16.5" x14ac:dyDescent="0.3">
      <c r="A805" t="s">
        <v>872</v>
      </c>
      <c r="B805" t="s">
        <v>70</v>
      </c>
      <c r="C805" t="s">
        <v>36</v>
      </c>
      <c r="D805" t="s">
        <v>26</v>
      </c>
      <c r="E805">
        <v>30</v>
      </c>
      <c r="F805" t="s">
        <v>27</v>
      </c>
      <c r="G805" t="s">
        <v>28</v>
      </c>
      <c r="H805" s="1">
        <v>44025</v>
      </c>
      <c r="I805" s="2">
        <v>5.0999999999999996</v>
      </c>
      <c r="J805" t="s">
        <v>39</v>
      </c>
      <c r="K805" s="3">
        <v>5400</v>
      </c>
      <c r="L805" t="s">
        <v>30</v>
      </c>
      <c r="M805">
        <v>3</v>
      </c>
      <c r="N805">
        <v>3</v>
      </c>
      <c r="O805">
        <v>24</v>
      </c>
      <c r="P805" t="s">
        <v>22</v>
      </c>
      <c r="Q805" s="1">
        <v>45876</v>
      </c>
      <c r="R805" t="s">
        <v>40</v>
      </c>
      <c r="S805" t="s">
        <v>41</v>
      </c>
      <c r="T805" t="s">
        <v>42</v>
      </c>
      <c r="U805">
        <v>1</v>
      </c>
      <c r="V805">
        <v>0</v>
      </c>
      <c r="W805">
        <v>1</v>
      </c>
    </row>
    <row r="806" spans="1:23" ht="16.5" x14ac:dyDescent="0.3">
      <c r="A806" t="s">
        <v>873</v>
      </c>
      <c r="B806" t="s">
        <v>48</v>
      </c>
      <c r="C806" t="s">
        <v>87</v>
      </c>
      <c r="D806" t="s">
        <v>37</v>
      </c>
      <c r="E806">
        <v>48</v>
      </c>
      <c r="F806" t="s">
        <v>88</v>
      </c>
      <c r="G806" t="s">
        <v>38</v>
      </c>
      <c r="H806" s="1">
        <v>44951</v>
      </c>
      <c r="I806" s="2">
        <v>2.9</v>
      </c>
      <c r="J806" t="s">
        <v>29</v>
      </c>
      <c r="K806" s="3">
        <v>16350</v>
      </c>
      <c r="L806" t="s">
        <v>30</v>
      </c>
      <c r="M806">
        <v>3</v>
      </c>
      <c r="N806">
        <v>4</v>
      </c>
      <c r="O806">
        <v>26</v>
      </c>
      <c r="P806" t="s">
        <v>21</v>
      </c>
      <c r="Q806" s="1"/>
      <c r="U806">
        <v>1</v>
      </c>
      <c r="V806">
        <v>1</v>
      </c>
      <c r="W806">
        <v>0</v>
      </c>
    </row>
    <row r="807" spans="1:23" ht="16.5" x14ac:dyDescent="0.3">
      <c r="A807" t="s">
        <v>874</v>
      </c>
      <c r="B807" t="s">
        <v>44</v>
      </c>
      <c r="C807" t="s">
        <v>45</v>
      </c>
      <c r="D807" t="s">
        <v>37</v>
      </c>
      <c r="E807">
        <v>32</v>
      </c>
      <c r="F807" t="s">
        <v>27</v>
      </c>
      <c r="G807" t="s">
        <v>52</v>
      </c>
      <c r="H807" s="1">
        <v>45443</v>
      </c>
      <c r="I807" s="2">
        <v>1.6</v>
      </c>
      <c r="J807" t="s">
        <v>29</v>
      </c>
      <c r="K807" s="3">
        <v>9750</v>
      </c>
      <c r="L807" t="s">
        <v>30</v>
      </c>
      <c r="M807">
        <v>3</v>
      </c>
      <c r="N807">
        <v>3</v>
      </c>
      <c r="O807">
        <v>26</v>
      </c>
      <c r="P807" t="s">
        <v>21</v>
      </c>
      <c r="Q807" s="1"/>
      <c r="U807">
        <v>1</v>
      </c>
      <c r="V807">
        <v>1</v>
      </c>
      <c r="W807">
        <v>0</v>
      </c>
    </row>
    <row r="808" spans="1:23" ht="16.5" x14ac:dyDescent="0.3">
      <c r="A808" t="s">
        <v>875</v>
      </c>
      <c r="B808" t="s">
        <v>73</v>
      </c>
      <c r="C808" t="s">
        <v>87</v>
      </c>
      <c r="D808" t="s">
        <v>26</v>
      </c>
      <c r="E808">
        <v>50</v>
      </c>
      <c r="F808" t="s">
        <v>88</v>
      </c>
      <c r="G808" t="s">
        <v>38</v>
      </c>
      <c r="H808" s="1">
        <v>43876</v>
      </c>
      <c r="I808" s="2">
        <v>5.9</v>
      </c>
      <c r="J808" t="s">
        <v>39</v>
      </c>
      <c r="K808" s="3">
        <v>9650</v>
      </c>
      <c r="L808" t="s">
        <v>30</v>
      </c>
      <c r="M808">
        <v>5</v>
      </c>
      <c r="N808">
        <v>3</v>
      </c>
      <c r="O808">
        <v>19</v>
      </c>
      <c r="P808" t="s">
        <v>21</v>
      </c>
      <c r="Q808" s="1"/>
      <c r="U808">
        <v>1</v>
      </c>
      <c r="V808">
        <v>1</v>
      </c>
      <c r="W808">
        <v>0</v>
      </c>
    </row>
    <row r="809" spans="1:23" ht="16.5" x14ac:dyDescent="0.3">
      <c r="A809" t="s">
        <v>876</v>
      </c>
      <c r="B809" t="s">
        <v>70</v>
      </c>
      <c r="C809" t="s">
        <v>45</v>
      </c>
      <c r="D809" t="s">
        <v>26</v>
      </c>
      <c r="E809">
        <v>39</v>
      </c>
      <c r="F809" t="s">
        <v>46</v>
      </c>
      <c r="G809" t="s">
        <v>28</v>
      </c>
      <c r="H809" s="1">
        <v>44960</v>
      </c>
      <c r="I809" s="2">
        <v>1.9</v>
      </c>
      <c r="J809" t="s">
        <v>29</v>
      </c>
      <c r="K809" s="3">
        <v>7250</v>
      </c>
      <c r="L809" t="s">
        <v>30</v>
      </c>
      <c r="M809">
        <v>4</v>
      </c>
      <c r="N809">
        <v>3</v>
      </c>
      <c r="O809">
        <v>16</v>
      </c>
      <c r="P809" t="s">
        <v>22</v>
      </c>
      <c r="Q809" s="1">
        <v>45671</v>
      </c>
      <c r="R809" t="s">
        <v>40</v>
      </c>
      <c r="S809" t="s">
        <v>107</v>
      </c>
      <c r="T809" t="s">
        <v>60</v>
      </c>
      <c r="U809">
        <v>1</v>
      </c>
      <c r="V809">
        <v>0</v>
      </c>
      <c r="W809">
        <v>1</v>
      </c>
    </row>
    <row r="810" spans="1:23" ht="16.5" x14ac:dyDescent="0.3">
      <c r="A810" t="s">
        <v>877</v>
      </c>
      <c r="B810" t="s">
        <v>44</v>
      </c>
      <c r="C810" t="s">
        <v>25</v>
      </c>
      <c r="D810" t="s">
        <v>37</v>
      </c>
      <c r="E810">
        <v>25</v>
      </c>
      <c r="F810" t="s">
        <v>57</v>
      </c>
      <c r="G810" t="s">
        <v>38</v>
      </c>
      <c r="H810" s="1">
        <v>45180</v>
      </c>
      <c r="I810" s="2">
        <v>1.8</v>
      </c>
      <c r="J810" t="s">
        <v>29</v>
      </c>
      <c r="K810" s="3">
        <v>5450</v>
      </c>
      <c r="L810" t="s">
        <v>58</v>
      </c>
      <c r="M810">
        <v>1</v>
      </c>
      <c r="N810">
        <v>4</v>
      </c>
      <c r="O810">
        <v>23</v>
      </c>
      <c r="P810" t="s">
        <v>22</v>
      </c>
      <c r="Q810" s="1">
        <v>45845</v>
      </c>
      <c r="R810" t="s">
        <v>40</v>
      </c>
      <c r="S810" t="s">
        <v>84</v>
      </c>
      <c r="T810" t="s">
        <v>42</v>
      </c>
      <c r="U810">
        <v>1</v>
      </c>
      <c r="V810">
        <v>0</v>
      </c>
      <c r="W810">
        <v>1</v>
      </c>
    </row>
    <row r="811" spans="1:23" ht="16.5" x14ac:dyDescent="0.3">
      <c r="A811" t="s">
        <v>878</v>
      </c>
      <c r="B811" t="s">
        <v>35</v>
      </c>
      <c r="C811" t="s">
        <v>36</v>
      </c>
      <c r="D811" t="s">
        <v>37</v>
      </c>
      <c r="E811">
        <v>26</v>
      </c>
      <c r="F811" t="s">
        <v>27</v>
      </c>
      <c r="G811" t="s">
        <v>38</v>
      </c>
      <c r="H811" s="1">
        <v>45092</v>
      </c>
      <c r="I811" s="2">
        <v>2.5</v>
      </c>
      <c r="J811" t="s">
        <v>29</v>
      </c>
      <c r="K811" s="3">
        <v>3950</v>
      </c>
      <c r="L811" t="s">
        <v>30</v>
      </c>
      <c r="M811">
        <v>2</v>
      </c>
      <c r="N811">
        <v>3</v>
      </c>
      <c r="O811">
        <v>16</v>
      </c>
      <c r="P811" t="s">
        <v>21</v>
      </c>
      <c r="Q811" s="1"/>
      <c r="U811">
        <v>1</v>
      </c>
      <c r="V811">
        <v>1</v>
      </c>
      <c r="W811">
        <v>0</v>
      </c>
    </row>
    <row r="812" spans="1:23" ht="16.5" x14ac:dyDescent="0.3">
      <c r="A812" t="s">
        <v>879</v>
      </c>
      <c r="B812" t="s">
        <v>70</v>
      </c>
      <c r="C812" t="s">
        <v>87</v>
      </c>
      <c r="D812" t="s">
        <v>37</v>
      </c>
      <c r="E812">
        <v>47</v>
      </c>
      <c r="F812" t="s">
        <v>88</v>
      </c>
      <c r="G812" t="s">
        <v>38</v>
      </c>
      <c r="H812" s="1">
        <v>40659</v>
      </c>
      <c r="I812" s="2">
        <v>14.7</v>
      </c>
      <c r="J812" t="s">
        <v>39</v>
      </c>
      <c r="K812" s="3">
        <v>8700</v>
      </c>
      <c r="L812" t="s">
        <v>58</v>
      </c>
      <c r="M812">
        <v>3</v>
      </c>
      <c r="N812">
        <v>3</v>
      </c>
      <c r="O812">
        <v>28</v>
      </c>
      <c r="P812" t="s">
        <v>21</v>
      </c>
      <c r="Q812" s="1"/>
      <c r="U812">
        <v>1</v>
      </c>
      <c r="V812">
        <v>1</v>
      </c>
      <c r="W812">
        <v>0</v>
      </c>
    </row>
    <row r="813" spans="1:23" ht="16.5" x14ac:dyDescent="0.3">
      <c r="A813" t="s">
        <v>880</v>
      </c>
      <c r="B813" t="s">
        <v>35</v>
      </c>
      <c r="C813" t="s">
        <v>25</v>
      </c>
      <c r="D813" t="s">
        <v>37</v>
      </c>
      <c r="E813">
        <v>23</v>
      </c>
      <c r="F813" t="s">
        <v>57</v>
      </c>
      <c r="G813" t="s">
        <v>38</v>
      </c>
      <c r="H813" s="1">
        <v>45604</v>
      </c>
      <c r="I813" s="2">
        <v>0.4</v>
      </c>
      <c r="J813" t="s">
        <v>64</v>
      </c>
      <c r="K813" s="3">
        <v>2500</v>
      </c>
      <c r="L813" t="s">
        <v>30</v>
      </c>
      <c r="M813">
        <v>4</v>
      </c>
      <c r="N813">
        <v>4</v>
      </c>
      <c r="O813">
        <v>23</v>
      </c>
      <c r="P813" t="s">
        <v>22</v>
      </c>
      <c r="Q813" s="1">
        <v>45744</v>
      </c>
      <c r="R813" t="s">
        <v>40</v>
      </c>
      <c r="S813" t="s">
        <v>59</v>
      </c>
      <c r="T813" t="s">
        <v>33</v>
      </c>
      <c r="U813">
        <v>1</v>
      </c>
      <c r="V813">
        <v>0</v>
      </c>
      <c r="W813">
        <v>1</v>
      </c>
    </row>
    <row r="814" spans="1:23" ht="16.5" x14ac:dyDescent="0.3">
      <c r="A814" t="s">
        <v>881</v>
      </c>
      <c r="B814" t="s">
        <v>48</v>
      </c>
      <c r="C814" t="s">
        <v>25</v>
      </c>
      <c r="D814" t="s">
        <v>26</v>
      </c>
      <c r="E814">
        <v>21</v>
      </c>
      <c r="F814" t="s">
        <v>57</v>
      </c>
      <c r="G814" t="s">
        <v>52</v>
      </c>
      <c r="H814" s="1">
        <v>45920</v>
      </c>
      <c r="I814" s="2">
        <v>0.1</v>
      </c>
      <c r="J814" t="s">
        <v>64</v>
      </c>
      <c r="K814" s="3">
        <v>5800</v>
      </c>
      <c r="L814" t="s">
        <v>30</v>
      </c>
      <c r="M814">
        <v>3</v>
      </c>
      <c r="N814">
        <v>3</v>
      </c>
      <c r="O814">
        <v>32</v>
      </c>
      <c r="P814" t="s">
        <v>22</v>
      </c>
      <c r="Q814" s="1">
        <v>45946</v>
      </c>
      <c r="R814" t="s">
        <v>40</v>
      </c>
      <c r="S814" t="s">
        <v>206</v>
      </c>
      <c r="T814" t="s">
        <v>42</v>
      </c>
      <c r="U814">
        <v>1</v>
      </c>
      <c r="V814">
        <v>0</v>
      </c>
      <c r="W814">
        <v>1</v>
      </c>
    </row>
    <row r="815" spans="1:23" ht="16.5" x14ac:dyDescent="0.3">
      <c r="A815" t="s">
        <v>882</v>
      </c>
      <c r="B815" t="s">
        <v>24</v>
      </c>
      <c r="C815" t="s">
        <v>36</v>
      </c>
      <c r="D815" t="s">
        <v>37</v>
      </c>
      <c r="E815">
        <v>34</v>
      </c>
      <c r="F815" t="s">
        <v>27</v>
      </c>
      <c r="G815" t="s">
        <v>38</v>
      </c>
      <c r="H815" s="1">
        <v>42760</v>
      </c>
      <c r="I815" s="2">
        <v>8.9</v>
      </c>
      <c r="J815" t="s">
        <v>39</v>
      </c>
      <c r="K815" s="3">
        <v>3700</v>
      </c>
      <c r="L815" t="s">
        <v>58</v>
      </c>
      <c r="M815">
        <v>3</v>
      </c>
      <c r="N815">
        <v>3</v>
      </c>
      <c r="O815">
        <v>28</v>
      </c>
      <c r="P815" t="s">
        <v>21</v>
      </c>
      <c r="Q815" s="1"/>
      <c r="U815">
        <v>1</v>
      </c>
      <c r="V815">
        <v>1</v>
      </c>
      <c r="W815">
        <v>0</v>
      </c>
    </row>
    <row r="816" spans="1:23" ht="16.5" x14ac:dyDescent="0.3">
      <c r="A816" t="s">
        <v>883</v>
      </c>
      <c r="B816" t="s">
        <v>48</v>
      </c>
      <c r="C816" t="s">
        <v>36</v>
      </c>
      <c r="D816" t="s">
        <v>26</v>
      </c>
      <c r="E816">
        <v>30</v>
      </c>
      <c r="F816" t="s">
        <v>27</v>
      </c>
      <c r="G816" t="s">
        <v>28</v>
      </c>
      <c r="H816" s="1">
        <v>43678</v>
      </c>
      <c r="I816" s="2">
        <v>5.2</v>
      </c>
      <c r="J816" t="s">
        <v>39</v>
      </c>
      <c r="K816" s="3">
        <v>6350</v>
      </c>
      <c r="L816" t="s">
        <v>30</v>
      </c>
      <c r="M816">
        <v>1</v>
      </c>
      <c r="N816">
        <v>3</v>
      </c>
      <c r="O816">
        <v>25</v>
      </c>
      <c r="P816" t="s">
        <v>22</v>
      </c>
      <c r="Q816" s="1">
        <v>45591</v>
      </c>
      <c r="R816" t="s">
        <v>31</v>
      </c>
      <c r="S816" t="s">
        <v>206</v>
      </c>
      <c r="T816" t="s">
        <v>33</v>
      </c>
      <c r="U816">
        <v>1</v>
      </c>
      <c r="V816">
        <v>0</v>
      </c>
      <c r="W816">
        <v>1</v>
      </c>
    </row>
    <row r="817" spans="1:23" ht="16.5" x14ac:dyDescent="0.3">
      <c r="A817" t="s">
        <v>884</v>
      </c>
      <c r="B817" t="s">
        <v>24</v>
      </c>
      <c r="C817" t="s">
        <v>36</v>
      </c>
      <c r="D817" t="s">
        <v>26</v>
      </c>
      <c r="E817">
        <v>44</v>
      </c>
      <c r="F817" t="s">
        <v>46</v>
      </c>
      <c r="G817" t="s">
        <v>28</v>
      </c>
      <c r="H817" s="1">
        <v>42751</v>
      </c>
      <c r="I817" s="2">
        <v>9</v>
      </c>
      <c r="J817" t="s">
        <v>39</v>
      </c>
      <c r="K817" s="3">
        <v>3500</v>
      </c>
      <c r="L817" t="s">
        <v>30</v>
      </c>
      <c r="M817">
        <v>4</v>
      </c>
      <c r="N817">
        <v>2</v>
      </c>
      <c r="O817">
        <v>36</v>
      </c>
      <c r="P817" t="s">
        <v>21</v>
      </c>
      <c r="Q817" s="1"/>
      <c r="U817">
        <v>1</v>
      </c>
      <c r="V817">
        <v>1</v>
      </c>
      <c r="W817">
        <v>0</v>
      </c>
    </row>
    <row r="818" spans="1:23" ht="16.5" x14ac:dyDescent="0.3">
      <c r="A818" t="s">
        <v>885</v>
      </c>
      <c r="B818" t="s">
        <v>24</v>
      </c>
      <c r="C818" t="s">
        <v>36</v>
      </c>
      <c r="D818" t="s">
        <v>26</v>
      </c>
      <c r="E818">
        <v>26</v>
      </c>
      <c r="F818" t="s">
        <v>27</v>
      </c>
      <c r="G818" t="s">
        <v>28</v>
      </c>
      <c r="H818" s="1">
        <v>45733</v>
      </c>
      <c r="I818" s="2">
        <v>0.8</v>
      </c>
      <c r="J818" t="s">
        <v>64</v>
      </c>
      <c r="K818" s="3">
        <v>3300</v>
      </c>
      <c r="L818" t="s">
        <v>30</v>
      </c>
      <c r="M818">
        <v>3</v>
      </c>
      <c r="N818">
        <v>3</v>
      </c>
      <c r="O818">
        <v>41</v>
      </c>
      <c r="P818" t="s">
        <v>21</v>
      </c>
      <c r="Q818" s="1"/>
      <c r="U818">
        <v>1</v>
      </c>
      <c r="V818">
        <v>1</v>
      </c>
      <c r="W818">
        <v>0</v>
      </c>
    </row>
    <row r="819" spans="1:23" ht="16.5" x14ac:dyDescent="0.3">
      <c r="A819" t="s">
        <v>886</v>
      </c>
      <c r="B819" t="s">
        <v>55</v>
      </c>
      <c r="C819" t="s">
        <v>25</v>
      </c>
      <c r="D819" t="s">
        <v>37</v>
      </c>
      <c r="E819">
        <v>33</v>
      </c>
      <c r="F819" t="s">
        <v>27</v>
      </c>
      <c r="G819" t="s">
        <v>28</v>
      </c>
      <c r="H819" s="1">
        <v>42655</v>
      </c>
      <c r="I819" s="2">
        <v>8.3000000000000007</v>
      </c>
      <c r="J819" t="s">
        <v>39</v>
      </c>
      <c r="K819" s="3">
        <v>3950</v>
      </c>
      <c r="L819" t="s">
        <v>58</v>
      </c>
      <c r="M819">
        <v>3</v>
      </c>
      <c r="N819">
        <v>4</v>
      </c>
      <c r="O819">
        <v>26</v>
      </c>
      <c r="P819" t="s">
        <v>22</v>
      </c>
      <c r="Q819" s="1">
        <v>45673</v>
      </c>
      <c r="R819" t="s">
        <v>40</v>
      </c>
      <c r="S819" t="s">
        <v>107</v>
      </c>
      <c r="T819" t="s">
        <v>33</v>
      </c>
      <c r="U819">
        <v>1</v>
      </c>
      <c r="V819">
        <v>0</v>
      </c>
      <c r="W819">
        <v>1</v>
      </c>
    </row>
    <row r="820" spans="1:23" ht="16.5" x14ac:dyDescent="0.3">
      <c r="A820" t="s">
        <v>887</v>
      </c>
      <c r="B820" t="s">
        <v>35</v>
      </c>
      <c r="C820" t="s">
        <v>45</v>
      </c>
      <c r="D820" t="s">
        <v>37</v>
      </c>
      <c r="E820">
        <v>39</v>
      </c>
      <c r="F820" t="s">
        <v>46</v>
      </c>
      <c r="G820" t="s">
        <v>28</v>
      </c>
      <c r="H820" s="1">
        <v>45021</v>
      </c>
      <c r="I820" s="2">
        <v>2.7</v>
      </c>
      <c r="J820" t="s">
        <v>29</v>
      </c>
      <c r="K820" s="3">
        <v>5450</v>
      </c>
      <c r="L820" t="s">
        <v>30</v>
      </c>
      <c r="M820">
        <v>3</v>
      </c>
      <c r="N820">
        <v>5</v>
      </c>
      <c r="O820">
        <v>36</v>
      </c>
      <c r="P820" t="s">
        <v>21</v>
      </c>
      <c r="Q820" s="1"/>
      <c r="U820">
        <v>1</v>
      </c>
      <c r="V820">
        <v>1</v>
      </c>
      <c r="W820">
        <v>0</v>
      </c>
    </row>
    <row r="821" spans="1:23" ht="16.5" x14ac:dyDescent="0.3">
      <c r="A821" t="s">
        <v>888</v>
      </c>
      <c r="B821" t="s">
        <v>24</v>
      </c>
      <c r="C821" t="s">
        <v>25</v>
      </c>
      <c r="D821" t="s">
        <v>26</v>
      </c>
      <c r="E821">
        <v>35</v>
      </c>
      <c r="F821" t="s">
        <v>27</v>
      </c>
      <c r="G821" t="s">
        <v>38</v>
      </c>
      <c r="H821" s="1">
        <v>45400</v>
      </c>
      <c r="I821" s="2">
        <v>0.4</v>
      </c>
      <c r="J821" t="s">
        <v>64</v>
      </c>
      <c r="K821" s="3">
        <v>3200</v>
      </c>
      <c r="L821" t="s">
        <v>30</v>
      </c>
      <c r="M821">
        <v>4</v>
      </c>
      <c r="N821">
        <v>3</v>
      </c>
      <c r="O821">
        <v>7</v>
      </c>
      <c r="P821" t="s">
        <v>22</v>
      </c>
      <c r="Q821" s="1">
        <v>45557</v>
      </c>
      <c r="R821" t="s">
        <v>31</v>
      </c>
      <c r="S821" t="s">
        <v>259</v>
      </c>
      <c r="T821" t="s">
        <v>42</v>
      </c>
      <c r="U821">
        <v>1</v>
      </c>
      <c r="V821">
        <v>0</v>
      </c>
      <c r="W821">
        <v>1</v>
      </c>
    </row>
    <row r="822" spans="1:23" ht="16.5" x14ac:dyDescent="0.3">
      <c r="A822" t="s">
        <v>889</v>
      </c>
      <c r="B822" t="s">
        <v>55</v>
      </c>
      <c r="C822" t="s">
        <v>25</v>
      </c>
      <c r="D822" t="s">
        <v>37</v>
      </c>
      <c r="E822">
        <v>24</v>
      </c>
      <c r="F822" t="s">
        <v>57</v>
      </c>
      <c r="G822" t="s">
        <v>28</v>
      </c>
      <c r="H822" s="1">
        <v>45881</v>
      </c>
      <c r="I822" s="2">
        <v>0.4</v>
      </c>
      <c r="J822" t="s">
        <v>64</v>
      </c>
      <c r="K822" s="3">
        <v>3850</v>
      </c>
      <c r="L822" t="s">
        <v>30</v>
      </c>
      <c r="M822">
        <v>3</v>
      </c>
      <c r="N822">
        <v>4</v>
      </c>
      <c r="O822">
        <v>19</v>
      </c>
      <c r="P822" t="s">
        <v>21</v>
      </c>
      <c r="Q822" s="1"/>
      <c r="U822">
        <v>1</v>
      </c>
      <c r="V822">
        <v>1</v>
      </c>
      <c r="W822">
        <v>0</v>
      </c>
    </row>
    <row r="823" spans="1:23" ht="16.5" x14ac:dyDescent="0.3">
      <c r="A823" t="s">
        <v>890</v>
      </c>
      <c r="B823" t="s">
        <v>24</v>
      </c>
      <c r="C823" t="s">
        <v>36</v>
      </c>
      <c r="D823" t="s">
        <v>37</v>
      </c>
      <c r="E823">
        <v>37</v>
      </c>
      <c r="F823" t="s">
        <v>46</v>
      </c>
      <c r="G823" t="s">
        <v>52</v>
      </c>
      <c r="H823" s="1">
        <v>42403</v>
      </c>
      <c r="I823" s="2">
        <v>9.9</v>
      </c>
      <c r="J823" t="s">
        <v>39</v>
      </c>
      <c r="K823" s="3">
        <v>3350</v>
      </c>
      <c r="L823" t="s">
        <v>30</v>
      </c>
      <c r="M823">
        <v>4</v>
      </c>
      <c r="N823">
        <v>3</v>
      </c>
      <c r="O823">
        <v>16</v>
      </c>
      <c r="P823" t="s">
        <v>21</v>
      </c>
      <c r="Q823" s="1"/>
      <c r="U823">
        <v>1</v>
      </c>
      <c r="V823">
        <v>1</v>
      </c>
      <c r="W823">
        <v>0</v>
      </c>
    </row>
    <row r="824" spans="1:23" ht="16.5" x14ac:dyDescent="0.3">
      <c r="A824" t="s">
        <v>891</v>
      </c>
      <c r="B824" t="s">
        <v>44</v>
      </c>
      <c r="C824" t="s">
        <v>87</v>
      </c>
      <c r="D824" t="s">
        <v>37</v>
      </c>
      <c r="E824">
        <v>46</v>
      </c>
      <c r="F824" t="s">
        <v>88</v>
      </c>
      <c r="G824" t="s">
        <v>38</v>
      </c>
      <c r="H824" s="1">
        <v>43707</v>
      </c>
      <c r="I824" s="2">
        <v>6.3</v>
      </c>
      <c r="J824" t="s">
        <v>39</v>
      </c>
      <c r="K824" s="3">
        <v>16000</v>
      </c>
      <c r="L824" t="s">
        <v>30</v>
      </c>
      <c r="M824">
        <v>3</v>
      </c>
      <c r="N824">
        <v>3</v>
      </c>
      <c r="O824">
        <v>40</v>
      </c>
      <c r="P824" t="s">
        <v>21</v>
      </c>
      <c r="Q824" s="1"/>
      <c r="U824">
        <v>1</v>
      </c>
      <c r="V824">
        <v>1</v>
      </c>
      <c r="W824">
        <v>0</v>
      </c>
    </row>
    <row r="825" spans="1:23" ht="16.5" x14ac:dyDescent="0.3">
      <c r="A825" t="s">
        <v>892</v>
      </c>
      <c r="B825" t="s">
        <v>48</v>
      </c>
      <c r="C825" t="s">
        <v>87</v>
      </c>
      <c r="D825" t="s">
        <v>26</v>
      </c>
      <c r="E825">
        <v>44</v>
      </c>
      <c r="F825" t="s">
        <v>46</v>
      </c>
      <c r="G825" t="s">
        <v>38</v>
      </c>
      <c r="H825" s="1">
        <v>41575</v>
      </c>
      <c r="I825" s="2">
        <v>12.2</v>
      </c>
      <c r="J825" t="s">
        <v>39</v>
      </c>
      <c r="K825" s="3">
        <v>15700</v>
      </c>
      <c r="L825" t="s">
        <v>30</v>
      </c>
      <c r="M825">
        <v>3</v>
      </c>
      <c r="N825">
        <v>3</v>
      </c>
      <c r="O825">
        <v>22</v>
      </c>
      <c r="P825" t="s">
        <v>21</v>
      </c>
      <c r="Q825" s="1"/>
      <c r="U825">
        <v>1</v>
      </c>
      <c r="V825">
        <v>1</v>
      </c>
      <c r="W825">
        <v>0</v>
      </c>
    </row>
    <row r="826" spans="1:23" ht="16.5" x14ac:dyDescent="0.3">
      <c r="A826" t="s">
        <v>893</v>
      </c>
      <c r="B826" t="s">
        <v>48</v>
      </c>
      <c r="C826" t="s">
        <v>36</v>
      </c>
      <c r="D826" t="s">
        <v>26</v>
      </c>
      <c r="E826">
        <v>30</v>
      </c>
      <c r="F826" t="s">
        <v>27</v>
      </c>
      <c r="G826" t="s">
        <v>38</v>
      </c>
      <c r="H826" s="1">
        <v>43803</v>
      </c>
      <c r="I826" s="2">
        <v>6.1</v>
      </c>
      <c r="J826" t="s">
        <v>39</v>
      </c>
      <c r="K826" s="3">
        <v>8600</v>
      </c>
      <c r="L826" t="s">
        <v>58</v>
      </c>
      <c r="M826">
        <v>4</v>
      </c>
      <c r="N826">
        <v>3</v>
      </c>
      <c r="O826">
        <v>3</v>
      </c>
      <c r="P826" t="s">
        <v>21</v>
      </c>
      <c r="Q826" s="1"/>
      <c r="U826">
        <v>1</v>
      </c>
      <c r="V826">
        <v>1</v>
      </c>
      <c r="W826">
        <v>0</v>
      </c>
    </row>
    <row r="827" spans="1:23" ht="16.5" x14ac:dyDescent="0.3">
      <c r="A827" t="s">
        <v>894</v>
      </c>
      <c r="B827" t="s">
        <v>35</v>
      </c>
      <c r="C827" t="s">
        <v>25</v>
      </c>
      <c r="D827" t="s">
        <v>37</v>
      </c>
      <c r="E827">
        <v>22</v>
      </c>
      <c r="F827" t="s">
        <v>57</v>
      </c>
      <c r="G827" t="s">
        <v>28</v>
      </c>
      <c r="H827" s="1">
        <v>45769</v>
      </c>
      <c r="I827" s="2">
        <v>0.7</v>
      </c>
      <c r="J827" t="s">
        <v>64</v>
      </c>
      <c r="K827" s="3">
        <v>3200</v>
      </c>
      <c r="L827" t="s">
        <v>30</v>
      </c>
      <c r="M827">
        <v>3</v>
      </c>
      <c r="N827">
        <v>2</v>
      </c>
      <c r="O827">
        <v>25</v>
      </c>
      <c r="P827" t="s">
        <v>21</v>
      </c>
      <c r="Q827" s="1"/>
      <c r="U827">
        <v>1</v>
      </c>
      <c r="V827">
        <v>1</v>
      </c>
      <c r="W827">
        <v>0</v>
      </c>
    </row>
    <row r="828" spans="1:23" ht="16.5" x14ac:dyDescent="0.3">
      <c r="A828" t="s">
        <v>895</v>
      </c>
      <c r="B828" t="s">
        <v>55</v>
      </c>
      <c r="C828" t="s">
        <v>45</v>
      </c>
      <c r="D828" t="s">
        <v>37</v>
      </c>
      <c r="E828">
        <v>35</v>
      </c>
      <c r="F828" t="s">
        <v>27</v>
      </c>
      <c r="G828" t="s">
        <v>28</v>
      </c>
      <c r="H828" s="1">
        <v>44948</v>
      </c>
      <c r="I828" s="2">
        <v>2.9</v>
      </c>
      <c r="J828" t="s">
        <v>29</v>
      </c>
      <c r="K828" s="3">
        <v>9500</v>
      </c>
      <c r="L828" t="s">
        <v>30</v>
      </c>
      <c r="M828">
        <v>4</v>
      </c>
      <c r="N828">
        <v>3</v>
      </c>
      <c r="O828">
        <v>27</v>
      </c>
      <c r="P828" t="s">
        <v>21</v>
      </c>
      <c r="Q828" s="1"/>
      <c r="U828">
        <v>1</v>
      </c>
      <c r="V828">
        <v>1</v>
      </c>
      <c r="W828">
        <v>0</v>
      </c>
    </row>
    <row r="829" spans="1:23" ht="16.5" x14ac:dyDescent="0.3">
      <c r="A829" t="s">
        <v>896</v>
      </c>
      <c r="B829" t="s">
        <v>70</v>
      </c>
      <c r="C829" t="s">
        <v>45</v>
      </c>
      <c r="D829" t="s">
        <v>37</v>
      </c>
      <c r="E829">
        <v>43</v>
      </c>
      <c r="F829" t="s">
        <v>46</v>
      </c>
      <c r="G829" t="s">
        <v>52</v>
      </c>
      <c r="H829" s="1">
        <v>42106</v>
      </c>
      <c r="I829" s="2">
        <v>10.7</v>
      </c>
      <c r="J829" t="s">
        <v>39</v>
      </c>
      <c r="K829" s="3">
        <v>7850</v>
      </c>
      <c r="L829" t="s">
        <v>30</v>
      </c>
      <c r="M829">
        <v>5</v>
      </c>
      <c r="N829">
        <v>3</v>
      </c>
      <c r="O829">
        <v>34</v>
      </c>
      <c r="P829" t="s">
        <v>21</v>
      </c>
      <c r="Q829" s="1"/>
      <c r="U829">
        <v>1</v>
      </c>
      <c r="V829">
        <v>1</v>
      </c>
      <c r="W829">
        <v>0</v>
      </c>
    </row>
    <row r="830" spans="1:23" ht="16.5" x14ac:dyDescent="0.3">
      <c r="A830" t="s">
        <v>897</v>
      </c>
      <c r="B830" t="s">
        <v>55</v>
      </c>
      <c r="C830" t="s">
        <v>25</v>
      </c>
      <c r="D830" t="s">
        <v>37</v>
      </c>
      <c r="E830">
        <v>22</v>
      </c>
      <c r="F830" t="s">
        <v>57</v>
      </c>
      <c r="G830" t="s">
        <v>38</v>
      </c>
      <c r="H830" s="1">
        <v>45892</v>
      </c>
      <c r="I830" s="2">
        <v>0.4</v>
      </c>
      <c r="J830" t="s">
        <v>64</v>
      </c>
      <c r="K830" s="3">
        <v>5200</v>
      </c>
      <c r="L830" t="s">
        <v>30</v>
      </c>
      <c r="M830">
        <v>2</v>
      </c>
      <c r="N830">
        <v>3</v>
      </c>
      <c r="O830">
        <v>33</v>
      </c>
      <c r="P830" t="s">
        <v>21</v>
      </c>
      <c r="Q830" s="1"/>
      <c r="U830">
        <v>1</v>
      </c>
      <c r="V830">
        <v>1</v>
      </c>
      <c r="W830">
        <v>0</v>
      </c>
    </row>
    <row r="831" spans="1:23" ht="16.5" x14ac:dyDescent="0.3">
      <c r="A831" t="s">
        <v>898</v>
      </c>
      <c r="B831" t="s">
        <v>70</v>
      </c>
      <c r="C831" t="s">
        <v>25</v>
      </c>
      <c r="D831" t="s">
        <v>26</v>
      </c>
      <c r="E831">
        <v>34</v>
      </c>
      <c r="F831" t="s">
        <v>27</v>
      </c>
      <c r="G831" t="s">
        <v>52</v>
      </c>
      <c r="H831" s="1">
        <v>44709</v>
      </c>
      <c r="I831" s="2">
        <v>3.6</v>
      </c>
      <c r="J831" t="s">
        <v>50</v>
      </c>
      <c r="K831" s="3">
        <v>4850</v>
      </c>
      <c r="L831" t="s">
        <v>58</v>
      </c>
      <c r="M831">
        <v>5</v>
      </c>
      <c r="N831">
        <v>4</v>
      </c>
      <c r="O831">
        <v>16</v>
      </c>
      <c r="P831" t="s">
        <v>21</v>
      </c>
      <c r="Q831" s="1"/>
      <c r="U831">
        <v>1</v>
      </c>
      <c r="V831">
        <v>1</v>
      </c>
      <c r="W831">
        <v>0</v>
      </c>
    </row>
    <row r="832" spans="1:23" ht="16.5" x14ac:dyDescent="0.3">
      <c r="A832" t="s">
        <v>899</v>
      </c>
      <c r="B832" t="s">
        <v>44</v>
      </c>
      <c r="C832" t="s">
        <v>45</v>
      </c>
      <c r="D832" t="s">
        <v>37</v>
      </c>
      <c r="E832">
        <v>35</v>
      </c>
      <c r="F832" t="s">
        <v>27</v>
      </c>
      <c r="G832" t="s">
        <v>28</v>
      </c>
      <c r="H832" s="1">
        <v>42115</v>
      </c>
      <c r="I832" s="2">
        <v>10.7</v>
      </c>
      <c r="J832" t="s">
        <v>39</v>
      </c>
      <c r="K832" s="3">
        <v>9350</v>
      </c>
      <c r="L832" t="s">
        <v>30</v>
      </c>
      <c r="M832">
        <v>4</v>
      </c>
      <c r="N832">
        <v>4</v>
      </c>
      <c r="O832">
        <v>6</v>
      </c>
      <c r="P832" t="s">
        <v>21</v>
      </c>
      <c r="Q832" s="1"/>
      <c r="U832">
        <v>1</v>
      </c>
      <c r="V832">
        <v>1</v>
      </c>
      <c r="W832">
        <v>0</v>
      </c>
    </row>
    <row r="833" spans="1:23" ht="16.5" x14ac:dyDescent="0.3">
      <c r="A833" t="s">
        <v>900</v>
      </c>
      <c r="B833" t="s">
        <v>35</v>
      </c>
      <c r="C833" t="s">
        <v>25</v>
      </c>
      <c r="D833" t="s">
        <v>26</v>
      </c>
      <c r="E833">
        <v>21</v>
      </c>
      <c r="F833" t="s">
        <v>57</v>
      </c>
      <c r="G833" t="s">
        <v>38</v>
      </c>
      <c r="H833" s="1">
        <v>45939</v>
      </c>
      <c r="I833" s="2">
        <v>0.2</v>
      </c>
      <c r="J833" t="s">
        <v>64</v>
      </c>
      <c r="K833" s="3">
        <v>3850</v>
      </c>
      <c r="L833" t="s">
        <v>58</v>
      </c>
      <c r="M833">
        <v>3</v>
      </c>
      <c r="N833">
        <v>3</v>
      </c>
      <c r="O833">
        <v>29</v>
      </c>
      <c r="P833" t="s">
        <v>21</v>
      </c>
      <c r="Q833" s="1"/>
      <c r="U833">
        <v>1</v>
      </c>
      <c r="V833">
        <v>1</v>
      </c>
      <c r="W833">
        <v>0</v>
      </c>
    </row>
    <row r="834" spans="1:23" ht="16.5" x14ac:dyDescent="0.3">
      <c r="A834" t="s">
        <v>901</v>
      </c>
      <c r="B834" t="s">
        <v>70</v>
      </c>
      <c r="C834" t="s">
        <v>36</v>
      </c>
      <c r="D834" t="s">
        <v>37</v>
      </c>
      <c r="E834">
        <v>29</v>
      </c>
      <c r="F834" t="s">
        <v>27</v>
      </c>
      <c r="G834" t="s">
        <v>38</v>
      </c>
      <c r="H834" s="1">
        <v>43868</v>
      </c>
      <c r="I834" s="2">
        <v>5.9</v>
      </c>
      <c r="J834" t="s">
        <v>39</v>
      </c>
      <c r="K834" s="3">
        <v>5900</v>
      </c>
      <c r="L834" t="s">
        <v>30</v>
      </c>
      <c r="M834">
        <v>4</v>
      </c>
      <c r="N834">
        <v>4</v>
      </c>
      <c r="O834">
        <v>46</v>
      </c>
      <c r="P834" t="s">
        <v>21</v>
      </c>
      <c r="Q834" s="1"/>
      <c r="U834">
        <v>1</v>
      </c>
      <c r="V834">
        <v>1</v>
      </c>
      <c r="W834">
        <v>0</v>
      </c>
    </row>
    <row r="835" spans="1:23" ht="16.5" x14ac:dyDescent="0.3">
      <c r="A835" t="s">
        <v>902</v>
      </c>
      <c r="B835" t="s">
        <v>70</v>
      </c>
      <c r="C835" t="s">
        <v>36</v>
      </c>
      <c r="D835" t="s">
        <v>26</v>
      </c>
      <c r="E835">
        <v>33</v>
      </c>
      <c r="F835" t="s">
        <v>27</v>
      </c>
      <c r="G835" t="s">
        <v>38</v>
      </c>
      <c r="H835" s="1">
        <v>42782</v>
      </c>
      <c r="I835" s="2">
        <v>8.9</v>
      </c>
      <c r="J835" t="s">
        <v>39</v>
      </c>
      <c r="K835" s="3">
        <v>5600</v>
      </c>
      <c r="L835" t="s">
        <v>30</v>
      </c>
      <c r="M835">
        <v>3</v>
      </c>
      <c r="N835">
        <v>3</v>
      </c>
      <c r="O835">
        <v>34</v>
      </c>
      <c r="P835" t="s">
        <v>21</v>
      </c>
      <c r="Q835" s="1"/>
      <c r="U835">
        <v>1</v>
      </c>
      <c r="V835">
        <v>1</v>
      </c>
      <c r="W835">
        <v>0</v>
      </c>
    </row>
    <row r="836" spans="1:23" ht="16.5" x14ac:dyDescent="0.3">
      <c r="A836" t="s">
        <v>903</v>
      </c>
      <c r="B836" t="s">
        <v>48</v>
      </c>
      <c r="C836" t="s">
        <v>36</v>
      </c>
      <c r="D836" t="s">
        <v>37</v>
      </c>
      <c r="E836">
        <v>32</v>
      </c>
      <c r="F836" t="s">
        <v>27</v>
      </c>
      <c r="G836" t="s">
        <v>38</v>
      </c>
      <c r="H836" s="1">
        <v>45131</v>
      </c>
      <c r="I836" s="2">
        <v>2.4</v>
      </c>
      <c r="J836" t="s">
        <v>29</v>
      </c>
      <c r="K836" s="3">
        <v>7900</v>
      </c>
      <c r="L836" t="s">
        <v>30</v>
      </c>
      <c r="M836">
        <v>3</v>
      </c>
      <c r="N836">
        <v>3</v>
      </c>
      <c r="O836">
        <v>13</v>
      </c>
      <c r="P836" t="s">
        <v>21</v>
      </c>
      <c r="Q836" s="1"/>
      <c r="U836">
        <v>1</v>
      </c>
      <c r="V836">
        <v>1</v>
      </c>
      <c r="W836">
        <v>0</v>
      </c>
    </row>
    <row r="837" spans="1:23" ht="16.5" x14ac:dyDescent="0.3">
      <c r="A837" t="s">
        <v>904</v>
      </c>
      <c r="B837" t="s">
        <v>73</v>
      </c>
      <c r="C837" t="s">
        <v>25</v>
      </c>
      <c r="D837" t="s">
        <v>37</v>
      </c>
      <c r="E837">
        <v>29</v>
      </c>
      <c r="F837" t="s">
        <v>27</v>
      </c>
      <c r="G837" t="s">
        <v>38</v>
      </c>
      <c r="H837" s="1">
        <v>44256</v>
      </c>
      <c r="I837" s="2">
        <v>4.8</v>
      </c>
      <c r="J837" t="s">
        <v>50</v>
      </c>
      <c r="K837" s="3">
        <v>3500</v>
      </c>
      <c r="L837" t="s">
        <v>30</v>
      </c>
      <c r="M837">
        <v>5</v>
      </c>
      <c r="N837">
        <v>3</v>
      </c>
      <c r="O837">
        <v>24</v>
      </c>
      <c r="P837" t="s">
        <v>21</v>
      </c>
      <c r="Q837" s="1"/>
      <c r="U837">
        <v>1</v>
      </c>
      <c r="V837">
        <v>1</v>
      </c>
      <c r="W837">
        <v>0</v>
      </c>
    </row>
    <row r="838" spans="1:23" ht="16.5" x14ac:dyDescent="0.3">
      <c r="A838" t="s">
        <v>905</v>
      </c>
      <c r="B838" t="s">
        <v>55</v>
      </c>
      <c r="C838" t="s">
        <v>36</v>
      </c>
      <c r="D838" t="s">
        <v>37</v>
      </c>
      <c r="E838">
        <v>34</v>
      </c>
      <c r="F838" t="s">
        <v>27</v>
      </c>
      <c r="G838" t="s">
        <v>38</v>
      </c>
      <c r="H838" s="1">
        <v>43954</v>
      </c>
      <c r="I838" s="2">
        <v>5.7</v>
      </c>
      <c r="J838" t="s">
        <v>39</v>
      </c>
      <c r="K838" s="3">
        <v>6000</v>
      </c>
      <c r="L838" t="s">
        <v>30</v>
      </c>
      <c r="M838">
        <v>5</v>
      </c>
      <c r="N838">
        <v>3</v>
      </c>
      <c r="O838">
        <v>26</v>
      </c>
      <c r="P838" t="s">
        <v>21</v>
      </c>
      <c r="Q838" s="1"/>
      <c r="U838">
        <v>1</v>
      </c>
      <c r="V838">
        <v>1</v>
      </c>
      <c r="W838">
        <v>0</v>
      </c>
    </row>
    <row r="839" spans="1:23" ht="16.5" x14ac:dyDescent="0.3">
      <c r="A839" t="s">
        <v>906</v>
      </c>
      <c r="B839" t="s">
        <v>35</v>
      </c>
      <c r="C839" t="s">
        <v>25</v>
      </c>
      <c r="D839" t="s">
        <v>26</v>
      </c>
      <c r="E839">
        <v>29</v>
      </c>
      <c r="F839" t="s">
        <v>27</v>
      </c>
      <c r="G839" t="s">
        <v>28</v>
      </c>
      <c r="H839" s="1">
        <v>44239</v>
      </c>
      <c r="I839" s="2">
        <v>4.9000000000000004</v>
      </c>
      <c r="J839" t="s">
        <v>50</v>
      </c>
      <c r="K839" s="3">
        <v>3450</v>
      </c>
      <c r="L839" t="s">
        <v>30</v>
      </c>
      <c r="M839">
        <v>3</v>
      </c>
      <c r="N839">
        <v>3</v>
      </c>
      <c r="O839">
        <v>40</v>
      </c>
      <c r="P839" t="s">
        <v>21</v>
      </c>
      <c r="Q839" s="1"/>
      <c r="U839">
        <v>1</v>
      </c>
      <c r="V839">
        <v>1</v>
      </c>
      <c r="W839">
        <v>0</v>
      </c>
    </row>
    <row r="840" spans="1:23" ht="16.5" x14ac:dyDescent="0.3">
      <c r="A840" t="s">
        <v>907</v>
      </c>
      <c r="B840" t="s">
        <v>24</v>
      </c>
      <c r="C840" t="s">
        <v>45</v>
      </c>
      <c r="D840" t="s">
        <v>37</v>
      </c>
      <c r="E840">
        <v>48</v>
      </c>
      <c r="F840" t="s">
        <v>88</v>
      </c>
      <c r="G840" t="s">
        <v>38</v>
      </c>
      <c r="H840" s="1">
        <v>40793</v>
      </c>
      <c r="I840" s="2">
        <v>14.3</v>
      </c>
      <c r="J840" t="s">
        <v>39</v>
      </c>
      <c r="K840" s="3">
        <v>4800</v>
      </c>
      <c r="L840" t="s">
        <v>30</v>
      </c>
      <c r="M840">
        <v>5</v>
      </c>
      <c r="N840">
        <v>3</v>
      </c>
      <c r="O840">
        <v>29</v>
      </c>
      <c r="P840" t="s">
        <v>21</v>
      </c>
      <c r="Q840" s="1"/>
      <c r="U840">
        <v>1</v>
      </c>
      <c r="V840">
        <v>1</v>
      </c>
      <c r="W840">
        <v>0</v>
      </c>
    </row>
    <row r="841" spans="1:23" ht="16.5" x14ac:dyDescent="0.3">
      <c r="A841" t="s">
        <v>908</v>
      </c>
      <c r="B841" t="s">
        <v>70</v>
      </c>
      <c r="C841" t="s">
        <v>36</v>
      </c>
      <c r="D841" t="s">
        <v>26</v>
      </c>
      <c r="E841">
        <v>38</v>
      </c>
      <c r="F841" t="s">
        <v>46</v>
      </c>
      <c r="G841" t="s">
        <v>28</v>
      </c>
      <c r="H841" s="1">
        <v>44146</v>
      </c>
      <c r="I841" s="2">
        <v>5.0999999999999996</v>
      </c>
      <c r="J841" t="s">
        <v>39</v>
      </c>
      <c r="K841" s="3">
        <v>5400</v>
      </c>
      <c r="L841" t="s">
        <v>30</v>
      </c>
      <c r="M841">
        <v>4</v>
      </c>
      <c r="N841">
        <v>3</v>
      </c>
      <c r="O841">
        <v>5</v>
      </c>
      <c r="P841" t="s">
        <v>21</v>
      </c>
      <c r="Q841" s="1"/>
      <c r="U841">
        <v>1</v>
      </c>
      <c r="V841">
        <v>1</v>
      </c>
      <c r="W841">
        <v>0</v>
      </c>
    </row>
    <row r="842" spans="1:23" ht="16.5" x14ac:dyDescent="0.3">
      <c r="A842" t="s">
        <v>909</v>
      </c>
      <c r="B842" t="s">
        <v>70</v>
      </c>
      <c r="C842" t="s">
        <v>36</v>
      </c>
      <c r="D842" t="s">
        <v>26</v>
      </c>
      <c r="E842">
        <v>42</v>
      </c>
      <c r="F842" t="s">
        <v>46</v>
      </c>
      <c r="G842" t="s">
        <v>28</v>
      </c>
      <c r="H842" s="1">
        <v>43053</v>
      </c>
      <c r="I842" s="2">
        <v>8.1</v>
      </c>
      <c r="J842" t="s">
        <v>39</v>
      </c>
      <c r="K842" s="3">
        <v>5000</v>
      </c>
      <c r="L842" t="s">
        <v>30</v>
      </c>
      <c r="M842">
        <v>2</v>
      </c>
      <c r="N842">
        <v>4</v>
      </c>
      <c r="O842">
        <v>30</v>
      </c>
      <c r="P842" t="s">
        <v>21</v>
      </c>
      <c r="Q842" s="1"/>
      <c r="U842">
        <v>1</v>
      </c>
      <c r="V842">
        <v>1</v>
      </c>
      <c r="W842">
        <v>0</v>
      </c>
    </row>
    <row r="843" spans="1:23" ht="16.5" x14ac:dyDescent="0.3">
      <c r="A843" t="s">
        <v>910</v>
      </c>
      <c r="B843" t="s">
        <v>44</v>
      </c>
      <c r="C843" t="s">
        <v>36</v>
      </c>
      <c r="D843" t="s">
        <v>37</v>
      </c>
      <c r="E843">
        <v>32</v>
      </c>
      <c r="F843" t="s">
        <v>27</v>
      </c>
      <c r="G843" t="s">
        <v>28</v>
      </c>
      <c r="H843" s="1">
        <v>44334</v>
      </c>
      <c r="I843" s="2">
        <v>4.5999999999999996</v>
      </c>
      <c r="J843" t="s">
        <v>50</v>
      </c>
      <c r="K843" s="3">
        <v>7150</v>
      </c>
      <c r="L843" t="s">
        <v>58</v>
      </c>
      <c r="M843">
        <v>5</v>
      </c>
      <c r="N843">
        <v>3</v>
      </c>
      <c r="O843">
        <v>25</v>
      </c>
      <c r="P843" t="s">
        <v>21</v>
      </c>
      <c r="Q843" s="1"/>
      <c r="U843">
        <v>1</v>
      </c>
      <c r="V843">
        <v>1</v>
      </c>
      <c r="W843">
        <v>0</v>
      </c>
    </row>
    <row r="844" spans="1:23" ht="16.5" x14ac:dyDescent="0.3">
      <c r="A844" t="s">
        <v>911</v>
      </c>
      <c r="B844" t="s">
        <v>70</v>
      </c>
      <c r="C844" t="s">
        <v>25</v>
      </c>
      <c r="D844" t="s">
        <v>37</v>
      </c>
      <c r="E844">
        <v>21</v>
      </c>
      <c r="F844" t="s">
        <v>57</v>
      </c>
      <c r="G844" t="s">
        <v>52</v>
      </c>
      <c r="H844" s="1">
        <v>45991</v>
      </c>
      <c r="I844" s="2">
        <v>0</v>
      </c>
      <c r="J844" t="s">
        <v>64</v>
      </c>
      <c r="K844" s="3">
        <v>4500</v>
      </c>
      <c r="L844" t="s">
        <v>30</v>
      </c>
      <c r="M844">
        <v>3</v>
      </c>
      <c r="N844">
        <v>2</v>
      </c>
      <c r="O844">
        <v>23</v>
      </c>
      <c r="P844" t="s">
        <v>22</v>
      </c>
      <c r="Q844" s="1">
        <v>46000</v>
      </c>
      <c r="R844" t="s">
        <v>40</v>
      </c>
      <c r="S844" t="s">
        <v>92</v>
      </c>
      <c r="T844" t="s">
        <v>42</v>
      </c>
      <c r="U844">
        <v>1</v>
      </c>
      <c r="V844">
        <v>0</v>
      </c>
      <c r="W844">
        <v>1</v>
      </c>
    </row>
    <row r="845" spans="1:23" ht="16.5" x14ac:dyDescent="0.3">
      <c r="A845" t="s">
        <v>912</v>
      </c>
      <c r="B845" t="s">
        <v>55</v>
      </c>
      <c r="C845" t="s">
        <v>25</v>
      </c>
      <c r="D845" t="s">
        <v>26</v>
      </c>
      <c r="E845">
        <v>27</v>
      </c>
      <c r="F845" t="s">
        <v>27</v>
      </c>
      <c r="G845" t="s">
        <v>28</v>
      </c>
      <c r="H845" s="1">
        <v>44559</v>
      </c>
      <c r="I845" s="2">
        <v>4</v>
      </c>
      <c r="J845" t="s">
        <v>50</v>
      </c>
      <c r="K845" s="3">
        <v>4000</v>
      </c>
      <c r="L845" t="s">
        <v>58</v>
      </c>
      <c r="M845">
        <v>4</v>
      </c>
      <c r="N845">
        <v>4</v>
      </c>
      <c r="O845">
        <v>22</v>
      </c>
      <c r="P845" t="s">
        <v>21</v>
      </c>
      <c r="Q845" s="1"/>
      <c r="U845">
        <v>1</v>
      </c>
      <c r="V845">
        <v>1</v>
      </c>
      <c r="W845">
        <v>0</v>
      </c>
    </row>
    <row r="846" spans="1:23" ht="16.5" x14ac:dyDescent="0.3">
      <c r="A846" t="s">
        <v>913</v>
      </c>
      <c r="B846" t="s">
        <v>24</v>
      </c>
      <c r="C846" t="s">
        <v>36</v>
      </c>
      <c r="D846" t="s">
        <v>37</v>
      </c>
      <c r="E846">
        <v>32</v>
      </c>
      <c r="F846" t="s">
        <v>27</v>
      </c>
      <c r="G846" t="s">
        <v>38</v>
      </c>
      <c r="H846" s="1">
        <v>44837</v>
      </c>
      <c r="I846" s="2">
        <v>2.4</v>
      </c>
      <c r="J846" t="s">
        <v>29</v>
      </c>
      <c r="K846" s="3">
        <v>4500</v>
      </c>
      <c r="L846" t="s">
        <v>58</v>
      </c>
      <c r="M846">
        <v>3</v>
      </c>
      <c r="N846">
        <v>2</v>
      </c>
      <c r="O846">
        <v>35</v>
      </c>
      <c r="P846" t="s">
        <v>22</v>
      </c>
      <c r="Q846" s="1">
        <v>45696</v>
      </c>
      <c r="R846" t="s">
        <v>40</v>
      </c>
      <c r="S846" t="s">
        <v>103</v>
      </c>
      <c r="T846" t="s">
        <v>60</v>
      </c>
      <c r="U846">
        <v>1</v>
      </c>
      <c r="V846">
        <v>0</v>
      </c>
      <c r="W846">
        <v>1</v>
      </c>
    </row>
    <row r="847" spans="1:23" ht="16.5" x14ac:dyDescent="0.3">
      <c r="A847" t="s">
        <v>914</v>
      </c>
      <c r="B847" t="s">
        <v>48</v>
      </c>
      <c r="C847" t="s">
        <v>87</v>
      </c>
      <c r="D847" t="s">
        <v>26</v>
      </c>
      <c r="E847">
        <v>49</v>
      </c>
      <c r="F847" t="s">
        <v>88</v>
      </c>
      <c r="G847" t="s">
        <v>38</v>
      </c>
      <c r="H847" s="1">
        <v>41421</v>
      </c>
      <c r="I847" s="2">
        <v>12.6</v>
      </c>
      <c r="J847" t="s">
        <v>39</v>
      </c>
      <c r="K847" s="3">
        <v>18600</v>
      </c>
      <c r="L847" t="s">
        <v>30</v>
      </c>
      <c r="M847">
        <v>5</v>
      </c>
      <c r="N847">
        <v>4</v>
      </c>
      <c r="O847">
        <v>24</v>
      </c>
      <c r="P847" t="s">
        <v>21</v>
      </c>
      <c r="Q847" s="1"/>
      <c r="U847">
        <v>1</v>
      </c>
      <c r="V847">
        <v>1</v>
      </c>
      <c r="W847">
        <v>0</v>
      </c>
    </row>
    <row r="848" spans="1:23" ht="16.5" x14ac:dyDescent="0.3">
      <c r="A848" t="s">
        <v>915</v>
      </c>
      <c r="B848" t="s">
        <v>24</v>
      </c>
      <c r="C848" t="s">
        <v>25</v>
      </c>
      <c r="D848" t="s">
        <v>26</v>
      </c>
      <c r="E848">
        <v>32</v>
      </c>
      <c r="F848" t="s">
        <v>27</v>
      </c>
      <c r="G848" t="s">
        <v>28</v>
      </c>
      <c r="H848" s="1">
        <v>43975</v>
      </c>
      <c r="I848" s="2">
        <v>4.3</v>
      </c>
      <c r="J848" t="s">
        <v>50</v>
      </c>
      <c r="K848" s="3">
        <v>2800</v>
      </c>
      <c r="L848" t="s">
        <v>30</v>
      </c>
      <c r="M848">
        <v>3</v>
      </c>
      <c r="N848">
        <v>3</v>
      </c>
      <c r="O848">
        <v>15</v>
      </c>
      <c r="P848" t="s">
        <v>22</v>
      </c>
      <c r="Q848" s="1">
        <v>45558</v>
      </c>
      <c r="R848" t="s">
        <v>31</v>
      </c>
      <c r="S848" t="s">
        <v>259</v>
      </c>
      <c r="T848" t="s">
        <v>42</v>
      </c>
      <c r="U848">
        <v>1</v>
      </c>
      <c r="V848">
        <v>0</v>
      </c>
      <c r="W848">
        <v>1</v>
      </c>
    </row>
    <row r="849" spans="1:23" ht="16.5" x14ac:dyDescent="0.3">
      <c r="A849" t="s">
        <v>916</v>
      </c>
      <c r="B849" t="s">
        <v>48</v>
      </c>
      <c r="C849" t="s">
        <v>25</v>
      </c>
      <c r="D849" t="s">
        <v>37</v>
      </c>
      <c r="E849">
        <v>23</v>
      </c>
      <c r="F849" t="s">
        <v>57</v>
      </c>
      <c r="G849" t="s">
        <v>38</v>
      </c>
      <c r="H849" s="1">
        <v>45512</v>
      </c>
      <c r="I849" s="2">
        <v>1.4</v>
      </c>
      <c r="J849" t="s">
        <v>29</v>
      </c>
      <c r="K849" s="3">
        <v>7650</v>
      </c>
      <c r="L849" t="s">
        <v>58</v>
      </c>
      <c r="M849">
        <v>3</v>
      </c>
      <c r="N849">
        <v>4</v>
      </c>
      <c r="O849">
        <v>36</v>
      </c>
      <c r="P849" t="s">
        <v>21</v>
      </c>
      <c r="Q849" s="1"/>
      <c r="U849">
        <v>1</v>
      </c>
      <c r="V849">
        <v>1</v>
      </c>
      <c r="W849">
        <v>0</v>
      </c>
    </row>
    <row r="850" spans="1:23" ht="16.5" x14ac:dyDescent="0.3">
      <c r="A850" t="s">
        <v>917</v>
      </c>
      <c r="B850" t="s">
        <v>70</v>
      </c>
      <c r="C850" t="s">
        <v>25</v>
      </c>
      <c r="D850" t="s">
        <v>37</v>
      </c>
      <c r="E850">
        <v>26</v>
      </c>
      <c r="F850" t="s">
        <v>27</v>
      </c>
      <c r="G850" t="s">
        <v>38</v>
      </c>
      <c r="H850" s="1">
        <v>44727</v>
      </c>
      <c r="I850" s="2">
        <v>3.5</v>
      </c>
      <c r="J850" t="s">
        <v>50</v>
      </c>
      <c r="K850" s="3">
        <v>4450</v>
      </c>
      <c r="L850" t="s">
        <v>30</v>
      </c>
      <c r="M850">
        <v>2</v>
      </c>
      <c r="N850">
        <v>2</v>
      </c>
      <c r="O850">
        <v>15</v>
      </c>
      <c r="P850" t="s">
        <v>21</v>
      </c>
      <c r="Q850" s="1"/>
      <c r="U850">
        <v>1</v>
      </c>
      <c r="V850">
        <v>1</v>
      </c>
      <c r="W850">
        <v>0</v>
      </c>
    </row>
    <row r="851" spans="1:23" ht="16.5" x14ac:dyDescent="0.3">
      <c r="A851" t="s">
        <v>918</v>
      </c>
      <c r="B851" t="s">
        <v>70</v>
      </c>
      <c r="C851" t="s">
        <v>45</v>
      </c>
      <c r="D851" t="s">
        <v>37</v>
      </c>
      <c r="E851">
        <v>38</v>
      </c>
      <c r="F851" t="s">
        <v>46</v>
      </c>
      <c r="G851" t="s">
        <v>38</v>
      </c>
      <c r="H851" s="1">
        <v>42154</v>
      </c>
      <c r="I851" s="2">
        <v>10.6</v>
      </c>
      <c r="J851" t="s">
        <v>39</v>
      </c>
      <c r="K851" s="3">
        <v>7300</v>
      </c>
      <c r="L851" t="s">
        <v>30</v>
      </c>
      <c r="M851">
        <v>3</v>
      </c>
      <c r="N851">
        <v>5</v>
      </c>
      <c r="O851">
        <v>32</v>
      </c>
      <c r="P851" t="s">
        <v>21</v>
      </c>
      <c r="Q851" s="1"/>
      <c r="U851">
        <v>1</v>
      </c>
      <c r="V851">
        <v>1</v>
      </c>
      <c r="W851">
        <v>0</v>
      </c>
    </row>
    <row r="852" spans="1:23" ht="16.5" x14ac:dyDescent="0.3">
      <c r="A852" t="s">
        <v>919</v>
      </c>
      <c r="B852" t="s">
        <v>70</v>
      </c>
      <c r="C852" t="s">
        <v>25</v>
      </c>
      <c r="D852" t="s">
        <v>37</v>
      </c>
      <c r="E852">
        <v>33</v>
      </c>
      <c r="F852" t="s">
        <v>27</v>
      </c>
      <c r="G852" t="s">
        <v>38</v>
      </c>
      <c r="H852" s="1">
        <v>44446</v>
      </c>
      <c r="I852" s="2">
        <v>4.3</v>
      </c>
      <c r="J852" t="s">
        <v>50</v>
      </c>
      <c r="K852" s="3">
        <v>4050</v>
      </c>
      <c r="L852" t="s">
        <v>30</v>
      </c>
      <c r="M852">
        <v>3</v>
      </c>
      <c r="N852">
        <v>3</v>
      </c>
      <c r="O852">
        <v>16</v>
      </c>
      <c r="P852" t="s">
        <v>21</v>
      </c>
      <c r="Q852" s="1"/>
      <c r="U852">
        <v>1</v>
      </c>
      <c r="V852">
        <v>1</v>
      </c>
      <c r="W852">
        <v>0</v>
      </c>
    </row>
    <row r="853" spans="1:23" ht="16.5" x14ac:dyDescent="0.3">
      <c r="A853" t="s">
        <v>920</v>
      </c>
      <c r="B853" t="s">
        <v>35</v>
      </c>
      <c r="C853" t="s">
        <v>87</v>
      </c>
      <c r="D853" t="s">
        <v>26</v>
      </c>
      <c r="E853">
        <v>39</v>
      </c>
      <c r="F853" t="s">
        <v>46</v>
      </c>
      <c r="G853" t="s">
        <v>28</v>
      </c>
      <c r="H853" s="1">
        <v>42176</v>
      </c>
      <c r="I853" s="2">
        <v>10.5</v>
      </c>
      <c r="J853" t="s">
        <v>39</v>
      </c>
      <c r="K853" s="3">
        <v>7600</v>
      </c>
      <c r="L853" t="s">
        <v>30</v>
      </c>
      <c r="M853">
        <v>5</v>
      </c>
      <c r="N853">
        <v>4</v>
      </c>
      <c r="O853">
        <v>24</v>
      </c>
      <c r="P853" t="s">
        <v>21</v>
      </c>
      <c r="Q853" s="1"/>
      <c r="U853">
        <v>1</v>
      </c>
      <c r="V853">
        <v>1</v>
      </c>
      <c r="W853">
        <v>0</v>
      </c>
    </row>
    <row r="854" spans="1:23" ht="16.5" x14ac:dyDescent="0.3">
      <c r="A854" t="s">
        <v>921</v>
      </c>
      <c r="B854" t="s">
        <v>35</v>
      </c>
      <c r="C854" t="s">
        <v>25</v>
      </c>
      <c r="D854" t="s">
        <v>37</v>
      </c>
      <c r="E854">
        <v>33</v>
      </c>
      <c r="F854" t="s">
        <v>27</v>
      </c>
      <c r="G854" t="s">
        <v>38</v>
      </c>
      <c r="H854" s="1">
        <v>45161</v>
      </c>
      <c r="I854" s="2">
        <v>2.4</v>
      </c>
      <c r="J854" t="s">
        <v>29</v>
      </c>
      <c r="K854" s="3">
        <v>3600</v>
      </c>
      <c r="L854" t="s">
        <v>30</v>
      </c>
      <c r="M854">
        <v>3</v>
      </c>
      <c r="N854">
        <v>3</v>
      </c>
      <c r="O854">
        <v>28</v>
      </c>
      <c r="P854" t="s">
        <v>21</v>
      </c>
      <c r="Q854" s="1"/>
      <c r="U854">
        <v>1</v>
      </c>
      <c r="V854">
        <v>1</v>
      </c>
      <c r="W854">
        <v>0</v>
      </c>
    </row>
    <row r="855" spans="1:23" ht="16.5" x14ac:dyDescent="0.3">
      <c r="A855" t="s">
        <v>922</v>
      </c>
      <c r="B855" t="s">
        <v>24</v>
      </c>
      <c r="C855" t="s">
        <v>45</v>
      </c>
      <c r="D855" t="s">
        <v>37</v>
      </c>
      <c r="E855">
        <v>38</v>
      </c>
      <c r="F855" t="s">
        <v>46</v>
      </c>
      <c r="G855" t="s">
        <v>52</v>
      </c>
      <c r="H855" s="1">
        <v>41386</v>
      </c>
      <c r="I855" s="2">
        <v>12.7</v>
      </c>
      <c r="J855" t="s">
        <v>39</v>
      </c>
      <c r="K855" s="3">
        <v>6400</v>
      </c>
      <c r="L855" t="s">
        <v>58</v>
      </c>
      <c r="M855">
        <v>4</v>
      </c>
      <c r="N855">
        <v>4</v>
      </c>
      <c r="O855">
        <v>19</v>
      </c>
      <c r="P855" t="s">
        <v>21</v>
      </c>
      <c r="Q855" s="1"/>
      <c r="U855">
        <v>1</v>
      </c>
      <c r="V855">
        <v>1</v>
      </c>
      <c r="W855">
        <v>0</v>
      </c>
    </row>
    <row r="856" spans="1:23" ht="16.5" x14ac:dyDescent="0.3">
      <c r="A856" t="s">
        <v>923</v>
      </c>
      <c r="B856" t="s">
        <v>55</v>
      </c>
      <c r="C856" t="s">
        <v>87</v>
      </c>
      <c r="D856" t="s">
        <v>37</v>
      </c>
      <c r="E856">
        <v>40</v>
      </c>
      <c r="F856" t="s">
        <v>46</v>
      </c>
      <c r="G856" t="s">
        <v>38</v>
      </c>
      <c r="H856" s="1">
        <v>44173</v>
      </c>
      <c r="I856" s="2">
        <v>3.6</v>
      </c>
      <c r="J856" t="s">
        <v>50</v>
      </c>
      <c r="K856" s="3">
        <v>9800</v>
      </c>
      <c r="L856" t="s">
        <v>30</v>
      </c>
      <c r="M856">
        <v>5</v>
      </c>
      <c r="N856">
        <v>5</v>
      </c>
      <c r="O856">
        <v>26</v>
      </c>
      <c r="P856" t="s">
        <v>22</v>
      </c>
      <c r="Q856" s="1">
        <v>45487</v>
      </c>
      <c r="R856" t="s">
        <v>31</v>
      </c>
      <c r="S856" t="s">
        <v>84</v>
      </c>
      <c r="T856" t="s">
        <v>33</v>
      </c>
      <c r="U856">
        <v>1</v>
      </c>
      <c r="V856">
        <v>0</v>
      </c>
      <c r="W856">
        <v>1</v>
      </c>
    </row>
    <row r="857" spans="1:23" ht="16.5" x14ac:dyDescent="0.3">
      <c r="A857" t="s">
        <v>924</v>
      </c>
      <c r="B857" t="s">
        <v>35</v>
      </c>
      <c r="C857" t="s">
        <v>36</v>
      </c>
      <c r="D857" t="s">
        <v>26</v>
      </c>
      <c r="E857">
        <v>41</v>
      </c>
      <c r="F857" t="s">
        <v>46</v>
      </c>
      <c r="G857" t="s">
        <v>28</v>
      </c>
      <c r="H857" s="1">
        <v>42133</v>
      </c>
      <c r="I857" s="2">
        <v>10.6</v>
      </c>
      <c r="J857" t="s">
        <v>39</v>
      </c>
      <c r="K857" s="3">
        <v>3950</v>
      </c>
      <c r="L857" t="s">
        <v>58</v>
      </c>
      <c r="M857">
        <v>5</v>
      </c>
      <c r="N857">
        <v>5</v>
      </c>
      <c r="O857">
        <v>14</v>
      </c>
      <c r="P857" t="s">
        <v>21</v>
      </c>
      <c r="Q857" s="1"/>
      <c r="U857">
        <v>1</v>
      </c>
      <c r="V857">
        <v>1</v>
      </c>
      <c r="W857">
        <v>0</v>
      </c>
    </row>
    <row r="858" spans="1:23" ht="16.5" x14ac:dyDescent="0.3">
      <c r="A858" t="s">
        <v>925</v>
      </c>
      <c r="B858" t="s">
        <v>55</v>
      </c>
      <c r="C858" t="s">
        <v>45</v>
      </c>
      <c r="D858" t="s">
        <v>26</v>
      </c>
      <c r="E858">
        <v>50</v>
      </c>
      <c r="F858" t="s">
        <v>88</v>
      </c>
      <c r="G858" t="s">
        <v>38</v>
      </c>
      <c r="H858" s="1">
        <v>41570</v>
      </c>
      <c r="I858" s="2">
        <v>12.2</v>
      </c>
      <c r="J858" t="s">
        <v>39</v>
      </c>
      <c r="K858" s="3">
        <v>6550</v>
      </c>
      <c r="L858" t="s">
        <v>58</v>
      </c>
      <c r="M858">
        <v>5</v>
      </c>
      <c r="N858">
        <v>4</v>
      </c>
      <c r="O858">
        <v>15</v>
      </c>
      <c r="P858" t="s">
        <v>21</v>
      </c>
      <c r="Q858" s="1"/>
      <c r="U858">
        <v>1</v>
      </c>
      <c r="V858">
        <v>1</v>
      </c>
      <c r="W858">
        <v>0</v>
      </c>
    </row>
    <row r="859" spans="1:23" ht="16.5" x14ac:dyDescent="0.3">
      <c r="A859" t="s">
        <v>926</v>
      </c>
      <c r="B859" t="s">
        <v>73</v>
      </c>
      <c r="C859" t="s">
        <v>36</v>
      </c>
      <c r="D859" t="s">
        <v>26</v>
      </c>
      <c r="E859">
        <v>30</v>
      </c>
      <c r="F859" t="s">
        <v>27</v>
      </c>
      <c r="G859" t="s">
        <v>28</v>
      </c>
      <c r="H859" s="1">
        <v>43995</v>
      </c>
      <c r="I859" s="2">
        <v>5.5</v>
      </c>
      <c r="J859" t="s">
        <v>39</v>
      </c>
      <c r="K859" s="3">
        <v>4200</v>
      </c>
      <c r="L859" t="s">
        <v>30</v>
      </c>
      <c r="M859">
        <v>3</v>
      </c>
      <c r="N859">
        <v>4</v>
      </c>
      <c r="O859">
        <v>19</v>
      </c>
      <c r="P859" t="s">
        <v>21</v>
      </c>
      <c r="Q859" s="1"/>
      <c r="U859">
        <v>1</v>
      </c>
      <c r="V859">
        <v>1</v>
      </c>
      <c r="W859">
        <v>0</v>
      </c>
    </row>
    <row r="860" spans="1:23" ht="16.5" x14ac:dyDescent="0.3">
      <c r="A860" t="s">
        <v>927</v>
      </c>
      <c r="B860" t="s">
        <v>35</v>
      </c>
      <c r="C860" t="s">
        <v>25</v>
      </c>
      <c r="D860" t="s">
        <v>37</v>
      </c>
      <c r="E860">
        <v>21</v>
      </c>
      <c r="F860" t="s">
        <v>57</v>
      </c>
      <c r="G860" t="s">
        <v>28</v>
      </c>
      <c r="H860" s="1">
        <v>45947</v>
      </c>
      <c r="I860" s="2">
        <v>0.2</v>
      </c>
      <c r="J860" t="s">
        <v>64</v>
      </c>
      <c r="K860" s="3">
        <v>3500</v>
      </c>
      <c r="L860" t="s">
        <v>30</v>
      </c>
      <c r="M860">
        <v>4</v>
      </c>
      <c r="N860">
        <v>2</v>
      </c>
      <c r="O860">
        <v>15</v>
      </c>
      <c r="P860" t="s">
        <v>21</v>
      </c>
      <c r="Q860" s="1"/>
      <c r="U860">
        <v>1</v>
      </c>
      <c r="V860">
        <v>1</v>
      </c>
      <c r="W860">
        <v>0</v>
      </c>
    </row>
    <row r="861" spans="1:23" ht="16.5" x14ac:dyDescent="0.3">
      <c r="A861" t="s">
        <v>928</v>
      </c>
      <c r="B861" t="s">
        <v>35</v>
      </c>
      <c r="C861" t="s">
        <v>36</v>
      </c>
      <c r="D861" t="s">
        <v>26</v>
      </c>
      <c r="E861">
        <v>24</v>
      </c>
      <c r="F861" t="s">
        <v>57</v>
      </c>
      <c r="G861" t="s">
        <v>28</v>
      </c>
      <c r="H861" s="1">
        <v>45851</v>
      </c>
      <c r="I861" s="2">
        <v>0.5</v>
      </c>
      <c r="J861" t="s">
        <v>64</v>
      </c>
      <c r="K861" s="3">
        <v>4550</v>
      </c>
      <c r="L861" t="s">
        <v>58</v>
      </c>
      <c r="M861">
        <v>3</v>
      </c>
      <c r="N861">
        <v>3</v>
      </c>
      <c r="O861">
        <v>22</v>
      </c>
      <c r="P861" t="s">
        <v>21</v>
      </c>
      <c r="Q861" s="1"/>
      <c r="U861">
        <v>1</v>
      </c>
      <c r="V861">
        <v>1</v>
      </c>
      <c r="W861">
        <v>0</v>
      </c>
    </row>
    <row r="862" spans="1:23" ht="16.5" x14ac:dyDescent="0.3">
      <c r="A862" t="s">
        <v>929</v>
      </c>
      <c r="B862" t="s">
        <v>24</v>
      </c>
      <c r="C862" t="s">
        <v>36</v>
      </c>
      <c r="D862" t="s">
        <v>37</v>
      </c>
      <c r="E862">
        <v>35</v>
      </c>
      <c r="F862" t="s">
        <v>27</v>
      </c>
      <c r="G862" t="s">
        <v>38</v>
      </c>
      <c r="H862" s="1">
        <v>45325</v>
      </c>
      <c r="I862" s="2">
        <v>1.9</v>
      </c>
      <c r="J862" t="s">
        <v>29</v>
      </c>
      <c r="K862" s="3">
        <v>2900</v>
      </c>
      <c r="L862" t="s">
        <v>30</v>
      </c>
      <c r="M862">
        <v>4</v>
      </c>
      <c r="N862">
        <v>4</v>
      </c>
      <c r="O862">
        <v>14</v>
      </c>
      <c r="P862" t="s">
        <v>21</v>
      </c>
      <c r="Q862" s="1"/>
      <c r="U862">
        <v>1</v>
      </c>
      <c r="V862">
        <v>1</v>
      </c>
      <c r="W862">
        <v>0</v>
      </c>
    </row>
    <row r="863" spans="1:23" ht="16.5" x14ac:dyDescent="0.3">
      <c r="A863" t="s">
        <v>930</v>
      </c>
      <c r="B863" t="s">
        <v>70</v>
      </c>
      <c r="C863" t="s">
        <v>45</v>
      </c>
      <c r="D863" t="s">
        <v>26</v>
      </c>
      <c r="E863">
        <v>34</v>
      </c>
      <c r="F863" t="s">
        <v>27</v>
      </c>
      <c r="G863" t="s">
        <v>38</v>
      </c>
      <c r="H863" s="1">
        <v>43438</v>
      </c>
      <c r="I863" s="2">
        <v>6.4</v>
      </c>
      <c r="J863" t="s">
        <v>39</v>
      </c>
      <c r="K863" s="3">
        <v>6350</v>
      </c>
      <c r="L863" t="s">
        <v>58</v>
      </c>
      <c r="M863">
        <v>4</v>
      </c>
      <c r="N863">
        <v>3</v>
      </c>
      <c r="O863">
        <v>11</v>
      </c>
      <c r="P863" t="s">
        <v>22</v>
      </c>
      <c r="Q863" s="1">
        <v>45770</v>
      </c>
      <c r="R863" t="s">
        <v>40</v>
      </c>
      <c r="S863" t="s">
        <v>153</v>
      </c>
      <c r="T863" t="s">
        <v>33</v>
      </c>
      <c r="U863">
        <v>1</v>
      </c>
      <c r="V863">
        <v>0</v>
      </c>
      <c r="W863">
        <v>1</v>
      </c>
    </row>
    <row r="864" spans="1:23" ht="16.5" x14ac:dyDescent="0.3">
      <c r="A864" t="s">
        <v>931</v>
      </c>
      <c r="B864" t="s">
        <v>35</v>
      </c>
      <c r="C864" t="s">
        <v>87</v>
      </c>
      <c r="D864" t="s">
        <v>26</v>
      </c>
      <c r="E864">
        <v>48</v>
      </c>
      <c r="F864" t="s">
        <v>88</v>
      </c>
      <c r="G864" t="s">
        <v>28</v>
      </c>
      <c r="H864" s="1">
        <v>40702</v>
      </c>
      <c r="I864" s="2">
        <v>14.6</v>
      </c>
      <c r="J864" t="s">
        <v>39</v>
      </c>
      <c r="K864" s="3">
        <v>8550</v>
      </c>
      <c r="L864" t="s">
        <v>30</v>
      </c>
      <c r="M864">
        <v>5</v>
      </c>
      <c r="N864">
        <v>3</v>
      </c>
      <c r="O864">
        <v>32</v>
      </c>
      <c r="P864" t="s">
        <v>21</v>
      </c>
      <c r="Q864" s="1"/>
      <c r="U864">
        <v>1</v>
      </c>
      <c r="V864">
        <v>1</v>
      </c>
      <c r="W864">
        <v>0</v>
      </c>
    </row>
    <row r="865" spans="1:23" ht="16.5" x14ac:dyDescent="0.3">
      <c r="A865" t="s">
        <v>932</v>
      </c>
      <c r="B865" t="s">
        <v>24</v>
      </c>
      <c r="C865" t="s">
        <v>25</v>
      </c>
      <c r="D865" t="s">
        <v>26</v>
      </c>
      <c r="E865">
        <v>21</v>
      </c>
      <c r="F865" t="s">
        <v>57</v>
      </c>
      <c r="G865" t="s">
        <v>38</v>
      </c>
      <c r="H865" s="1">
        <v>45924</v>
      </c>
      <c r="I865" s="2">
        <v>0.3</v>
      </c>
      <c r="J865" t="s">
        <v>64</v>
      </c>
      <c r="K865" s="3">
        <v>2850</v>
      </c>
      <c r="L865" t="s">
        <v>30</v>
      </c>
      <c r="M865">
        <v>2</v>
      </c>
      <c r="N865">
        <v>3</v>
      </c>
      <c r="O865">
        <v>34</v>
      </c>
      <c r="P865" t="s">
        <v>21</v>
      </c>
      <c r="Q865" s="1"/>
      <c r="U865">
        <v>1</v>
      </c>
      <c r="V865">
        <v>1</v>
      </c>
      <c r="W865">
        <v>0</v>
      </c>
    </row>
    <row r="866" spans="1:23" ht="16.5" x14ac:dyDescent="0.3">
      <c r="A866" t="s">
        <v>933</v>
      </c>
      <c r="B866" t="s">
        <v>35</v>
      </c>
      <c r="C866" t="s">
        <v>25</v>
      </c>
      <c r="D866" t="s">
        <v>37</v>
      </c>
      <c r="E866">
        <v>32</v>
      </c>
      <c r="F866" t="s">
        <v>27</v>
      </c>
      <c r="G866" t="s">
        <v>28</v>
      </c>
      <c r="H866" s="1">
        <v>44582</v>
      </c>
      <c r="I866" s="2">
        <v>3.9</v>
      </c>
      <c r="J866" t="s">
        <v>50</v>
      </c>
      <c r="K866" s="3">
        <v>3900</v>
      </c>
      <c r="L866" t="s">
        <v>30</v>
      </c>
      <c r="M866">
        <v>3</v>
      </c>
      <c r="N866">
        <v>2</v>
      </c>
      <c r="O866">
        <v>16</v>
      </c>
      <c r="P866" t="s">
        <v>21</v>
      </c>
      <c r="Q866" s="1"/>
      <c r="U866">
        <v>1</v>
      </c>
      <c r="V866">
        <v>1</v>
      </c>
      <c r="W866">
        <v>0</v>
      </c>
    </row>
    <row r="867" spans="1:23" ht="16.5" x14ac:dyDescent="0.3">
      <c r="A867" t="s">
        <v>934</v>
      </c>
      <c r="B867" t="s">
        <v>35</v>
      </c>
      <c r="C867" t="s">
        <v>87</v>
      </c>
      <c r="D867" t="s">
        <v>37</v>
      </c>
      <c r="E867">
        <v>48</v>
      </c>
      <c r="F867" t="s">
        <v>88</v>
      </c>
      <c r="G867" t="s">
        <v>28</v>
      </c>
      <c r="H867" s="1">
        <v>42049</v>
      </c>
      <c r="I867" s="2">
        <v>10.9</v>
      </c>
      <c r="J867" t="s">
        <v>39</v>
      </c>
      <c r="K867" s="3">
        <v>7700</v>
      </c>
      <c r="L867" t="s">
        <v>58</v>
      </c>
      <c r="M867">
        <v>3</v>
      </c>
      <c r="N867">
        <v>3</v>
      </c>
      <c r="O867">
        <v>14</v>
      </c>
      <c r="P867" t="s">
        <v>21</v>
      </c>
      <c r="Q867" s="1"/>
      <c r="U867">
        <v>1</v>
      </c>
      <c r="V867">
        <v>1</v>
      </c>
      <c r="W867">
        <v>0</v>
      </c>
    </row>
    <row r="868" spans="1:23" ht="16.5" x14ac:dyDescent="0.3">
      <c r="A868" t="s">
        <v>935</v>
      </c>
      <c r="B868" t="s">
        <v>55</v>
      </c>
      <c r="C868" t="s">
        <v>25</v>
      </c>
      <c r="D868" t="s">
        <v>37</v>
      </c>
      <c r="E868">
        <v>21</v>
      </c>
      <c r="F868" t="s">
        <v>57</v>
      </c>
      <c r="G868" t="s">
        <v>38</v>
      </c>
      <c r="H868" s="1">
        <v>45951</v>
      </c>
      <c r="I868" s="2">
        <v>0.2</v>
      </c>
      <c r="J868" t="s">
        <v>64</v>
      </c>
      <c r="K868" s="3">
        <v>4250</v>
      </c>
      <c r="L868" t="s">
        <v>30</v>
      </c>
      <c r="M868">
        <v>3</v>
      </c>
      <c r="N868">
        <v>4</v>
      </c>
      <c r="O868">
        <v>35</v>
      </c>
      <c r="P868" t="s">
        <v>21</v>
      </c>
      <c r="Q868" s="1"/>
      <c r="U868">
        <v>1</v>
      </c>
      <c r="V868">
        <v>1</v>
      </c>
      <c r="W868">
        <v>0</v>
      </c>
    </row>
    <row r="869" spans="1:23" ht="16.5" x14ac:dyDescent="0.3">
      <c r="A869" t="s">
        <v>936</v>
      </c>
      <c r="B869" t="s">
        <v>73</v>
      </c>
      <c r="C869" t="s">
        <v>36</v>
      </c>
      <c r="D869" t="s">
        <v>37</v>
      </c>
      <c r="E869">
        <v>37</v>
      </c>
      <c r="F869" t="s">
        <v>46</v>
      </c>
      <c r="G869" t="s">
        <v>52</v>
      </c>
      <c r="H869" s="1">
        <v>43458</v>
      </c>
      <c r="I869" s="2">
        <v>7</v>
      </c>
      <c r="J869" t="s">
        <v>39</v>
      </c>
      <c r="K869" s="3">
        <v>5650</v>
      </c>
      <c r="L869" t="s">
        <v>30</v>
      </c>
      <c r="M869">
        <v>1</v>
      </c>
      <c r="N869">
        <v>5</v>
      </c>
      <c r="O869">
        <v>43</v>
      </c>
      <c r="P869" t="s">
        <v>21</v>
      </c>
      <c r="Q869" s="1"/>
      <c r="U869">
        <v>1</v>
      </c>
      <c r="V869">
        <v>1</v>
      </c>
      <c r="W869">
        <v>0</v>
      </c>
    </row>
    <row r="870" spans="1:23" ht="16.5" x14ac:dyDescent="0.3">
      <c r="A870" t="s">
        <v>937</v>
      </c>
      <c r="B870" t="s">
        <v>24</v>
      </c>
      <c r="C870" t="s">
        <v>87</v>
      </c>
      <c r="D870" t="s">
        <v>37</v>
      </c>
      <c r="E870">
        <v>42</v>
      </c>
      <c r="F870" t="s">
        <v>46</v>
      </c>
      <c r="G870" t="s">
        <v>28</v>
      </c>
      <c r="H870" s="1">
        <v>42393</v>
      </c>
      <c r="I870" s="2">
        <v>9.9</v>
      </c>
      <c r="J870" t="s">
        <v>39</v>
      </c>
      <c r="K870" s="3">
        <v>9150</v>
      </c>
      <c r="L870" t="s">
        <v>30</v>
      </c>
      <c r="M870">
        <v>5</v>
      </c>
      <c r="N870">
        <v>3</v>
      </c>
      <c r="O870">
        <v>3</v>
      </c>
      <c r="P870" t="s">
        <v>21</v>
      </c>
      <c r="Q870" s="1"/>
      <c r="U870">
        <v>1</v>
      </c>
      <c r="V870">
        <v>1</v>
      </c>
      <c r="W870">
        <v>0</v>
      </c>
    </row>
    <row r="871" spans="1:23" ht="16.5" x14ac:dyDescent="0.3">
      <c r="A871" t="s">
        <v>938</v>
      </c>
      <c r="B871" t="s">
        <v>73</v>
      </c>
      <c r="C871" t="s">
        <v>36</v>
      </c>
      <c r="D871" t="s">
        <v>37</v>
      </c>
      <c r="E871">
        <v>33</v>
      </c>
      <c r="F871" t="s">
        <v>27</v>
      </c>
      <c r="G871" t="s">
        <v>28</v>
      </c>
      <c r="H871" s="1">
        <v>44687</v>
      </c>
      <c r="I871" s="2">
        <v>3.7</v>
      </c>
      <c r="J871" t="s">
        <v>50</v>
      </c>
      <c r="K871" s="3">
        <v>4900</v>
      </c>
      <c r="L871" t="s">
        <v>30</v>
      </c>
      <c r="M871">
        <v>3</v>
      </c>
      <c r="N871">
        <v>4</v>
      </c>
      <c r="O871">
        <v>16</v>
      </c>
      <c r="P871" t="s">
        <v>21</v>
      </c>
      <c r="Q871" s="1"/>
      <c r="U871">
        <v>1</v>
      </c>
      <c r="V871">
        <v>1</v>
      </c>
      <c r="W871">
        <v>0</v>
      </c>
    </row>
    <row r="872" spans="1:23" ht="16.5" x14ac:dyDescent="0.3">
      <c r="A872" t="s">
        <v>939</v>
      </c>
      <c r="B872" t="s">
        <v>35</v>
      </c>
      <c r="C872" t="s">
        <v>36</v>
      </c>
      <c r="D872" t="s">
        <v>37</v>
      </c>
      <c r="E872">
        <v>44</v>
      </c>
      <c r="F872" t="s">
        <v>46</v>
      </c>
      <c r="G872" t="s">
        <v>38</v>
      </c>
      <c r="H872" s="1">
        <v>41361</v>
      </c>
      <c r="I872" s="2">
        <v>12.8</v>
      </c>
      <c r="J872" t="s">
        <v>39</v>
      </c>
      <c r="K872" s="3">
        <v>4750</v>
      </c>
      <c r="L872" t="s">
        <v>58</v>
      </c>
      <c r="M872">
        <v>4</v>
      </c>
      <c r="N872">
        <v>3</v>
      </c>
      <c r="O872">
        <v>13</v>
      </c>
      <c r="P872" t="s">
        <v>21</v>
      </c>
      <c r="Q872" s="1"/>
      <c r="U872">
        <v>1</v>
      </c>
      <c r="V872">
        <v>1</v>
      </c>
      <c r="W872">
        <v>0</v>
      </c>
    </row>
    <row r="873" spans="1:23" ht="16.5" x14ac:dyDescent="0.3">
      <c r="A873" t="s">
        <v>940</v>
      </c>
      <c r="B873" t="s">
        <v>48</v>
      </c>
      <c r="C873" t="s">
        <v>45</v>
      </c>
      <c r="D873" t="s">
        <v>37</v>
      </c>
      <c r="E873">
        <v>35</v>
      </c>
      <c r="F873" t="s">
        <v>27</v>
      </c>
      <c r="G873" t="s">
        <v>38</v>
      </c>
      <c r="H873" s="1">
        <v>43822</v>
      </c>
      <c r="I873" s="2">
        <v>6</v>
      </c>
      <c r="J873" t="s">
        <v>39</v>
      </c>
      <c r="K873" s="3">
        <v>10000</v>
      </c>
      <c r="L873" t="s">
        <v>30</v>
      </c>
      <c r="M873">
        <v>1</v>
      </c>
      <c r="N873">
        <v>4</v>
      </c>
      <c r="O873">
        <v>31</v>
      </c>
      <c r="P873" t="s">
        <v>21</v>
      </c>
      <c r="Q873" s="1"/>
      <c r="U873">
        <v>1</v>
      </c>
      <c r="V873">
        <v>1</v>
      </c>
      <c r="W873">
        <v>0</v>
      </c>
    </row>
    <row r="874" spans="1:23" ht="16.5" x14ac:dyDescent="0.3">
      <c r="A874" t="s">
        <v>941</v>
      </c>
      <c r="B874" t="s">
        <v>44</v>
      </c>
      <c r="C874" t="s">
        <v>45</v>
      </c>
      <c r="D874" t="s">
        <v>37</v>
      </c>
      <c r="E874">
        <v>48</v>
      </c>
      <c r="F874" t="s">
        <v>88</v>
      </c>
      <c r="G874" t="s">
        <v>52</v>
      </c>
      <c r="H874" s="1">
        <v>41831</v>
      </c>
      <c r="I874" s="2">
        <v>11.5</v>
      </c>
      <c r="J874" t="s">
        <v>39</v>
      </c>
      <c r="K874" s="3">
        <v>11000</v>
      </c>
      <c r="L874" t="s">
        <v>30</v>
      </c>
      <c r="M874">
        <v>2</v>
      </c>
      <c r="N874">
        <v>4</v>
      </c>
      <c r="O874">
        <v>35</v>
      </c>
      <c r="P874" t="s">
        <v>21</v>
      </c>
      <c r="Q874" s="1"/>
      <c r="U874">
        <v>1</v>
      </c>
      <c r="V874">
        <v>1</v>
      </c>
      <c r="W874">
        <v>0</v>
      </c>
    </row>
    <row r="875" spans="1:23" ht="16.5" x14ac:dyDescent="0.3">
      <c r="A875" t="s">
        <v>942</v>
      </c>
      <c r="B875" t="s">
        <v>48</v>
      </c>
      <c r="C875" t="s">
        <v>45</v>
      </c>
      <c r="D875" t="s">
        <v>37</v>
      </c>
      <c r="E875">
        <v>38</v>
      </c>
      <c r="F875" t="s">
        <v>46</v>
      </c>
      <c r="G875" t="s">
        <v>28</v>
      </c>
      <c r="H875" s="1">
        <v>42784</v>
      </c>
      <c r="I875" s="2">
        <v>8.9</v>
      </c>
      <c r="J875" t="s">
        <v>39</v>
      </c>
      <c r="K875" s="3">
        <v>10650</v>
      </c>
      <c r="L875" t="s">
        <v>58</v>
      </c>
      <c r="M875">
        <v>4</v>
      </c>
      <c r="N875">
        <v>3</v>
      </c>
      <c r="O875">
        <v>34</v>
      </c>
      <c r="P875" t="s">
        <v>21</v>
      </c>
      <c r="Q875" s="1"/>
      <c r="U875">
        <v>1</v>
      </c>
      <c r="V875">
        <v>1</v>
      </c>
      <c r="W875">
        <v>0</v>
      </c>
    </row>
    <row r="876" spans="1:23" ht="16.5" x14ac:dyDescent="0.3">
      <c r="A876" t="s">
        <v>943</v>
      </c>
      <c r="B876" t="s">
        <v>73</v>
      </c>
      <c r="C876" t="s">
        <v>87</v>
      </c>
      <c r="D876" t="s">
        <v>37</v>
      </c>
      <c r="E876">
        <v>51</v>
      </c>
      <c r="F876" t="s">
        <v>88</v>
      </c>
      <c r="G876" t="s">
        <v>28</v>
      </c>
      <c r="H876" s="1">
        <v>44476</v>
      </c>
      <c r="I876" s="2">
        <v>4.2</v>
      </c>
      <c r="J876" t="s">
        <v>50</v>
      </c>
      <c r="K876" s="3">
        <v>9700</v>
      </c>
      <c r="L876" t="s">
        <v>30</v>
      </c>
      <c r="M876">
        <v>3</v>
      </c>
      <c r="N876">
        <v>3</v>
      </c>
      <c r="O876">
        <v>18</v>
      </c>
      <c r="P876" t="s">
        <v>21</v>
      </c>
      <c r="Q876" s="1"/>
      <c r="U876">
        <v>1</v>
      </c>
      <c r="V876">
        <v>1</v>
      </c>
      <c r="W876">
        <v>0</v>
      </c>
    </row>
    <row r="877" spans="1:23" ht="16.5" x14ac:dyDescent="0.3">
      <c r="A877" t="s">
        <v>944</v>
      </c>
      <c r="B877" t="s">
        <v>70</v>
      </c>
      <c r="C877" t="s">
        <v>45</v>
      </c>
      <c r="D877" t="s">
        <v>37</v>
      </c>
      <c r="E877">
        <v>40</v>
      </c>
      <c r="F877" t="s">
        <v>46</v>
      </c>
      <c r="G877" t="s">
        <v>38</v>
      </c>
      <c r="H877" s="1">
        <v>44363</v>
      </c>
      <c r="I877" s="2">
        <v>4.5</v>
      </c>
      <c r="J877" t="s">
        <v>50</v>
      </c>
      <c r="K877" s="3">
        <v>7300</v>
      </c>
      <c r="L877" t="s">
        <v>58</v>
      </c>
      <c r="M877">
        <v>4</v>
      </c>
      <c r="N877">
        <v>4</v>
      </c>
      <c r="O877">
        <v>20</v>
      </c>
      <c r="P877" t="s">
        <v>21</v>
      </c>
      <c r="Q877" s="1"/>
      <c r="U877">
        <v>1</v>
      </c>
      <c r="V877">
        <v>1</v>
      </c>
      <c r="W877">
        <v>0</v>
      </c>
    </row>
    <row r="878" spans="1:23" ht="16.5" x14ac:dyDescent="0.3">
      <c r="A878" t="s">
        <v>945</v>
      </c>
      <c r="B878" t="s">
        <v>73</v>
      </c>
      <c r="C878" t="s">
        <v>45</v>
      </c>
      <c r="D878" t="s">
        <v>37</v>
      </c>
      <c r="E878">
        <v>43</v>
      </c>
      <c r="F878" t="s">
        <v>46</v>
      </c>
      <c r="G878" t="s">
        <v>38</v>
      </c>
      <c r="H878" s="1">
        <v>41682</v>
      </c>
      <c r="I878" s="2">
        <v>9.9</v>
      </c>
      <c r="J878" t="s">
        <v>39</v>
      </c>
      <c r="K878" s="3">
        <v>5150</v>
      </c>
      <c r="L878" t="s">
        <v>30</v>
      </c>
      <c r="M878">
        <v>5</v>
      </c>
      <c r="N878">
        <v>4</v>
      </c>
      <c r="O878">
        <v>18</v>
      </c>
      <c r="P878" t="s">
        <v>22</v>
      </c>
      <c r="Q878" s="1">
        <v>45307</v>
      </c>
      <c r="R878" t="s">
        <v>31</v>
      </c>
      <c r="S878" t="s">
        <v>107</v>
      </c>
      <c r="T878" t="s">
        <v>473</v>
      </c>
      <c r="U878">
        <v>1</v>
      </c>
      <c r="V878">
        <v>0</v>
      </c>
      <c r="W878">
        <v>1</v>
      </c>
    </row>
    <row r="879" spans="1:23" ht="16.5" x14ac:dyDescent="0.3">
      <c r="A879" t="s">
        <v>946</v>
      </c>
      <c r="B879" t="s">
        <v>24</v>
      </c>
      <c r="C879" t="s">
        <v>36</v>
      </c>
      <c r="D879" t="s">
        <v>26</v>
      </c>
      <c r="E879">
        <v>30</v>
      </c>
      <c r="F879" t="s">
        <v>27</v>
      </c>
      <c r="G879" t="s">
        <v>28</v>
      </c>
      <c r="H879" s="1">
        <v>44224</v>
      </c>
      <c r="I879" s="2">
        <v>4.9000000000000004</v>
      </c>
      <c r="J879" t="s">
        <v>50</v>
      </c>
      <c r="K879" s="3">
        <v>3000</v>
      </c>
      <c r="L879" t="s">
        <v>30</v>
      </c>
      <c r="M879">
        <v>3</v>
      </c>
      <c r="N879">
        <v>5</v>
      </c>
      <c r="O879">
        <v>30</v>
      </c>
      <c r="P879" t="s">
        <v>21</v>
      </c>
      <c r="Q879" s="1"/>
      <c r="U879">
        <v>1</v>
      </c>
      <c r="V879">
        <v>1</v>
      </c>
      <c r="W879">
        <v>0</v>
      </c>
    </row>
    <row r="880" spans="1:23" ht="16.5" x14ac:dyDescent="0.3">
      <c r="A880" t="s">
        <v>947</v>
      </c>
      <c r="B880" t="s">
        <v>24</v>
      </c>
      <c r="C880" t="s">
        <v>25</v>
      </c>
      <c r="D880" t="s">
        <v>37</v>
      </c>
      <c r="E880">
        <v>27</v>
      </c>
      <c r="F880" t="s">
        <v>27</v>
      </c>
      <c r="G880" t="s">
        <v>28</v>
      </c>
      <c r="H880" s="1">
        <v>44682</v>
      </c>
      <c r="I880" s="2">
        <v>3.7</v>
      </c>
      <c r="J880" t="s">
        <v>50</v>
      </c>
      <c r="K880" s="3">
        <v>3050</v>
      </c>
      <c r="L880" t="s">
        <v>30</v>
      </c>
      <c r="M880">
        <v>5</v>
      </c>
      <c r="N880">
        <v>4</v>
      </c>
      <c r="O880">
        <v>33</v>
      </c>
      <c r="P880" t="s">
        <v>21</v>
      </c>
      <c r="Q880" s="1"/>
      <c r="U880">
        <v>1</v>
      </c>
      <c r="V880">
        <v>1</v>
      </c>
      <c r="W880">
        <v>0</v>
      </c>
    </row>
    <row r="881" spans="1:23" ht="16.5" x14ac:dyDescent="0.3">
      <c r="A881" t="s">
        <v>948</v>
      </c>
      <c r="B881" t="s">
        <v>70</v>
      </c>
      <c r="C881" t="s">
        <v>25</v>
      </c>
      <c r="D881" t="s">
        <v>37</v>
      </c>
      <c r="E881">
        <v>37</v>
      </c>
      <c r="F881" t="s">
        <v>46</v>
      </c>
      <c r="G881" t="s">
        <v>38</v>
      </c>
      <c r="H881" s="1">
        <v>43585</v>
      </c>
      <c r="I881" s="2">
        <v>6.7</v>
      </c>
      <c r="J881" t="s">
        <v>39</v>
      </c>
      <c r="K881" s="3">
        <v>4200</v>
      </c>
      <c r="L881" t="s">
        <v>30</v>
      </c>
      <c r="M881">
        <v>3</v>
      </c>
      <c r="N881">
        <v>3</v>
      </c>
      <c r="O881">
        <v>41</v>
      </c>
      <c r="P881" t="s">
        <v>21</v>
      </c>
      <c r="Q881" s="1"/>
      <c r="U881">
        <v>1</v>
      </c>
      <c r="V881">
        <v>1</v>
      </c>
      <c r="W881">
        <v>0</v>
      </c>
    </row>
    <row r="882" spans="1:23" ht="16.5" x14ac:dyDescent="0.3">
      <c r="A882" t="s">
        <v>949</v>
      </c>
      <c r="B882" t="s">
        <v>48</v>
      </c>
      <c r="C882" t="s">
        <v>25</v>
      </c>
      <c r="D882" t="s">
        <v>26</v>
      </c>
      <c r="E882">
        <v>37</v>
      </c>
      <c r="F882" t="s">
        <v>46</v>
      </c>
      <c r="G882" t="s">
        <v>38</v>
      </c>
      <c r="H882" s="1">
        <v>45155</v>
      </c>
      <c r="I882" s="2">
        <v>2.4</v>
      </c>
      <c r="J882" t="s">
        <v>29</v>
      </c>
      <c r="K882" s="3">
        <v>6700</v>
      </c>
      <c r="L882" t="s">
        <v>30</v>
      </c>
      <c r="M882">
        <v>5</v>
      </c>
      <c r="N882">
        <v>4</v>
      </c>
      <c r="O882">
        <v>25</v>
      </c>
      <c r="P882" t="s">
        <v>21</v>
      </c>
      <c r="Q882" s="1"/>
      <c r="U882">
        <v>1</v>
      </c>
      <c r="V882">
        <v>1</v>
      </c>
      <c r="W882">
        <v>0</v>
      </c>
    </row>
    <row r="883" spans="1:23" ht="16.5" x14ac:dyDescent="0.3">
      <c r="A883" t="s">
        <v>950</v>
      </c>
      <c r="B883" t="s">
        <v>70</v>
      </c>
      <c r="C883" t="s">
        <v>87</v>
      </c>
      <c r="D883" t="s">
        <v>37</v>
      </c>
      <c r="E883">
        <v>38</v>
      </c>
      <c r="F883" t="s">
        <v>46</v>
      </c>
      <c r="G883" t="s">
        <v>28</v>
      </c>
      <c r="H883" s="1">
        <v>42091</v>
      </c>
      <c r="I883" s="2">
        <v>10.8</v>
      </c>
      <c r="J883" t="s">
        <v>39</v>
      </c>
      <c r="K883" s="3">
        <v>13000</v>
      </c>
      <c r="L883" t="s">
        <v>30</v>
      </c>
      <c r="M883">
        <v>4</v>
      </c>
      <c r="N883">
        <v>4</v>
      </c>
      <c r="O883">
        <v>27</v>
      </c>
      <c r="P883" t="s">
        <v>21</v>
      </c>
      <c r="Q883" s="1"/>
      <c r="U883">
        <v>1</v>
      </c>
      <c r="V883">
        <v>1</v>
      </c>
      <c r="W883">
        <v>0</v>
      </c>
    </row>
    <row r="884" spans="1:23" ht="16.5" x14ac:dyDescent="0.3">
      <c r="A884" t="s">
        <v>951</v>
      </c>
      <c r="B884" t="s">
        <v>35</v>
      </c>
      <c r="C884" t="s">
        <v>25</v>
      </c>
      <c r="D884" t="s">
        <v>26</v>
      </c>
      <c r="E884">
        <v>27</v>
      </c>
      <c r="F884" t="s">
        <v>27</v>
      </c>
      <c r="G884" t="s">
        <v>38</v>
      </c>
      <c r="H884" s="1">
        <v>44620</v>
      </c>
      <c r="I884" s="2">
        <v>3.8</v>
      </c>
      <c r="J884" t="s">
        <v>50</v>
      </c>
      <c r="K884" s="3">
        <v>3200</v>
      </c>
      <c r="L884" t="s">
        <v>30</v>
      </c>
      <c r="M884">
        <v>5</v>
      </c>
      <c r="N884">
        <v>3</v>
      </c>
      <c r="O884">
        <v>14</v>
      </c>
      <c r="P884" t="s">
        <v>21</v>
      </c>
      <c r="Q884" s="1"/>
      <c r="U884">
        <v>1</v>
      </c>
      <c r="V884">
        <v>1</v>
      </c>
      <c r="W884">
        <v>0</v>
      </c>
    </row>
    <row r="885" spans="1:23" ht="16.5" x14ac:dyDescent="0.3">
      <c r="A885" t="s">
        <v>952</v>
      </c>
      <c r="B885" t="s">
        <v>70</v>
      </c>
      <c r="C885" t="s">
        <v>25</v>
      </c>
      <c r="D885" t="s">
        <v>37</v>
      </c>
      <c r="E885">
        <v>25</v>
      </c>
      <c r="F885" t="s">
        <v>57</v>
      </c>
      <c r="G885" t="s">
        <v>28</v>
      </c>
      <c r="H885" s="1">
        <v>45317</v>
      </c>
      <c r="I885" s="2">
        <v>1.1000000000000001</v>
      </c>
      <c r="J885" t="s">
        <v>29</v>
      </c>
      <c r="K885" s="3">
        <v>3500</v>
      </c>
      <c r="L885" t="s">
        <v>30</v>
      </c>
      <c r="M885">
        <v>3</v>
      </c>
      <c r="N885">
        <v>4</v>
      </c>
      <c r="O885">
        <v>15</v>
      </c>
      <c r="P885" t="s">
        <v>22</v>
      </c>
      <c r="Q885" s="1">
        <v>45713</v>
      </c>
      <c r="R885" t="s">
        <v>40</v>
      </c>
      <c r="S885" t="s">
        <v>103</v>
      </c>
      <c r="T885" t="s">
        <v>33</v>
      </c>
      <c r="U885">
        <v>1</v>
      </c>
      <c r="V885">
        <v>0</v>
      </c>
      <c r="W885">
        <v>1</v>
      </c>
    </row>
    <row r="886" spans="1:23" ht="16.5" x14ac:dyDescent="0.3">
      <c r="A886" t="s">
        <v>953</v>
      </c>
      <c r="B886" t="s">
        <v>70</v>
      </c>
      <c r="C886" t="s">
        <v>45</v>
      </c>
      <c r="D886" t="s">
        <v>37</v>
      </c>
      <c r="E886">
        <v>33</v>
      </c>
      <c r="F886" t="s">
        <v>27</v>
      </c>
      <c r="G886" t="s">
        <v>28</v>
      </c>
      <c r="H886" s="1">
        <v>44951</v>
      </c>
      <c r="I886" s="2">
        <v>2.9</v>
      </c>
      <c r="J886" t="s">
        <v>29</v>
      </c>
      <c r="K886" s="3">
        <v>8300</v>
      </c>
      <c r="L886" t="s">
        <v>58</v>
      </c>
      <c r="M886">
        <v>3</v>
      </c>
      <c r="N886">
        <v>4</v>
      </c>
      <c r="O886">
        <v>19</v>
      </c>
      <c r="P886" t="s">
        <v>21</v>
      </c>
      <c r="Q886" s="1"/>
      <c r="U886">
        <v>1</v>
      </c>
      <c r="V886">
        <v>1</v>
      </c>
      <c r="W886">
        <v>0</v>
      </c>
    </row>
    <row r="887" spans="1:23" ht="16.5" x14ac:dyDescent="0.3">
      <c r="A887" t="s">
        <v>954</v>
      </c>
      <c r="B887" t="s">
        <v>24</v>
      </c>
      <c r="C887" t="s">
        <v>45</v>
      </c>
      <c r="D887" t="s">
        <v>26</v>
      </c>
      <c r="E887">
        <v>38</v>
      </c>
      <c r="F887" t="s">
        <v>46</v>
      </c>
      <c r="G887" t="s">
        <v>28</v>
      </c>
      <c r="H887" s="1">
        <v>42273</v>
      </c>
      <c r="I887" s="2">
        <v>10.3</v>
      </c>
      <c r="J887" t="s">
        <v>39</v>
      </c>
      <c r="K887" s="3">
        <v>6250</v>
      </c>
      <c r="L887" t="s">
        <v>58</v>
      </c>
      <c r="M887">
        <v>5</v>
      </c>
      <c r="N887">
        <v>3</v>
      </c>
      <c r="O887">
        <v>10</v>
      </c>
      <c r="P887" t="s">
        <v>21</v>
      </c>
      <c r="Q887" s="1"/>
      <c r="U887">
        <v>1</v>
      </c>
      <c r="V887">
        <v>1</v>
      </c>
      <c r="W887">
        <v>0</v>
      </c>
    </row>
    <row r="888" spans="1:23" ht="16.5" x14ac:dyDescent="0.3">
      <c r="A888" t="s">
        <v>955</v>
      </c>
      <c r="B888" t="s">
        <v>73</v>
      </c>
      <c r="C888" t="s">
        <v>25</v>
      </c>
      <c r="D888" t="s">
        <v>26</v>
      </c>
      <c r="E888">
        <v>28</v>
      </c>
      <c r="F888" t="s">
        <v>27</v>
      </c>
      <c r="G888" t="s">
        <v>38</v>
      </c>
      <c r="H888" s="1">
        <v>44094</v>
      </c>
      <c r="I888" s="2">
        <v>5.3</v>
      </c>
      <c r="J888" t="s">
        <v>39</v>
      </c>
      <c r="K888" s="3">
        <v>4200</v>
      </c>
      <c r="L888" t="s">
        <v>30</v>
      </c>
      <c r="M888">
        <v>4</v>
      </c>
      <c r="N888">
        <v>3</v>
      </c>
      <c r="O888">
        <v>31</v>
      </c>
      <c r="P888" t="s">
        <v>21</v>
      </c>
      <c r="Q888" s="1"/>
      <c r="U888">
        <v>1</v>
      </c>
      <c r="V888">
        <v>1</v>
      </c>
      <c r="W888">
        <v>0</v>
      </c>
    </row>
    <row r="889" spans="1:23" ht="16.5" x14ac:dyDescent="0.3">
      <c r="A889" t="s">
        <v>956</v>
      </c>
      <c r="B889" t="s">
        <v>35</v>
      </c>
      <c r="C889" t="s">
        <v>45</v>
      </c>
      <c r="D889" t="s">
        <v>37</v>
      </c>
      <c r="E889">
        <v>31</v>
      </c>
      <c r="F889" t="s">
        <v>27</v>
      </c>
      <c r="G889" t="s">
        <v>28</v>
      </c>
      <c r="H889" s="1">
        <v>44257</v>
      </c>
      <c r="I889" s="2">
        <v>4.8</v>
      </c>
      <c r="J889" t="s">
        <v>50</v>
      </c>
      <c r="K889" s="3">
        <v>7250</v>
      </c>
      <c r="L889" t="s">
        <v>30</v>
      </c>
      <c r="M889">
        <v>2</v>
      </c>
      <c r="N889">
        <v>4</v>
      </c>
      <c r="O889">
        <v>20</v>
      </c>
      <c r="P889" t="s">
        <v>21</v>
      </c>
      <c r="Q889" s="1"/>
      <c r="U889">
        <v>1</v>
      </c>
      <c r="V889">
        <v>1</v>
      </c>
      <c r="W889">
        <v>0</v>
      </c>
    </row>
    <row r="890" spans="1:23" ht="16.5" x14ac:dyDescent="0.3">
      <c r="A890" t="s">
        <v>957</v>
      </c>
      <c r="B890" t="s">
        <v>35</v>
      </c>
      <c r="C890" t="s">
        <v>36</v>
      </c>
      <c r="D890" t="s">
        <v>26</v>
      </c>
      <c r="E890">
        <v>39</v>
      </c>
      <c r="F890" t="s">
        <v>46</v>
      </c>
      <c r="G890" t="s">
        <v>38</v>
      </c>
      <c r="H890" s="1">
        <v>41886</v>
      </c>
      <c r="I890" s="2">
        <v>11.3</v>
      </c>
      <c r="J890" t="s">
        <v>39</v>
      </c>
      <c r="K890" s="3">
        <v>4400</v>
      </c>
      <c r="L890" t="s">
        <v>58</v>
      </c>
      <c r="M890">
        <v>4</v>
      </c>
      <c r="N890">
        <v>5</v>
      </c>
      <c r="O890">
        <v>35</v>
      </c>
      <c r="P890" t="s">
        <v>21</v>
      </c>
      <c r="Q890" s="1"/>
      <c r="U890">
        <v>1</v>
      </c>
      <c r="V890">
        <v>1</v>
      </c>
      <c r="W890">
        <v>0</v>
      </c>
    </row>
    <row r="891" spans="1:23" ht="16.5" x14ac:dyDescent="0.3">
      <c r="A891" t="s">
        <v>958</v>
      </c>
      <c r="B891" t="s">
        <v>48</v>
      </c>
      <c r="C891" t="s">
        <v>45</v>
      </c>
      <c r="D891" t="s">
        <v>37</v>
      </c>
      <c r="E891">
        <v>41</v>
      </c>
      <c r="F891" t="s">
        <v>46</v>
      </c>
      <c r="G891" t="s">
        <v>52</v>
      </c>
      <c r="H891" s="1">
        <v>43831</v>
      </c>
      <c r="I891" s="2">
        <v>6</v>
      </c>
      <c r="J891" t="s">
        <v>39</v>
      </c>
      <c r="K891" s="3">
        <v>10400</v>
      </c>
      <c r="L891" t="s">
        <v>30</v>
      </c>
      <c r="M891">
        <v>4</v>
      </c>
      <c r="N891">
        <v>4</v>
      </c>
      <c r="O891">
        <v>12</v>
      </c>
      <c r="P891" t="s">
        <v>21</v>
      </c>
      <c r="Q891" s="1"/>
      <c r="U891">
        <v>1</v>
      </c>
      <c r="V891">
        <v>1</v>
      </c>
      <c r="W891">
        <v>0</v>
      </c>
    </row>
    <row r="892" spans="1:23" ht="16.5" x14ac:dyDescent="0.3">
      <c r="A892" t="s">
        <v>959</v>
      </c>
      <c r="B892" t="s">
        <v>35</v>
      </c>
      <c r="C892" t="s">
        <v>45</v>
      </c>
      <c r="D892" t="s">
        <v>26</v>
      </c>
      <c r="E892">
        <v>34</v>
      </c>
      <c r="F892" t="s">
        <v>27</v>
      </c>
      <c r="G892" t="s">
        <v>28</v>
      </c>
      <c r="H892" s="1">
        <v>44578</v>
      </c>
      <c r="I892" s="2">
        <v>2.1</v>
      </c>
      <c r="J892" t="s">
        <v>29</v>
      </c>
      <c r="K892" s="3">
        <v>5400</v>
      </c>
      <c r="L892" t="s">
        <v>58</v>
      </c>
      <c r="M892">
        <v>2</v>
      </c>
      <c r="N892">
        <v>3</v>
      </c>
      <c r="O892">
        <v>9</v>
      </c>
      <c r="P892" t="s">
        <v>22</v>
      </c>
      <c r="Q892" s="1">
        <v>45356</v>
      </c>
      <c r="R892" t="s">
        <v>31</v>
      </c>
      <c r="S892" t="s">
        <v>59</v>
      </c>
      <c r="T892" t="s">
        <v>60</v>
      </c>
      <c r="U892">
        <v>1</v>
      </c>
      <c r="V892">
        <v>0</v>
      </c>
      <c r="W892">
        <v>1</v>
      </c>
    </row>
    <row r="893" spans="1:23" ht="16.5" x14ac:dyDescent="0.3">
      <c r="A893" t="s">
        <v>960</v>
      </c>
      <c r="B893" t="s">
        <v>35</v>
      </c>
      <c r="C893" t="s">
        <v>87</v>
      </c>
      <c r="D893" t="s">
        <v>26</v>
      </c>
      <c r="E893">
        <v>40</v>
      </c>
      <c r="F893" t="s">
        <v>46</v>
      </c>
      <c r="G893" t="s">
        <v>38</v>
      </c>
      <c r="H893" s="1">
        <v>43072</v>
      </c>
      <c r="I893" s="2">
        <v>6.1</v>
      </c>
      <c r="J893" t="s">
        <v>39</v>
      </c>
      <c r="K893" s="3">
        <v>10950</v>
      </c>
      <c r="L893" t="s">
        <v>58</v>
      </c>
      <c r="M893">
        <v>3</v>
      </c>
      <c r="N893">
        <v>3</v>
      </c>
      <c r="O893">
        <v>35</v>
      </c>
      <c r="P893" t="s">
        <v>22</v>
      </c>
      <c r="Q893" s="1">
        <v>45302</v>
      </c>
      <c r="R893" t="s">
        <v>31</v>
      </c>
      <c r="S893" t="s">
        <v>107</v>
      </c>
      <c r="T893" t="s">
        <v>151</v>
      </c>
      <c r="U893">
        <v>1</v>
      </c>
      <c r="V893">
        <v>0</v>
      </c>
      <c r="W893">
        <v>1</v>
      </c>
    </row>
    <row r="894" spans="1:23" ht="16.5" x14ac:dyDescent="0.3">
      <c r="A894" t="s">
        <v>961</v>
      </c>
      <c r="B894" t="s">
        <v>24</v>
      </c>
      <c r="C894" t="s">
        <v>25</v>
      </c>
      <c r="D894" t="s">
        <v>26</v>
      </c>
      <c r="E894">
        <v>21</v>
      </c>
      <c r="F894" t="s">
        <v>57</v>
      </c>
      <c r="G894" t="s">
        <v>28</v>
      </c>
      <c r="H894" s="1">
        <v>45974</v>
      </c>
      <c r="I894" s="2">
        <v>0.1</v>
      </c>
      <c r="J894" t="s">
        <v>64</v>
      </c>
      <c r="K894" s="3">
        <v>2650</v>
      </c>
      <c r="L894" t="s">
        <v>58</v>
      </c>
      <c r="M894">
        <v>4</v>
      </c>
      <c r="N894">
        <v>3</v>
      </c>
      <c r="O894">
        <v>32</v>
      </c>
      <c r="P894" t="s">
        <v>21</v>
      </c>
      <c r="Q894" s="1"/>
      <c r="U894">
        <v>1</v>
      </c>
      <c r="V894">
        <v>1</v>
      </c>
      <c r="W894">
        <v>0</v>
      </c>
    </row>
    <row r="895" spans="1:23" ht="16.5" x14ac:dyDescent="0.3">
      <c r="A895" t="s">
        <v>962</v>
      </c>
      <c r="B895" t="s">
        <v>35</v>
      </c>
      <c r="C895" t="s">
        <v>25</v>
      </c>
      <c r="D895" t="s">
        <v>26</v>
      </c>
      <c r="E895">
        <v>32</v>
      </c>
      <c r="F895" t="s">
        <v>27</v>
      </c>
      <c r="G895" t="s">
        <v>28</v>
      </c>
      <c r="H895" s="1">
        <v>43126</v>
      </c>
      <c r="I895" s="2">
        <v>7.9</v>
      </c>
      <c r="J895" t="s">
        <v>39</v>
      </c>
      <c r="K895" s="3">
        <v>3200</v>
      </c>
      <c r="L895" t="s">
        <v>30</v>
      </c>
      <c r="M895">
        <v>1</v>
      </c>
      <c r="N895">
        <v>3</v>
      </c>
      <c r="O895">
        <v>22</v>
      </c>
      <c r="P895" t="s">
        <v>21</v>
      </c>
      <c r="Q895" s="1"/>
      <c r="U895">
        <v>1</v>
      </c>
      <c r="V895">
        <v>1</v>
      </c>
      <c r="W895">
        <v>0</v>
      </c>
    </row>
    <row r="896" spans="1:23" ht="16.5" x14ac:dyDescent="0.3">
      <c r="A896" t="s">
        <v>963</v>
      </c>
      <c r="B896" t="s">
        <v>70</v>
      </c>
      <c r="C896" t="s">
        <v>45</v>
      </c>
      <c r="D896" t="s">
        <v>26</v>
      </c>
      <c r="E896">
        <v>37</v>
      </c>
      <c r="F896" t="s">
        <v>46</v>
      </c>
      <c r="G896" t="s">
        <v>28</v>
      </c>
      <c r="H896" s="1">
        <v>43785</v>
      </c>
      <c r="I896" s="2">
        <v>6.1</v>
      </c>
      <c r="J896" t="s">
        <v>39</v>
      </c>
      <c r="K896" s="3">
        <v>7800</v>
      </c>
      <c r="L896" t="s">
        <v>30</v>
      </c>
      <c r="M896">
        <v>3</v>
      </c>
      <c r="N896">
        <v>3</v>
      </c>
      <c r="O896">
        <v>11</v>
      </c>
      <c r="P896" t="s">
        <v>21</v>
      </c>
      <c r="Q896" s="1"/>
      <c r="U896">
        <v>1</v>
      </c>
      <c r="V896">
        <v>1</v>
      </c>
      <c r="W896">
        <v>0</v>
      </c>
    </row>
    <row r="897" spans="1:23" ht="16.5" x14ac:dyDescent="0.3">
      <c r="A897" t="s">
        <v>964</v>
      </c>
      <c r="B897" t="s">
        <v>48</v>
      </c>
      <c r="C897" t="s">
        <v>36</v>
      </c>
      <c r="D897" t="s">
        <v>26</v>
      </c>
      <c r="E897">
        <v>33</v>
      </c>
      <c r="F897" t="s">
        <v>27</v>
      </c>
      <c r="G897" t="s">
        <v>28</v>
      </c>
      <c r="H897" s="1">
        <v>44654</v>
      </c>
      <c r="I897" s="2">
        <v>3.7</v>
      </c>
      <c r="J897" t="s">
        <v>50</v>
      </c>
      <c r="K897" s="3">
        <v>8500</v>
      </c>
      <c r="L897" t="s">
        <v>30</v>
      </c>
      <c r="M897">
        <v>5</v>
      </c>
      <c r="N897">
        <v>3</v>
      </c>
      <c r="O897">
        <v>22</v>
      </c>
      <c r="P897" t="s">
        <v>21</v>
      </c>
      <c r="Q897" s="1"/>
      <c r="U897">
        <v>1</v>
      </c>
      <c r="V897">
        <v>1</v>
      </c>
      <c r="W897">
        <v>0</v>
      </c>
    </row>
    <row r="898" spans="1:23" ht="16.5" x14ac:dyDescent="0.3">
      <c r="A898" t="s">
        <v>965</v>
      </c>
      <c r="B898" t="s">
        <v>70</v>
      </c>
      <c r="C898" t="s">
        <v>36</v>
      </c>
      <c r="D898" t="s">
        <v>26</v>
      </c>
      <c r="E898">
        <v>22</v>
      </c>
      <c r="F898" t="s">
        <v>57</v>
      </c>
      <c r="G898" t="s">
        <v>28</v>
      </c>
      <c r="H898" s="1">
        <v>45851</v>
      </c>
      <c r="I898" s="2">
        <v>0.1</v>
      </c>
      <c r="J898" t="s">
        <v>64</v>
      </c>
      <c r="K898" s="3">
        <v>3900</v>
      </c>
      <c r="L898" t="s">
        <v>58</v>
      </c>
      <c r="M898">
        <v>4</v>
      </c>
      <c r="N898">
        <v>4</v>
      </c>
      <c r="O898">
        <v>19</v>
      </c>
      <c r="P898" t="s">
        <v>22</v>
      </c>
      <c r="Q898" s="1">
        <v>45875</v>
      </c>
      <c r="R898" t="s">
        <v>40</v>
      </c>
      <c r="S898" t="s">
        <v>41</v>
      </c>
      <c r="T898" t="s">
        <v>33</v>
      </c>
      <c r="U898">
        <v>1</v>
      </c>
      <c r="V898">
        <v>0</v>
      </c>
      <c r="W898">
        <v>1</v>
      </c>
    </row>
    <row r="899" spans="1:23" ht="16.5" x14ac:dyDescent="0.3">
      <c r="A899" t="s">
        <v>966</v>
      </c>
      <c r="B899" t="s">
        <v>35</v>
      </c>
      <c r="C899" t="s">
        <v>25</v>
      </c>
      <c r="D899" t="s">
        <v>37</v>
      </c>
      <c r="E899">
        <v>30</v>
      </c>
      <c r="F899" t="s">
        <v>27</v>
      </c>
      <c r="G899" t="s">
        <v>38</v>
      </c>
      <c r="H899" s="1">
        <v>44500</v>
      </c>
      <c r="I899" s="2">
        <v>4.2</v>
      </c>
      <c r="J899" t="s">
        <v>50</v>
      </c>
      <c r="K899" s="3">
        <v>3950</v>
      </c>
      <c r="L899" t="s">
        <v>30</v>
      </c>
      <c r="M899">
        <v>3</v>
      </c>
      <c r="N899">
        <v>4</v>
      </c>
      <c r="O899">
        <v>12</v>
      </c>
      <c r="P899" t="s">
        <v>21</v>
      </c>
      <c r="Q899" s="1"/>
      <c r="U899">
        <v>1</v>
      </c>
      <c r="V899">
        <v>1</v>
      </c>
      <c r="W899">
        <v>0</v>
      </c>
    </row>
    <row r="900" spans="1:23" ht="16.5" x14ac:dyDescent="0.3">
      <c r="A900" t="s">
        <v>967</v>
      </c>
      <c r="B900" t="s">
        <v>35</v>
      </c>
      <c r="C900" t="s">
        <v>45</v>
      </c>
      <c r="D900" t="s">
        <v>26</v>
      </c>
      <c r="E900">
        <v>38</v>
      </c>
      <c r="F900" t="s">
        <v>46</v>
      </c>
      <c r="G900" t="s">
        <v>38</v>
      </c>
      <c r="H900" s="1">
        <v>44169</v>
      </c>
      <c r="I900" s="2">
        <v>5.0999999999999996</v>
      </c>
      <c r="J900" t="s">
        <v>39</v>
      </c>
      <c r="K900" s="3">
        <v>6300</v>
      </c>
      <c r="L900" t="s">
        <v>58</v>
      </c>
      <c r="M900">
        <v>4</v>
      </c>
      <c r="N900">
        <v>3</v>
      </c>
      <c r="O900">
        <v>20</v>
      </c>
      <c r="P900" t="s">
        <v>21</v>
      </c>
      <c r="Q900" s="1"/>
      <c r="U900">
        <v>1</v>
      </c>
      <c r="V900">
        <v>1</v>
      </c>
      <c r="W900">
        <v>0</v>
      </c>
    </row>
    <row r="901" spans="1:23" ht="16.5" x14ac:dyDescent="0.3">
      <c r="A901" t="s">
        <v>968</v>
      </c>
      <c r="B901" t="s">
        <v>48</v>
      </c>
      <c r="C901" t="s">
        <v>45</v>
      </c>
      <c r="D901" t="s">
        <v>26</v>
      </c>
      <c r="E901">
        <v>37</v>
      </c>
      <c r="F901" t="s">
        <v>46</v>
      </c>
      <c r="G901" t="s">
        <v>28</v>
      </c>
      <c r="H901" s="1">
        <v>41731</v>
      </c>
      <c r="I901" s="2">
        <v>11.7</v>
      </c>
      <c r="J901" t="s">
        <v>39</v>
      </c>
      <c r="K901" s="3">
        <v>12400</v>
      </c>
      <c r="L901" t="s">
        <v>30</v>
      </c>
      <c r="M901">
        <v>3</v>
      </c>
      <c r="N901">
        <v>4</v>
      </c>
      <c r="O901">
        <v>30</v>
      </c>
      <c r="P901" t="s">
        <v>21</v>
      </c>
      <c r="Q901" s="1"/>
      <c r="U901">
        <v>1</v>
      </c>
      <c r="V901">
        <v>1</v>
      </c>
      <c r="W901">
        <v>0</v>
      </c>
    </row>
    <row r="902" spans="1:23" ht="16.5" x14ac:dyDescent="0.3">
      <c r="A902" t="s">
        <v>969</v>
      </c>
      <c r="B902" t="s">
        <v>73</v>
      </c>
      <c r="C902" t="s">
        <v>25</v>
      </c>
      <c r="D902" t="s">
        <v>26</v>
      </c>
      <c r="E902">
        <v>21</v>
      </c>
      <c r="F902" t="s">
        <v>57</v>
      </c>
      <c r="G902" t="s">
        <v>38</v>
      </c>
      <c r="H902" s="1">
        <v>45918</v>
      </c>
      <c r="I902" s="2">
        <v>0.3</v>
      </c>
      <c r="J902" t="s">
        <v>64</v>
      </c>
      <c r="K902" s="3">
        <v>4750</v>
      </c>
      <c r="L902" t="s">
        <v>30</v>
      </c>
      <c r="M902">
        <v>3</v>
      </c>
      <c r="N902">
        <v>5</v>
      </c>
      <c r="O902">
        <v>21</v>
      </c>
      <c r="P902" t="s">
        <v>21</v>
      </c>
      <c r="Q902" s="1"/>
      <c r="U902">
        <v>1</v>
      </c>
      <c r="V902">
        <v>1</v>
      </c>
      <c r="W902">
        <v>0</v>
      </c>
    </row>
    <row r="903" spans="1:23" ht="16.5" x14ac:dyDescent="0.3">
      <c r="A903" t="s">
        <v>970</v>
      </c>
      <c r="B903" t="s">
        <v>48</v>
      </c>
      <c r="C903" t="s">
        <v>45</v>
      </c>
      <c r="D903" t="s">
        <v>26</v>
      </c>
      <c r="E903">
        <v>36</v>
      </c>
      <c r="F903" t="s">
        <v>46</v>
      </c>
      <c r="G903" t="s">
        <v>38</v>
      </c>
      <c r="H903" s="1">
        <v>42655</v>
      </c>
      <c r="I903" s="2">
        <v>9.1999999999999993</v>
      </c>
      <c r="J903" t="s">
        <v>39</v>
      </c>
      <c r="K903" s="3">
        <v>11200</v>
      </c>
      <c r="L903" t="s">
        <v>30</v>
      </c>
      <c r="M903">
        <v>4</v>
      </c>
      <c r="N903">
        <v>5</v>
      </c>
      <c r="O903">
        <v>43</v>
      </c>
      <c r="P903" t="s">
        <v>21</v>
      </c>
      <c r="Q903" s="1"/>
      <c r="U903">
        <v>1</v>
      </c>
      <c r="V903">
        <v>1</v>
      </c>
      <c r="W903">
        <v>0</v>
      </c>
    </row>
    <row r="904" spans="1:23" ht="16.5" x14ac:dyDescent="0.3">
      <c r="A904" t="s">
        <v>971</v>
      </c>
      <c r="B904" t="s">
        <v>24</v>
      </c>
      <c r="C904" t="s">
        <v>25</v>
      </c>
      <c r="D904" t="s">
        <v>37</v>
      </c>
      <c r="E904">
        <v>21</v>
      </c>
      <c r="F904" t="s">
        <v>57</v>
      </c>
      <c r="G904" t="s">
        <v>38</v>
      </c>
      <c r="H904" s="1">
        <v>45975</v>
      </c>
      <c r="I904" s="2">
        <v>0</v>
      </c>
      <c r="J904" t="s">
        <v>64</v>
      </c>
      <c r="K904" s="3">
        <v>2650</v>
      </c>
      <c r="L904" t="s">
        <v>58</v>
      </c>
      <c r="M904">
        <v>2</v>
      </c>
      <c r="N904">
        <v>3</v>
      </c>
      <c r="O904">
        <v>18</v>
      </c>
      <c r="P904" t="s">
        <v>22</v>
      </c>
      <c r="Q904" s="1">
        <v>45985</v>
      </c>
      <c r="R904" t="s">
        <v>40</v>
      </c>
      <c r="S904" t="s">
        <v>182</v>
      </c>
      <c r="T904" t="s">
        <v>42</v>
      </c>
      <c r="U904">
        <v>1</v>
      </c>
      <c r="V904">
        <v>0</v>
      </c>
      <c r="W904">
        <v>1</v>
      </c>
    </row>
    <row r="905" spans="1:23" ht="16.5" x14ac:dyDescent="0.3">
      <c r="A905" t="s">
        <v>972</v>
      </c>
      <c r="B905" t="s">
        <v>35</v>
      </c>
      <c r="C905" t="s">
        <v>36</v>
      </c>
      <c r="D905" t="s">
        <v>37</v>
      </c>
      <c r="E905">
        <v>34</v>
      </c>
      <c r="F905" t="s">
        <v>27</v>
      </c>
      <c r="G905" t="s">
        <v>28</v>
      </c>
      <c r="H905" s="1">
        <v>42641</v>
      </c>
      <c r="I905" s="2">
        <v>7.5</v>
      </c>
      <c r="J905" t="s">
        <v>39</v>
      </c>
      <c r="K905" s="3">
        <v>4400</v>
      </c>
      <c r="L905" t="s">
        <v>58</v>
      </c>
      <c r="M905">
        <v>4</v>
      </c>
      <c r="N905">
        <v>3</v>
      </c>
      <c r="O905">
        <v>15</v>
      </c>
      <c r="P905" t="s">
        <v>22</v>
      </c>
      <c r="Q905" s="1">
        <v>45395</v>
      </c>
      <c r="R905" t="s">
        <v>31</v>
      </c>
      <c r="S905" t="s">
        <v>153</v>
      </c>
      <c r="T905" t="s">
        <v>60</v>
      </c>
      <c r="U905">
        <v>1</v>
      </c>
      <c r="V905">
        <v>0</v>
      </c>
      <c r="W905">
        <v>1</v>
      </c>
    </row>
    <row r="906" spans="1:23" ht="16.5" x14ac:dyDescent="0.3">
      <c r="A906" t="s">
        <v>973</v>
      </c>
      <c r="B906" t="s">
        <v>70</v>
      </c>
      <c r="C906" t="s">
        <v>25</v>
      </c>
      <c r="D906" t="s">
        <v>37</v>
      </c>
      <c r="E906">
        <v>31</v>
      </c>
      <c r="F906" t="s">
        <v>27</v>
      </c>
      <c r="G906" t="s">
        <v>38</v>
      </c>
      <c r="H906" s="1">
        <v>45199</v>
      </c>
      <c r="I906" s="2">
        <v>2.2999999999999998</v>
      </c>
      <c r="J906" t="s">
        <v>29</v>
      </c>
      <c r="K906" s="3">
        <v>4450</v>
      </c>
      <c r="L906" t="s">
        <v>30</v>
      </c>
      <c r="M906">
        <v>4</v>
      </c>
      <c r="N906">
        <v>4</v>
      </c>
      <c r="O906">
        <v>29</v>
      </c>
      <c r="P906" t="s">
        <v>21</v>
      </c>
      <c r="Q906" s="1"/>
      <c r="U906">
        <v>1</v>
      </c>
      <c r="V906">
        <v>1</v>
      </c>
      <c r="W906">
        <v>0</v>
      </c>
    </row>
    <row r="907" spans="1:23" ht="16.5" x14ac:dyDescent="0.3">
      <c r="A907" t="s">
        <v>974</v>
      </c>
      <c r="B907" t="s">
        <v>70</v>
      </c>
      <c r="C907" t="s">
        <v>25</v>
      </c>
      <c r="D907" t="s">
        <v>37</v>
      </c>
      <c r="E907">
        <v>24</v>
      </c>
      <c r="F907" t="s">
        <v>57</v>
      </c>
      <c r="G907" t="s">
        <v>38</v>
      </c>
      <c r="H907" s="1">
        <v>45857</v>
      </c>
      <c r="I907" s="2">
        <v>0.1</v>
      </c>
      <c r="J907" t="s">
        <v>64</v>
      </c>
      <c r="K907" s="3">
        <v>4500</v>
      </c>
      <c r="L907" t="s">
        <v>58</v>
      </c>
      <c r="M907">
        <v>2</v>
      </c>
      <c r="N907">
        <v>4</v>
      </c>
      <c r="O907">
        <v>35</v>
      </c>
      <c r="P907" t="s">
        <v>22</v>
      </c>
      <c r="Q907" s="1">
        <v>45882</v>
      </c>
      <c r="R907" t="s">
        <v>40</v>
      </c>
      <c r="S907" t="s">
        <v>41</v>
      </c>
      <c r="T907" t="s">
        <v>42</v>
      </c>
      <c r="U907">
        <v>1</v>
      </c>
      <c r="V907">
        <v>0</v>
      </c>
      <c r="W907">
        <v>1</v>
      </c>
    </row>
    <row r="908" spans="1:23" ht="16.5" x14ac:dyDescent="0.3">
      <c r="A908" t="s">
        <v>975</v>
      </c>
      <c r="B908" t="s">
        <v>44</v>
      </c>
      <c r="C908" t="s">
        <v>45</v>
      </c>
      <c r="D908" t="s">
        <v>37</v>
      </c>
      <c r="E908">
        <v>40</v>
      </c>
      <c r="F908" t="s">
        <v>46</v>
      </c>
      <c r="G908" t="s">
        <v>52</v>
      </c>
      <c r="H908" s="1">
        <v>42142</v>
      </c>
      <c r="I908" s="2">
        <v>10.6</v>
      </c>
      <c r="J908" t="s">
        <v>39</v>
      </c>
      <c r="K908" s="3">
        <v>8700</v>
      </c>
      <c r="L908" t="s">
        <v>30</v>
      </c>
      <c r="M908">
        <v>3</v>
      </c>
      <c r="N908">
        <v>3</v>
      </c>
      <c r="O908">
        <v>23</v>
      </c>
      <c r="P908" t="s">
        <v>21</v>
      </c>
      <c r="Q908" s="1"/>
      <c r="U908">
        <v>1</v>
      </c>
      <c r="V908">
        <v>1</v>
      </c>
      <c r="W908">
        <v>0</v>
      </c>
    </row>
    <row r="909" spans="1:23" ht="16.5" x14ac:dyDescent="0.3">
      <c r="A909" t="s">
        <v>976</v>
      </c>
      <c r="B909" t="s">
        <v>35</v>
      </c>
      <c r="C909" t="s">
        <v>45</v>
      </c>
      <c r="D909" t="s">
        <v>26</v>
      </c>
      <c r="E909">
        <v>44</v>
      </c>
      <c r="F909" t="s">
        <v>46</v>
      </c>
      <c r="G909" t="s">
        <v>28</v>
      </c>
      <c r="H909" s="1">
        <v>43646</v>
      </c>
      <c r="I909" s="2">
        <v>6.5</v>
      </c>
      <c r="J909" t="s">
        <v>39</v>
      </c>
      <c r="K909" s="3">
        <v>6800</v>
      </c>
      <c r="L909" t="s">
        <v>30</v>
      </c>
      <c r="M909">
        <v>4</v>
      </c>
      <c r="N909">
        <v>4</v>
      </c>
      <c r="O909">
        <v>29</v>
      </c>
      <c r="P909" t="s">
        <v>21</v>
      </c>
      <c r="Q909" s="1"/>
      <c r="U909">
        <v>1</v>
      </c>
      <c r="V909">
        <v>1</v>
      </c>
      <c r="W909">
        <v>0</v>
      </c>
    </row>
    <row r="910" spans="1:23" ht="16.5" x14ac:dyDescent="0.3">
      <c r="A910" t="s">
        <v>977</v>
      </c>
      <c r="B910" t="s">
        <v>73</v>
      </c>
      <c r="C910" t="s">
        <v>25</v>
      </c>
      <c r="D910" t="s">
        <v>26</v>
      </c>
      <c r="E910">
        <v>25</v>
      </c>
      <c r="F910" t="s">
        <v>57</v>
      </c>
      <c r="G910" t="s">
        <v>28</v>
      </c>
      <c r="H910" s="1">
        <v>45233</v>
      </c>
      <c r="I910" s="2">
        <v>2.2000000000000002</v>
      </c>
      <c r="J910" t="s">
        <v>29</v>
      </c>
      <c r="K910" s="3">
        <v>4550</v>
      </c>
      <c r="L910" t="s">
        <v>30</v>
      </c>
      <c r="M910">
        <v>2</v>
      </c>
      <c r="N910">
        <v>5</v>
      </c>
      <c r="O910">
        <v>16</v>
      </c>
      <c r="P910" t="s">
        <v>21</v>
      </c>
      <c r="Q910" s="1"/>
      <c r="U910">
        <v>1</v>
      </c>
      <c r="V910">
        <v>1</v>
      </c>
      <c r="W910">
        <v>0</v>
      </c>
    </row>
    <row r="911" spans="1:23" ht="16.5" x14ac:dyDescent="0.3">
      <c r="A911" t="s">
        <v>978</v>
      </c>
      <c r="B911" t="s">
        <v>35</v>
      </c>
      <c r="C911" t="s">
        <v>36</v>
      </c>
      <c r="D911" t="s">
        <v>37</v>
      </c>
      <c r="E911">
        <v>34</v>
      </c>
      <c r="F911" t="s">
        <v>27</v>
      </c>
      <c r="G911" t="s">
        <v>38</v>
      </c>
      <c r="H911" s="1">
        <v>44759</v>
      </c>
      <c r="I911" s="2">
        <v>3.5</v>
      </c>
      <c r="J911" t="s">
        <v>50</v>
      </c>
      <c r="K911" s="3">
        <v>4000</v>
      </c>
      <c r="L911" t="s">
        <v>30</v>
      </c>
      <c r="M911">
        <v>3</v>
      </c>
      <c r="N911">
        <v>5</v>
      </c>
      <c r="O911">
        <v>22</v>
      </c>
      <c r="P911" t="s">
        <v>21</v>
      </c>
      <c r="Q911" s="1"/>
      <c r="U911">
        <v>1</v>
      </c>
      <c r="V911">
        <v>1</v>
      </c>
      <c r="W911">
        <v>0</v>
      </c>
    </row>
    <row r="912" spans="1:23" ht="16.5" x14ac:dyDescent="0.3">
      <c r="A912" t="s">
        <v>979</v>
      </c>
      <c r="B912" t="s">
        <v>70</v>
      </c>
      <c r="C912" t="s">
        <v>36</v>
      </c>
      <c r="D912" t="s">
        <v>37</v>
      </c>
      <c r="E912">
        <v>39</v>
      </c>
      <c r="F912" t="s">
        <v>46</v>
      </c>
      <c r="G912" t="s">
        <v>38</v>
      </c>
      <c r="H912" s="1">
        <v>43507</v>
      </c>
      <c r="I912" s="2">
        <v>6.9</v>
      </c>
      <c r="J912" t="s">
        <v>39</v>
      </c>
      <c r="K912" s="3">
        <v>5450</v>
      </c>
      <c r="L912" t="s">
        <v>30</v>
      </c>
      <c r="M912">
        <v>4</v>
      </c>
      <c r="N912">
        <v>3</v>
      </c>
      <c r="O912">
        <v>11</v>
      </c>
      <c r="P912" t="s">
        <v>21</v>
      </c>
      <c r="Q912" s="1"/>
      <c r="U912">
        <v>1</v>
      </c>
      <c r="V912">
        <v>1</v>
      </c>
      <c r="W912">
        <v>0</v>
      </c>
    </row>
    <row r="913" spans="1:23" ht="16.5" x14ac:dyDescent="0.3">
      <c r="A913" t="s">
        <v>980</v>
      </c>
      <c r="B913" t="s">
        <v>70</v>
      </c>
      <c r="C913" t="s">
        <v>36</v>
      </c>
      <c r="D913" t="s">
        <v>37</v>
      </c>
      <c r="E913">
        <v>33</v>
      </c>
      <c r="F913" t="s">
        <v>27</v>
      </c>
      <c r="G913" t="s">
        <v>28</v>
      </c>
      <c r="H913" s="1">
        <v>44736</v>
      </c>
      <c r="I913" s="2">
        <v>1.9</v>
      </c>
      <c r="J913" t="s">
        <v>29</v>
      </c>
      <c r="K913" s="3">
        <v>5400</v>
      </c>
      <c r="L913" t="s">
        <v>30</v>
      </c>
      <c r="M913">
        <v>4</v>
      </c>
      <c r="N913">
        <v>3</v>
      </c>
      <c r="O913">
        <v>21</v>
      </c>
      <c r="P913" t="s">
        <v>22</v>
      </c>
      <c r="Q913" s="1">
        <v>45415</v>
      </c>
      <c r="R913" t="s">
        <v>31</v>
      </c>
      <c r="S913" t="s">
        <v>169</v>
      </c>
      <c r="T913" t="s">
        <v>33</v>
      </c>
      <c r="U913">
        <v>1</v>
      </c>
      <c r="V913">
        <v>0</v>
      </c>
      <c r="W913">
        <v>1</v>
      </c>
    </row>
    <row r="914" spans="1:23" ht="16.5" x14ac:dyDescent="0.3">
      <c r="A914" t="s">
        <v>981</v>
      </c>
      <c r="B914" t="s">
        <v>73</v>
      </c>
      <c r="C914" t="s">
        <v>45</v>
      </c>
      <c r="D914" t="s">
        <v>26</v>
      </c>
      <c r="E914">
        <v>38</v>
      </c>
      <c r="F914" t="s">
        <v>46</v>
      </c>
      <c r="G914" t="s">
        <v>28</v>
      </c>
      <c r="H914" s="1">
        <v>45141</v>
      </c>
      <c r="I914" s="2">
        <v>2.4</v>
      </c>
      <c r="J914" t="s">
        <v>29</v>
      </c>
      <c r="K914" s="3">
        <v>6150</v>
      </c>
      <c r="L914" t="s">
        <v>58</v>
      </c>
      <c r="M914">
        <v>3</v>
      </c>
      <c r="N914">
        <v>3</v>
      </c>
      <c r="O914">
        <v>5</v>
      </c>
      <c r="P914" t="s">
        <v>21</v>
      </c>
      <c r="Q914" s="1"/>
      <c r="U914">
        <v>1</v>
      </c>
      <c r="V914">
        <v>1</v>
      </c>
      <c r="W914">
        <v>0</v>
      </c>
    </row>
    <row r="915" spans="1:23" ht="16.5" x14ac:dyDescent="0.3">
      <c r="A915" t="s">
        <v>982</v>
      </c>
      <c r="B915" t="s">
        <v>24</v>
      </c>
      <c r="C915" t="s">
        <v>25</v>
      </c>
      <c r="D915" t="s">
        <v>26</v>
      </c>
      <c r="E915">
        <v>23</v>
      </c>
      <c r="F915" t="s">
        <v>57</v>
      </c>
      <c r="G915" t="s">
        <v>38</v>
      </c>
      <c r="H915" s="1">
        <v>45644</v>
      </c>
      <c r="I915" s="2">
        <v>1</v>
      </c>
      <c r="J915" t="s">
        <v>64</v>
      </c>
      <c r="K915" s="3">
        <v>3700</v>
      </c>
      <c r="L915" t="s">
        <v>30</v>
      </c>
      <c r="M915">
        <v>3</v>
      </c>
      <c r="N915">
        <v>4</v>
      </c>
      <c r="O915">
        <v>40</v>
      </c>
      <c r="P915" t="s">
        <v>21</v>
      </c>
      <c r="Q915" s="1"/>
      <c r="U915">
        <v>1</v>
      </c>
      <c r="V915">
        <v>1</v>
      </c>
      <c r="W915">
        <v>0</v>
      </c>
    </row>
    <row r="916" spans="1:23" ht="16.5" x14ac:dyDescent="0.3">
      <c r="A916" t="s">
        <v>983</v>
      </c>
      <c r="B916" t="s">
        <v>24</v>
      </c>
      <c r="C916" t="s">
        <v>25</v>
      </c>
      <c r="D916" t="s">
        <v>37</v>
      </c>
      <c r="E916">
        <v>25</v>
      </c>
      <c r="F916" t="s">
        <v>57</v>
      </c>
      <c r="G916" t="s">
        <v>28</v>
      </c>
      <c r="H916" s="1">
        <v>45724</v>
      </c>
      <c r="I916" s="2">
        <v>0.8</v>
      </c>
      <c r="J916" t="s">
        <v>64</v>
      </c>
      <c r="K916" s="3">
        <v>2700</v>
      </c>
      <c r="L916" t="s">
        <v>58</v>
      </c>
      <c r="M916">
        <v>3</v>
      </c>
      <c r="N916">
        <v>4</v>
      </c>
      <c r="O916">
        <v>34</v>
      </c>
      <c r="P916" t="s">
        <v>21</v>
      </c>
      <c r="Q916" s="1"/>
      <c r="U916">
        <v>1</v>
      </c>
      <c r="V916">
        <v>1</v>
      </c>
      <c r="W916">
        <v>0</v>
      </c>
    </row>
    <row r="917" spans="1:23" ht="16.5" x14ac:dyDescent="0.3">
      <c r="A917" t="s">
        <v>984</v>
      </c>
      <c r="B917" t="s">
        <v>70</v>
      </c>
      <c r="C917" t="s">
        <v>36</v>
      </c>
      <c r="D917" t="s">
        <v>37</v>
      </c>
      <c r="E917">
        <v>37</v>
      </c>
      <c r="F917" t="s">
        <v>46</v>
      </c>
      <c r="G917" t="s">
        <v>52</v>
      </c>
      <c r="H917" s="1">
        <v>44030</v>
      </c>
      <c r="I917" s="2">
        <v>5.5</v>
      </c>
      <c r="J917" t="s">
        <v>39</v>
      </c>
      <c r="K917" s="3">
        <v>5900</v>
      </c>
      <c r="L917" t="s">
        <v>30</v>
      </c>
      <c r="M917">
        <v>3</v>
      </c>
      <c r="N917">
        <v>3</v>
      </c>
      <c r="O917">
        <v>23</v>
      </c>
      <c r="P917" t="s">
        <v>21</v>
      </c>
      <c r="Q917" s="1"/>
      <c r="U917">
        <v>1</v>
      </c>
      <c r="V917">
        <v>1</v>
      </c>
      <c r="W917">
        <v>0</v>
      </c>
    </row>
    <row r="918" spans="1:23" ht="16.5" x14ac:dyDescent="0.3">
      <c r="A918" t="s">
        <v>985</v>
      </c>
      <c r="B918" t="s">
        <v>35</v>
      </c>
      <c r="C918" t="s">
        <v>36</v>
      </c>
      <c r="D918" t="s">
        <v>26</v>
      </c>
      <c r="E918">
        <v>21</v>
      </c>
      <c r="F918" t="s">
        <v>57</v>
      </c>
      <c r="G918" t="s">
        <v>52</v>
      </c>
      <c r="H918" s="1">
        <v>45960</v>
      </c>
      <c r="I918" s="2">
        <v>0.2</v>
      </c>
      <c r="J918" t="s">
        <v>64</v>
      </c>
      <c r="K918" s="3">
        <v>4600</v>
      </c>
      <c r="L918" t="s">
        <v>30</v>
      </c>
      <c r="M918">
        <v>4</v>
      </c>
      <c r="N918">
        <v>3</v>
      </c>
      <c r="O918">
        <v>16</v>
      </c>
      <c r="P918" t="s">
        <v>21</v>
      </c>
      <c r="Q918" s="1"/>
      <c r="U918">
        <v>1</v>
      </c>
      <c r="V918">
        <v>1</v>
      </c>
      <c r="W918">
        <v>0</v>
      </c>
    </row>
    <row r="919" spans="1:23" ht="16.5" x14ac:dyDescent="0.3">
      <c r="A919" t="s">
        <v>986</v>
      </c>
      <c r="B919" t="s">
        <v>48</v>
      </c>
      <c r="C919" t="s">
        <v>25</v>
      </c>
      <c r="D919" t="s">
        <v>26</v>
      </c>
      <c r="E919">
        <v>25</v>
      </c>
      <c r="F919" t="s">
        <v>57</v>
      </c>
      <c r="G919" t="s">
        <v>38</v>
      </c>
      <c r="H919" s="1">
        <v>45021</v>
      </c>
      <c r="I919" s="2">
        <v>2.7</v>
      </c>
      <c r="J919" t="s">
        <v>29</v>
      </c>
      <c r="K919" s="3">
        <v>5600</v>
      </c>
      <c r="L919" t="s">
        <v>30</v>
      </c>
      <c r="M919">
        <v>4</v>
      </c>
      <c r="N919">
        <v>3</v>
      </c>
      <c r="O919">
        <v>26</v>
      </c>
      <c r="P919" t="s">
        <v>21</v>
      </c>
      <c r="Q919" s="1"/>
      <c r="U919">
        <v>1</v>
      </c>
      <c r="V919">
        <v>1</v>
      </c>
      <c r="W919">
        <v>0</v>
      </c>
    </row>
    <row r="920" spans="1:23" ht="16.5" x14ac:dyDescent="0.3">
      <c r="A920" t="s">
        <v>987</v>
      </c>
      <c r="B920" t="s">
        <v>48</v>
      </c>
      <c r="C920" t="s">
        <v>25</v>
      </c>
      <c r="D920" t="s">
        <v>37</v>
      </c>
      <c r="E920">
        <v>21</v>
      </c>
      <c r="F920" t="s">
        <v>57</v>
      </c>
      <c r="G920" t="s">
        <v>28</v>
      </c>
      <c r="H920" s="1">
        <v>45984</v>
      </c>
      <c r="I920" s="2">
        <v>0.1</v>
      </c>
      <c r="J920" t="s">
        <v>64</v>
      </c>
      <c r="K920" s="3">
        <v>6150</v>
      </c>
      <c r="L920" t="s">
        <v>58</v>
      </c>
      <c r="M920">
        <v>3</v>
      </c>
      <c r="N920">
        <v>3</v>
      </c>
      <c r="O920">
        <v>8</v>
      </c>
      <c r="P920" t="s">
        <v>21</v>
      </c>
      <c r="Q920" s="1"/>
      <c r="U920">
        <v>1</v>
      </c>
      <c r="V920">
        <v>1</v>
      </c>
      <c r="W920">
        <v>0</v>
      </c>
    </row>
    <row r="921" spans="1:23" ht="16.5" x14ac:dyDescent="0.3">
      <c r="A921" t="s">
        <v>988</v>
      </c>
      <c r="B921" t="s">
        <v>48</v>
      </c>
      <c r="C921" t="s">
        <v>25</v>
      </c>
      <c r="D921" t="s">
        <v>26</v>
      </c>
      <c r="E921">
        <v>26</v>
      </c>
      <c r="F921" t="s">
        <v>27</v>
      </c>
      <c r="G921" t="s">
        <v>38</v>
      </c>
      <c r="H921" s="1">
        <v>44931</v>
      </c>
      <c r="I921" s="2">
        <v>3</v>
      </c>
      <c r="J921" t="s">
        <v>29</v>
      </c>
      <c r="K921" s="3">
        <v>6950</v>
      </c>
      <c r="L921" t="s">
        <v>30</v>
      </c>
      <c r="M921">
        <v>4</v>
      </c>
      <c r="N921">
        <v>3</v>
      </c>
      <c r="O921">
        <v>31</v>
      </c>
      <c r="P921" t="s">
        <v>21</v>
      </c>
      <c r="Q921" s="1"/>
      <c r="U921">
        <v>1</v>
      </c>
      <c r="V921">
        <v>1</v>
      </c>
      <c r="W921">
        <v>0</v>
      </c>
    </row>
    <row r="922" spans="1:23" ht="16.5" x14ac:dyDescent="0.3">
      <c r="A922" t="s">
        <v>989</v>
      </c>
      <c r="B922" t="s">
        <v>70</v>
      </c>
      <c r="C922" t="s">
        <v>36</v>
      </c>
      <c r="D922" t="s">
        <v>37</v>
      </c>
      <c r="E922">
        <v>29</v>
      </c>
      <c r="F922" t="s">
        <v>27</v>
      </c>
      <c r="G922" t="s">
        <v>38</v>
      </c>
      <c r="H922" s="1">
        <v>44305</v>
      </c>
      <c r="I922" s="2">
        <v>4.7</v>
      </c>
      <c r="J922" t="s">
        <v>50</v>
      </c>
      <c r="K922" s="3">
        <v>6450</v>
      </c>
      <c r="L922" t="s">
        <v>30</v>
      </c>
      <c r="M922">
        <v>3</v>
      </c>
      <c r="N922">
        <v>4</v>
      </c>
      <c r="O922">
        <v>10</v>
      </c>
      <c r="P922" t="s">
        <v>21</v>
      </c>
      <c r="Q922" s="1"/>
      <c r="U922">
        <v>1</v>
      </c>
      <c r="V922">
        <v>1</v>
      </c>
      <c r="W922">
        <v>0</v>
      </c>
    </row>
    <row r="923" spans="1:23" ht="16.5" x14ac:dyDescent="0.3">
      <c r="A923" t="s">
        <v>990</v>
      </c>
      <c r="B923" t="s">
        <v>48</v>
      </c>
      <c r="C923" t="s">
        <v>25</v>
      </c>
      <c r="D923" t="s">
        <v>37</v>
      </c>
      <c r="E923">
        <v>32</v>
      </c>
      <c r="F923" t="s">
        <v>27</v>
      </c>
      <c r="G923" t="s">
        <v>38</v>
      </c>
      <c r="H923" s="1">
        <v>44018</v>
      </c>
      <c r="I923" s="2">
        <v>5.5</v>
      </c>
      <c r="J923" t="s">
        <v>39</v>
      </c>
      <c r="K923" s="3">
        <v>6400</v>
      </c>
      <c r="L923" t="s">
        <v>58</v>
      </c>
      <c r="M923">
        <v>3</v>
      </c>
      <c r="N923">
        <v>4</v>
      </c>
      <c r="O923">
        <v>14</v>
      </c>
      <c r="P923" t="s">
        <v>21</v>
      </c>
      <c r="Q923" s="1"/>
      <c r="U923">
        <v>1</v>
      </c>
      <c r="V923">
        <v>1</v>
      </c>
      <c r="W923">
        <v>0</v>
      </c>
    </row>
    <row r="924" spans="1:23" ht="16.5" x14ac:dyDescent="0.3">
      <c r="A924" t="s">
        <v>991</v>
      </c>
      <c r="B924" t="s">
        <v>35</v>
      </c>
      <c r="C924" t="s">
        <v>25</v>
      </c>
      <c r="D924" t="s">
        <v>26</v>
      </c>
      <c r="E924">
        <v>30</v>
      </c>
      <c r="F924" t="s">
        <v>27</v>
      </c>
      <c r="G924" t="s">
        <v>38</v>
      </c>
      <c r="H924" s="1">
        <v>45242</v>
      </c>
      <c r="I924" s="2">
        <v>2.1</v>
      </c>
      <c r="J924" t="s">
        <v>29</v>
      </c>
      <c r="K924" s="3">
        <v>3700</v>
      </c>
      <c r="L924" t="s">
        <v>30</v>
      </c>
      <c r="M924">
        <v>4</v>
      </c>
      <c r="N924">
        <v>3</v>
      </c>
      <c r="O924">
        <v>35</v>
      </c>
      <c r="P924" t="s">
        <v>21</v>
      </c>
      <c r="Q924" s="1"/>
      <c r="U924">
        <v>1</v>
      </c>
      <c r="V924">
        <v>1</v>
      </c>
      <c r="W924">
        <v>0</v>
      </c>
    </row>
    <row r="925" spans="1:23" ht="16.5" x14ac:dyDescent="0.3">
      <c r="A925" t="s">
        <v>992</v>
      </c>
      <c r="B925" t="s">
        <v>35</v>
      </c>
      <c r="C925" t="s">
        <v>36</v>
      </c>
      <c r="D925" t="s">
        <v>37</v>
      </c>
      <c r="E925">
        <v>32</v>
      </c>
      <c r="F925" t="s">
        <v>27</v>
      </c>
      <c r="G925" t="s">
        <v>38</v>
      </c>
      <c r="H925" s="1">
        <v>43306</v>
      </c>
      <c r="I925" s="2">
        <v>7.4</v>
      </c>
      <c r="J925" t="s">
        <v>39</v>
      </c>
      <c r="K925" s="3">
        <v>3850</v>
      </c>
      <c r="L925" t="s">
        <v>58</v>
      </c>
      <c r="M925">
        <v>3</v>
      </c>
      <c r="N925">
        <v>3</v>
      </c>
      <c r="O925">
        <v>37</v>
      </c>
      <c r="P925" t="s">
        <v>21</v>
      </c>
      <c r="Q925" s="1"/>
      <c r="U925">
        <v>1</v>
      </c>
      <c r="V925">
        <v>1</v>
      </c>
      <c r="W925">
        <v>0</v>
      </c>
    </row>
    <row r="926" spans="1:23" ht="16.5" x14ac:dyDescent="0.3">
      <c r="A926" t="s">
        <v>993</v>
      </c>
      <c r="B926" t="s">
        <v>48</v>
      </c>
      <c r="C926" t="s">
        <v>36</v>
      </c>
      <c r="D926" t="s">
        <v>26</v>
      </c>
      <c r="E926">
        <v>29</v>
      </c>
      <c r="F926" t="s">
        <v>27</v>
      </c>
      <c r="G926" t="s">
        <v>38</v>
      </c>
      <c r="H926" s="1">
        <v>44587</v>
      </c>
      <c r="I926" s="2">
        <v>3.9</v>
      </c>
      <c r="J926" t="s">
        <v>50</v>
      </c>
      <c r="K926" s="3">
        <v>9100</v>
      </c>
      <c r="L926" t="s">
        <v>30</v>
      </c>
      <c r="M926">
        <v>3</v>
      </c>
      <c r="N926">
        <v>5</v>
      </c>
      <c r="O926">
        <v>22</v>
      </c>
      <c r="P926" t="s">
        <v>21</v>
      </c>
      <c r="Q926" s="1"/>
      <c r="U926">
        <v>1</v>
      </c>
      <c r="V926">
        <v>1</v>
      </c>
      <c r="W926">
        <v>0</v>
      </c>
    </row>
    <row r="927" spans="1:23" ht="16.5" x14ac:dyDescent="0.3">
      <c r="A927" t="s">
        <v>994</v>
      </c>
      <c r="B927" t="s">
        <v>35</v>
      </c>
      <c r="C927" t="s">
        <v>25</v>
      </c>
      <c r="D927" t="s">
        <v>37</v>
      </c>
      <c r="E927">
        <v>21</v>
      </c>
      <c r="F927" t="s">
        <v>57</v>
      </c>
      <c r="G927" t="s">
        <v>28</v>
      </c>
      <c r="H927" s="1">
        <v>45971</v>
      </c>
      <c r="I927" s="2">
        <v>0.1</v>
      </c>
      <c r="J927" t="s">
        <v>64</v>
      </c>
      <c r="K927" s="3">
        <v>4000</v>
      </c>
      <c r="L927" t="s">
        <v>30</v>
      </c>
      <c r="M927">
        <v>3</v>
      </c>
      <c r="N927">
        <v>5</v>
      </c>
      <c r="O927">
        <v>17</v>
      </c>
      <c r="P927" t="s">
        <v>21</v>
      </c>
      <c r="Q927" s="1"/>
      <c r="U927">
        <v>1</v>
      </c>
      <c r="V927">
        <v>1</v>
      </c>
      <c r="W927">
        <v>0</v>
      </c>
    </row>
    <row r="928" spans="1:23" ht="16.5" x14ac:dyDescent="0.3">
      <c r="A928" t="s">
        <v>995</v>
      </c>
      <c r="B928" t="s">
        <v>35</v>
      </c>
      <c r="C928" t="s">
        <v>45</v>
      </c>
      <c r="D928" t="s">
        <v>37</v>
      </c>
      <c r="E928">
        <v>41</v>
      </c>
      <c r="F928" t="s">
        <v>46</v>
      </c>
      <c r="G928" t="s">
        <v>28</v>
      </c>
      <c r="H928" s="1">
        <v>44085</v>
      </c>
      <c r="I928" s="2">
        <v>5.3</v>
      </c>
      <c r="J928" t="s">
        <v>39</v>
      </c>
      <c r="K928" s="3">
        <v>5800</v>
      </c>
      <c r="L928" t="s">
        <v>58</v>
      </c>
      <c r="M928">
        <v>4</v>
      </c>
      <c r="N928">
        <v>3</v>
      </c>
      <c r="O928">
        <v>8</v>
      </c>
      <c r="P928" t="s">
        <v>21</v>
      </c>
      <c r="Q928" s="1"/>
      <c r="U928">
        <v>1</v>
      </c>
      <c r="V928">
        <v>1</v>
      </c>
      <c r="W928">
        <v>0</v>
      </c>
    </row>
    <row r="929" spans="1:23" ht="16.5" x14ac:dyDescent="0.3">
      <c r="A929" t="s">
        <v>996</v>
      </c>
      <c r="B929" t="s">
        <v>48</v>
      </c>
      <c r="C929" t="s">
        <v>45</v>
      </c>
      <c r="D929" t="s">
        <v>26</v>
      </c>
      <c r="E929">
        <v>51</v>
      </c>
      <c r="F929" t="s">
        <v>88</v>
      </c>
      <c r="G929" t="s">
        <v>38</v>
      </c>
      <c r="H929" s="1">
        <v>41654</v>
      </c>
      <c r="I929" s="2">
        <v>12</v>
      </c>
      <c r="J929" t="s">
        <v>39</v>
      </c>
      <c r="K929" s="3">
        <v>11800</v>
      </c>
      <c r="L929" t="s">
        <v>30</v>
      </c>
      <c r="M929">
        <v>4</v>
      </c>
      <c r="N929">
        <v>3</v>
      </c>
      <c r="O929">
        <v>19</v>
      </c>
      <c r="P929" t="s">
        <v>21</v>
      </c>
      <c r="Q929" s="1"/>
      <c r="U929">
        <v>1</v>
      </c>
      <c r="V929">
        <v>1</v>
      </c>
      <c r="W929">
        <v>0</v>
      </c>
    </row>
    <row r="930" spans="1:23" ht="16.5" x14ac:dyDescent="0.3">
      <c r="A930" t="s">
        <v>997</v>
      </c>
      <c r="B930" t="s">
        <v>35</v>
      </c>
      <c r="C930" t="s">
        <v>36</v>
      </c>
      <c r="D930" t="s">
        <v>26</v>
      </c>
      <c r="E930">
        <v>37</v>
      </c>
      <c r="F930" t="s">
        <v>46</v>
      </c>
      <c r="G930" t="s">
        <v>38</v>
      </c>
      <c r="H930" s="1">
        <v>44733</v>
      </c>
      <c r="I930" s="2">
        <v>3.5</v>
      </c>
      <c r="J930" t="s">
        <v>50</v>
      </c>
      <c r="K930" s="3">
        <v>3750</v>
      </c>
      <c r="L930" t="s">
        <v>30</v>
      </c>
      <c r="M930">
        <v>2</v>
      </c>
      <c r="N930">
        <v>3</v>
      </c>
      <c r="O930">
        <v>27</v>
      </c>
      <c r="P930" t="s">
        <v>21</v>
      </c>
      <c r="Q930" s="1"/>
      <c r="U930">
        <v>1</v>
      </c>
      <c r="V930">
        <v>1</v>
      </c>
      <c r="W930">
        <v>0</v>
      </c>
    </row>
    <row r="931" spans="1:23" ht="16.5" x14ac:dyDescent="0.3">
      <c r="A931" t="s">
        <v>998</v>
      </c>
      <c r="B931" t="s">
        <v>73</v>
      </c>
      <c r="C931" t="s">
        <v>25</v>
      </c>
      <c r="D931" t="s">
        <v>37</v>
      </c>
      <c r="E931">
        <v>21</v>
      </c>
      <c r="F931" t="s">
        <v>57</v>
      </c>
      <c r="G931" t="s">
        <v>28</v>
      </c>
      <c r="H931" s="1">
        <v>45988</v>
      </c>
      <c r="I931" s="2">
        <v>0.1</v>
      </c>
      <c r="J931" t="s">
        <v>64</v>
      </c>
      <c r="K931" s="3">
        <v>5000</v>
      </c>
      <c r="L931" t="s">
        <v>58</v>
      </c>
      <c r="M931">
        <v>3</v>
      </c>
      <c r="N931">
        <v>2</v>
      </c>
      <c r="O931">
        <v>9</v>
      </c>
      <c r="P931" t="s">
        <v>21</v>
      </c>
      <c r="Q931" s="1"/>
      <c r="U931">
        <v>1</v>
      </c>
      <c r="V931">
        <v>1</v>
      </c>
      <c r="W931">
        <v>0</v>
      </c>
    </row>
    <row r="932" spans="1:23" ht="16.5" x14ac:dyDescent="0.3">
      <c r="A932" t="s">
        <v>999</v>
      </c>
      <c r="B932" t="s">
        <v>35</v>
      </c>
      <c r="C932" t="s">
        <v>25</v>
      </c>
      <c r="D932" t="s">
        <v>26</v>
      </c>
      <c r="E932">
        <v>29</v>
      </c>
      <c r="F932" t="s">
        <v>27</v>
      </c>
      <c r="G932" t="s">
        <v>38</v>
      </c>
      <c r="H932" s="1">
        <v>45113</v>
      </c>
      <c r="I932" s="2">
        <v>2.5</v>
      </c>
      <c r="J932" t="s">
        <v>29</v>
      </c>
      <c r="K932" s="3">
        <v>4350</v>
      </c>
      <c r="L932" t="s">
        <v>30</v>
      </c>
      <c r="M932">
        <v>4</v>
      </c>
      <c r="N932">
        <v>3</v>
      </c>
      <c r="O932">
        <v>16</v>
      </c>
      <c r="P932" t="s">
        <v>21</v>
      </c>
      <c r="Q932" s="1"/>
      <c r="U932">
        <v>1</v>
      </c>
      <c r="V932">
        <v>1</v>
      </c>
      <c r="W932">
        <v>0</v>
      </c>
    </row>
    <row r="933" spans="1:23" ht="16.5" x14ac:dyDescent="0.3">
      <c r="A933" t="s">
        <v>1000</v>
      </c>
      <c r="B933" t="s">
        <v>55</v>
      </c>
      <c r="C933" t="s">
        <v>25</v>
      </c>
      <c r="D933" t="s">
        <v>37</v>
      </c>
      <c r="E933">
        <v>35</v>
      </c>
      <c r="F933" t="s">
        <v>27</v>
      </c>
      <c r="G933" t="s">
        <v>38</v>
      </c>
      <c r="H933" s="1">
        <v>44078</v>
      </c>
      <c r="I933" s="2">
        <v>5.3</v>
      </c>
      <c r="J933" t="s">
        <v>39</v>
      </c>
      <c r="K933" s="3">
        <v>4550</v>
      </c>
      <c r="L933" t="s">
        <v>30</v>
      </c>
      <c r="M933">
        <v>3</v>
      </c>
      <c r="N933">
        <v>5</v>
      </c>
      <c r="O933">
        <v>32</v>
      </c>
      <c r="P933" t="s">
        <v>21</v>
      </c>
      <c r="Q933" s="1"/>
      <c r="U933">
        <v>1</v>
      </c>
      <c r="V933">
        <v>1</v>
      </c>
      <c r="W933">
        <v>0</v>
      </c>
    </row>
    <row r="934" spans="1:23" ht="16.5" x14ac:dyDescent="0.3">
      <c r="A934" t="s">
        <v>1001</v>
      </c>
      <c r="B934" t="s">
        <v>35</v>
      </c>
      <c r="C934" t="s">
        <v>36</v>
      </c>
      <c r="D934" t="s">
        <v>37</v>
      </c>
      <c r="E934">
        <v>31</v>
      </c>
      <c r="F934" t="s">
        <v>27</v>
      </c>
      <c r="G934" t="s">
        <v>28</v>
      </c>
      <c r="H934" s="1">
        <v>44748</v>
      </c>
      <c r="I934" s="2">
        <v>3.5</v>
      </c>
      <c r="J934" t="s">
        <v>50</v>
      </c>
      <c r="K934" s="3">
        <v>4300</v>
      </c>
      <c r="L934" t="s">
        <v>30</v>
      </c>
      <c r="M934">
        <v>3</v>
      </c>
      <c r="N934">
        <v>4</v>
      </c>
      <c r="O934">
        <v>3</v>
      </c>
      <c r="P934" t="s">
        <v>21</v>
      </c>
      <c r="Q934" s="1"/>
      <c r="U934">
        <v>1</v>
      </c>
      <c r="V934">
        <v>1</v>
      </c>
      <c r="W934">
        <v>0</v>
      </c>
    </row>
    <row r="935" spans="1:23" ht="16.5" x14ac:dyDescent="0.3">
      <c r="A935" t="s">
        <v>1002</v>
      </c>
      <c r="B935" t="s">
        <v>70</v>
      </c>
      <c r="C935" t="s">
        <v>36</v>
      </c>
      <c r="D935" t="s">
        <v>37</v>
      </c>
      <c r="E935">
        <v>28</v>
      </c>
      <c r="F935" t="s">
        <v>27</v>
      </c>
      <c r="G935" t="s">
        <v>38</v>
      </c>
      <c r="H935" s="1">
        <v>44061</v>
      </c>
      <c r="I935" s="2">
        <v>5.4</v>
      </c>
      <c r="J935" t="s">
        <v>39</v>
      </c>
      <c r="K935" s="3">
        <v>5500</v>
      </c>
      <c r="L935" t="s">
        <v>30</v>
      </c>
      <c r="M935">
        <v>3</v>
      </c>
      <c r="N935">
        <v>3</v>
      </c>
      <c r="O935">
        <v>21</v>
      </c>
      <c r="P935" t="s">
        <v>21</v>
      </c>
      <c r="Q935" s="1"/>
      <c r="U935">
        <v>1</v>
      </c>
      <c r="V935">
        <v>1</v>
      </c>
      <c r="W935">
        <v>0</v>
      </c>
    </row>
    <row r="936" spans="1:23" ht="16.5" x14ac:dyDescent="0.3">
      <c r="A936" t="s">
        <v>1003</v>
      </c>
      <c r="B936" t="s">
        <v>44</v>
      </c>
      <c r="C936" t="s">
        <v>25</v>
      </c>
      <c r="D936" t="s">
        <v>37</v>
      </c>
      <c r="E936">
        <v>34</v>
      </c>
      <c r="F936" t="s">
        <v>27</v>
      </c>
      <c r="G936" t="s">
        <v>28</v>
      </c>
      <c r="H936" s="1">
        <v>43648</v>
      </c>
      <c r="I936" s="2">
        <v>6.5</v>
      </c>
      <c r="J936" t="s">
        <v>39</v>
      </c>
      <c r="K936" s="3">
        <v>5550</v>
      </c>
      <c r="L936" t="s">
        <v>30</v>
      </c>
      <c r="M936">
        <v>4</v>
      </c>
      <c r="N936">
        <v>3</v>
      </c>
      <c r="O936">
        <v>43</v>
      </c>
      <c r="P936" t="s">
        <v>21</v>
      </c>
      <c r="Q936" s="1"/>
      <c r="U936">
        <v>1</v>
      </c>
      <c r="V936">
        <v>1</v>
      </c>
      <c r="W936">
        <v>0</v>
      </c>
    </row>
    <row r="937" spans="1:23" ht="16.5" x14ac:dyDescent="0.3">
      <c r="A937" t="s">
        <v>1004</v>
      </c>
      <c r="B937" t="s">
        <v>70</v>
      </c>
      <c r="C937" t="s">
        <v>45</v>
      </c>
      <c r="D937" t="s">
        <v>26</v>
      </c>
      <c r="E937">
        <v>37</v>
      </c>
      <c r="F937" t="s">
        <v>46</v>
      </c>
      <c r="G937" t="s">
        <v>38</v>
      </c>
      <c r="H937" s="1">
        <v>41677</v>
      </c>
      <c r="I937" s="2">
        <v>10.4</v>
      </c>
      <c r="J937" t="s">
        <v>39</v>
      </c>
      <c r="K937" s="3">
        <v>5750</v>
      </c>
      <c r="L937" t="s">
        <v>58</v>
      </c>
      <c r="M937">
        <v>3</v>
      </c>
      <c r="N937">
        <v>3</v>
      </c>
      <c r="O937">
        <v>25</v>
      </c>
      <c r="P937" t="s">
        <v>22</v>
      </c>
      <c r="Q937" s="1">
        <v>45472</v>
      </c>
      <c r="R937" t="s">
        <v>31</v>
      </c>
      <c r="S937" t="s">
        <v>32</v>
      </c>
      <c r="T937" t="s">
        <v>33</v>
      </c>
      <c r="U937">
        <v>1</v>
      </c>
      <c r="V937">
        <v>0</v>
      </c>
      <c r="W937">
        <v>1</v>
      </c>
    </row>
    <row r="938" spans="1:23" ht="16.5" x14ac:dyDescent="0.3">
      <c r="A938" t="s">
        <v>1005</v>
      </c>
      <c r="B938" t="s">
        <v>70</v>
      </c>
      <c r="C938" t="s">
        <v>36</v>
      </c>
      <c r="D938" t="s">
        <v>37</v>
      </c>
      <c r="E938">
        <v>29</v>
      </c>
      <c r="F938" t="s">
        <v>27</v>
      </c>
      <c r="G938" t="s">
        <v>28</v>
      </c>
      <c r="H938" s="1">
        <v>43913</v>
      </c>
      <c r="I938" s="2">
        <v>5.8</v>
      </c>
      <c r="J938" t="s">
        <v>39</v>
      </c>
      <c r="K938" s="3">
        <v>5900</v>
      </c>
      <c r="L938" t="s">
        <v>58</v>
      </c>
      <c r="M938">
        <v>4</v>
      </c>
      <c r="N938">
        <v>2</v>
      </c>
      <c r="O938">
        <v>35</v>
      </c>
      <c r="P938" t="s">
        <v>21</v>
      </c>
      <c r="Q938" s="1"/>
      <c r="U938">
        <v>1</v>
      </c>
      <c r="V938">
        <v>1</v>
      </c>
      <c r="W938">
        <v>0</v>
      </c>
    </row>
    <row r="939" spans="1:23" ht="16.5" x14ac:dyDescent="0.3">
      <c r="A939" t="s">
        <v>1006</v>
      </c>
      <c r="B939" t="s">
        <v>24</v>
      </c>
      <c r="C939" t="s">
        <v>36</v>
      </c>
      <c r="D939" t="s">
        <v>37</v>
      </c>
      <c r="E939">
        <v>36</v>
      </c>
      <c r="F939" t="s">
        <v>46</v>
      </c>
      <c r="G939" t="s">
        <v>52</v>
      </c>
      <c r="H939" s="1">
        <v>45051</v>
      </c>
      <c r="I939" s="2">
        <v>2.7</v>
      </c>
      <c r="J939" t="s">
        <v>29</v>
      </c>
      <c r="K939" s="3">
        <v>3850</v>
      </c>
      <c r="L939" t="s">
        <v>30</v>
      </c>
      <c r="M939">
        <v>5</v>
      </c>
      <c r="N939">
        <v>3</v>
      </c>
      <c r="O939">
        <v>17</v>
      </c>
      <c r="P939" t="s">
        <v>21</v>
      </c>
      <c r="Q939" s="1"/>
      <c r="U939">
        <v>1</v>
      </c>
      <c r="V939">
        <v>1</v>
      </c>
      <c r="W939">
        <v>0</v>
      </c>
    </row>
    <row r="940" spans="1:23" ht="16.5" x14ac:dyDescent="0.3">
      <c r="A940" t="s">
        <v>1007</v>
      </c>
      <c r="B940" t="s">
        <v>35</v>
      </c>
      <c r="C940" t="s">
        <v>25</v>
      </c>
      <c r="D940" t="s">
        <v>37</v>
      </c>
      <c r="E940">
        <v>21</v>
      </c>
      <c r="F940" t="s">
        <v>57</v>
      </c>
      <c r="G940" t="s">
        <v>38</v>
      </c>
      <c r="H940" s="1">
        <v>45940</v>
      </c>
      <c r="I940" s="2">
        <v>0.2</v>
      </c>
      <c r="J940" t="s">
        <v>64</v>
      </c>
      <c r="K940" s="3">
        <v>3750</v>
      </c>
      <c r="L940" t="s">
        <v>30</v>
      </c>
      <c r="M940">
        <v>5</v>
      </c>
      <c r="N940">
        <v>3</v>
      </c>
      <c r="O940">
        <v>9</v>
      </c>
      <c r="P940" t="s">
        <v>21</v>
      </c>
      <c r="Q940" s="1"/>
      <c r="U940">
        <v>1</v>
      </c>
      <c r="V940">
        <v>1</v>
      </c>
      <c r="W940">
        <v>0</v>
      </c>
    </row>
    <row r="941" spans="1:23" ht="16.5" x14ac:dyDescent="0.3">
      <c r="A941" t="s">
        <v>1008</v>
      </c>
      <c r="B941" t="s">
        <v>24</v>
      </c>
      <c r="C941" t="s">
        <v>45</v>
      </c>
      <c r="D941" t="s">
        <v>37</v>
      </c>
      <c r="E941">
        <v>40</v>
      </c>
      <c r="F941" t="s">
        <v>46</v>
      </c>
      <c r="G941" t="s">
        <v>38</v>
      </c>
      <c r="H941" s="1">
        <v>43017</v>
      </c>
      <c r="I941" s="2">
        <v>8.1999999999999993</v>
      </c>
      <c r="J941" t="s">
        <v>39</v>
      </c>
      <c r="K941" s="3">
        <v>5200</v>
      </c>
      <c r="L941" t="s">
        <v>30</v>
      </c>
      <c r="M941">
        <v>5</v>
      </c>
      <c r="N941">
        <v>5</v>
      </c>
      <c r="O941">
        <v>24</v>
      </c>
      <c r="P941" t="s">
        <v>21</v>
      </c>
      <c r="Q941" s="1"/>
      <c r="U941">
        <v>1</v>
      </c>
      <c r="V941">
        <v>1</v>
      </c>
      <c r="W941">
        <v>0</v>
      </c>
    </row>
    <row r="942" spans="1:23" ht="16.5" x14ac:dyDescent="0.3">
      <c r="A942" t="s">
        <v>1009</v>
      </c>
      <c r="B942" t="s">
        <v>24</v>
      </c>
      <c r="C942" t="s">
        <v>36</v>
      </c>
      <c r="D942" t="s">
        <v>37</v>
      </c>
      <c r="E942">
        <v>30</v>
      </c>
      <c r="F942" t="s">
        <v>27</v>
      </c>
      <c r="G942" t="s">
        <v>28</v>
      </c>
      <c r="H942" s="1">
        <v>44616</v>
      </c>
      <c r="I942" s="2">
        <v>2.4</v>
      </c>
      <c r="J942" t="s">
        <v>29</v>
      </c>
      <c r="K942" s="3">
        <v>3950</v>
      </c>
      <c r="L942" t="s">
        <v>30</v>
      </c>
      <c r="M942">
        <v>3</v>
      </c>
      <c r="N942">
        <v>4</v>
      </c>
      <c r="O942">
        <v>22</v>
      </c>
      <c r="P942" t="s">
        <v>22</v>
      </c>
      <c r="Q942" s="1">
        <v>45504</v>
      </c>
      <c r="R942" t="s">
        <v>31</v>
      </c>
      <c r="S942" t="s">
        <v>84</v>
      </c>
      <c r="T942" t="s">
        <v>42</v>
      </c>
      <c r="U942">
        <v>1</v>
      </c>
      <c r="V942">
        <v>0</v>
      </c>
      <c r="W942">
        <v>1</v>
      </c>
    </row>
    <row r="943" spans="1:23" ht="16.5" x14ac:dyDescent="0.3">
      <c r="A943" t="s">
        <v>1010</v>
      </c>
      <c r="B943" t="s">
        <v>24</v>
      </c>
      <c r="C943" t="s">
        <v>25</v>
      </c>
      <c r="D943" t="s">
        <v>37</v>
      </c>
      <c r="E943">
        <v>21</v>
      </c>
      <c r="F943" t="s">
        <v>57</v>
      </c>
      <c r="G943" t="s">
        <v>38</v>
      </c>
      <c r="H943" s="1">
        <v>45973</v>
      </c>
      <c r="I943" s="2">
        <v>0.1</v>
      </c>
      <c r="J943" t="s">
        <v>64</v>
      </c>
      <c r="K943" s="3">
        <v>2950</v>
      </c>
      <c r="L943" t="s">
        <v>30</v>
      </c>
      <c r="M943">
        <v>2</v>
      </c>
      <c r="N943">
        <v>5</v>
      </c>
      <c r="O943">
        <v>22</v>
      </c>
      <c r="P943" t="s">
        <v>21</v>
      </c>
      <c r="Q943" s="1"/>
      <c r="U943">
        <v>1</v>
      </c>
      <c r="V943">
        <v>1</v>
      </c>
      <c r="W943">
        <v>0</v>
      </c>
    </row>
    <row r="944" spans="1:23" ht="16.5" x14ac:dyDescent="0.3">
      <c r="A944" t="s">
        <v>1011</v>
      </c>
      <c r="B944" t="s">
        <v>48</v>
      </c>
      <c r="C944" t="s">
        <v>87</v>
      </c>
      <c r="D944" t="s">
        <v>37</v>
      </c>
      <c r="E944">
        <v>47</v>
      </c>
      <c r="F944" t="s">
        <v>88</v>
      </c>
      <c r="G944" t="s">
        <v>38</v>
      </c>
      <c r="H944" s="1">
        <v>40786</v>
      </c>
      <c r="I944" s="2">
        <v>14.3</v>
      </c>
      <c r="J944" t="s">
        <v>39</v>
      </c>
      <c r="K944" s="3">
        <v>14200</v>
      </c>
      <c r="L944" t="s">
        <v>30</v>
      </c>
      <c r="M944">
        <v>5</v>
      </c>
      <c r="N944">
        <v>2</v>
      </c>
      <c r="O944">
        <v>24</v>
      </c>
      <c r="P944" t="s">
        <v>21</v>
      </c>
      <c r="Q944" s="1"/>
      <c r="U944">
        <v>1</v>
      </c>
      <c r="V944">
        <v>1</v>
      </c>
      <c r="W944">
        <v>0</v>
      </c>
    </row>
    <row r="945" spans="1:23" ht="16.5" x14ac:dyDescent="0.3">
      <c r="A945" t="s">
        <v>1012</v>
      </c>
      <c r="B945" t="s">
        <v>35</v>
      </c>
      <c r="C945" t="s">
        <v>36</v>
      </c>
      <c r="D945" t="s">
        <v>37</v>
      </c>
      <c r="E945">
        <v>40</v>
      </c>
      <c r="F945" t="s">
        <v>46</v>
      </c>
      <c r="G945" t="s">
        <v>38</v>
      </c>
      <c r="H945" s="1">
        <v>42235</v>
      </c>
      <c r="I945" s="2">
        <v>10.4</v>
      </c>
      <c r="J945" t="s">
        <v>39</v>
      </c>
      <c r="K945" s="3">
        <v>4600</v>
      </c>
      <c r="L945" t="s">
        <v>58</v>
      </c>
      <c r="M945">
        <v>3</v>
      </c>
      <c r="N945">
        <v>3</v>
      </c>
      <c r="O945">
        <v>30</v>
      </c>
      <c r="P945" t="s">
        <v>21</v>
      </c>
      <c r="Q945" s="1"/>
      <c r="U945">
        <v>1</v>
      </c>
      <c r="V945">
        <v>1</v>
      </c>
      <c r="W945">
        <v>0</v>
      </c>
    </row>
    <row r="946" spans="1:23" ht="16.5" x14ac:dyDescent="0.3">
      <c r="A946" t="s">
        <v>1013</v>
      </c>
      <c r="B946" t="s">
        <v>70</v>
      </c>
      <c r="C946" t="s">
        <v>25</v>
      </c>
      <c r="D946" t="s">
        <v>26</v>
      </c>
      <c r="E946">
        <v>29</v>
      </c>
      <c r="F946" t="s">
        <v>27</v>
      </c>
      <c r="G946" t="s">
        <v>38</v>
      </c>
      <c r="H946" s="1">
        <v>44737</v>
      </c>
      <c r="I946" s="2">
        <v>3.5</v>
      </c>
      <c r="J946" t="s">
        <v>50</v>
      </c>
      <c r="K946" s="3">
        <v>4400</v>
      </c>
      <c r="L946" t="s">
        <v>58</v>
      </c>
      <c r="M946">
        <v>2</v>
      </c>
      <c r="N946">
        <v>2</v>
      </c>
      <c r="O946">
        <v>35</v>
      </c>
      <c r="P946" t="s">
        <v>21</v>
      </c>
      <c r="Q946" s="1"/>
      <c r="U946">
        <v>1</v>
      </c>
      <c r="V946">
        <v>1</v>
      </c>
      <c r="W946">
        <v>0</v>
      </c>
    </row>
    <row r="947" spans="1:23" ht="16.5" x14ac:dyDescent="0.3">
      <c r="A947" t="s">
        <v>1014</v>
      </c>
      <c r="B947" t="s">
        <v>35</v>
      </c>
      <c r="C947" t="s">
        <v>87</v>
      </c>
      <c r="D947" t="s">
        <v>26</v>
      </c>
      <c r="E947">
        <v>45</v>
      </c>
      <c r="F947" t="s">
        <v>46</v>
      </c>
      <c r="G947" t="s">
        <v>38</v>
      </c>
      <c r="H947" s="1">
        <v>44613</v>
      </c>
      <c r="I947" s="2">
        <v>3.9</v>
      </c>
      <c r="J947" t="s">
        <v>50</v>
      </c>
      <c r="K947" s="3">
        <v>7600</v>
      </c>
      <c r="L947" t="s">
        <v>30</v>
      </c>
      <c r="M947">
        <v>5</v>
      </c>
      <c r="N947">
        <v>2</v>
      </c>
      <c r="O947">
        <v>40</v>
      </c>
      <c r="P947" t="s">
        <v>21</v>
      </c>
      <c r="Q947" s="1"/>
      <c r="U947">
        <v>1</v>
      </c>
      <c r="V947">
        <v>1</v>
      </c>
      <c r="W947">
        <v>0</v>
      </c>
    </row>
    <row r="948" spans="1:23" ht="16.5" x14ac:dyDescent="0.3">
      <c r="A948" t="s">
        <v>1015</v>
      </c>
      <c r="B948" t="s">
        <v>35</v>
      </c>
      <c r="C948" t="s">
        <v>36</v>
      </c>
      <c r="D948" t="s">
        <v>26</v>
      </c>
      <c r="E948">
        <v>35</v>
      </c>
      <c r="F948" t="s">
        <v>27</v>
      </c>
      <c r="G948" t="s">
        <v>28</v>
      </c>
      <c r="H948" s="1">
        <v>42954</v>
      </c>
      <c r="I948" s="2">
        <v>8.4</v>
      </c>
      <c r="J948" t="s">
        <v>39</v>
      </c>
      <c r="K948" s="3">
        <v>4250</v>
      </c>
      <c r="L948" t="s">
        <v>58</v>
      </c>
      <c r="M948">
        <v>4</v>
      </c>
      <c r="N948">
        <v>4</v>
      </c>
      <c r="O948">
        <v>21</v>
      </c>
      <c r="P948" t="s">
        <v>21</v>
      </c>
      <c r="Q948" s="1"/>
      <c r="U948">
        <v>1</v>
      </c>
      <c r="V948">
        <v>1</v>
      </c>
      <c r="W948">
        <v>0</v>
      </c>
    </row>
    <row r="949" spans="1:23" ht="16.5" x14ac:dyDescent="0.3">
      <c r="A949" t="s">
        <v>1016</v>
      </c>
      <c r="B949" t="s">
        <v>35</v>
      </c>
      <c r="C949" t="s">
        <v>36</v>
      </c>
      <c r="D949" t="s">
        <v>37</v>
      </c>
      <c r="E949">
        <v>27</v>
      </c>
      <c r="F949" t="s">
        <v>27</v>
      </c>
      <c r="G949" t="s">
        <v>38</v>
      </c>
      <c r="H949" s="1">
        <v>45213</v>
      </c>
      <c r="I949" s="2">
        <v>2.2000000000000002</v>
      </c>
      <c r="J949" t="s">
        <v>29</v>
      </c>
      <c r="K949" s="3">
        <v>4600</v>
      </c>
      <c r="L949" t="s">
        <v>30</v>
      </c>
      <c r="M949">
        <v>3</v>
      </c>
      <c r="N949">
        <v>3</v>
      </c>
      <c r="O949">
        <v>26</v>
      </c>
      <c r="P949" t="s">
        <v>21</v>
      </c>
      <c r="Q949" s="1"/>
      <c r="U949">
        <v>1</v>
      </c>
      <c r="V949">
        <v>1</v>
      </c>
      <c r="W949">
        <v>0</v>
      </c>
    </row>
    <row r="950" spans="1:23" ht="16.5" x14ac:dyDescent="0.3">
      <c r="A950" t="s">
        <v>1017</v>
      </c>
      <c r="B950" t="s">
        <v>48</v>
      </c>
      <c r="C950" t="s">
        <v>87</v>
      </c>
      <c r="D950" t="s">
        <v>26</v>
      </c>
      <c r="E950">
        <v>44</v>
      </c>
      <c r="F950" t="s">
        <v>46</v>
      </c>
      <c r="G950" t="s">
        <v>52</v>
      </c>
      <c r="H950" s="1">
        <v>43467</v>
      </c>
      <c r="I950" s="2">
        <v>7</v>
      </c>
      <c r="J950" t="s">
        <v>39</v>
      </c>
      <c r="K950" s="3">
        <v>17550</v>
      </c>
      <c r="L950" t="s">
        <v>30</v>
      </c>
      <c r="M950">
        <v>4</v>
      </c>
      <c r="N950">
        <v>4</v>
      </c>
      <c r="O950">
        <v>23</v>
      </c>
      <c r="P950" t="s">
        <v>21</v>
      </c>
      <c r="Q950" s="1"/>
      <c r="U950">
        <v>1</v>
      </c>
      <c r="V950">
        <v>1</v>
      </c>
      <c r="W950">
        <v>0</v>
      </c>
    </row>
    <row r="951" spans="1:23" ht="16.5" x14ac:dyDescent="0.3">
      <c r="A951" t="s">
        <v>1018</v>
      </c>
      <c r="B951" t="s">
        <v>24</v>
      </c>
      <c r="C951" t="s">
        <v>36</v>
      </c>
      <c r="D951" t="s">
        <v>26</v>
      </c>
      <c r="E951">
        <v>29</v>
      </c>
      <c r="F951" t="s">
        <v>27</v>
      </c>
      <c r="G951" t="s">
        <v>38</v>
      </c>
      <c r="H951" s="1">
        <v>44477</v>
      </c>
      <c r="I951" s="2">
        <v>4.0999999999999996</v>
      </c>
      <c r="J951" t="s">
        <v>50</v>
      </c>
      <c r="K951" s="3">
        <v>3550</v>
      </c>
      <c r="L951" t="s">
        <v>30</v>
      </c>
      <c r="M951">
        <v>1</v>
      </c>
      <c r="N951">
        <v>4</v>
      </c>
      <c r="O951">
        <v>17</v>
      </c>
      <c r="P951" t="s">
        <v>22</v>
      </c>
      <c r="Q951" s="1">
        <v>45962</v>
      </c>
      <c r="R951" t="s">
        <v>40</v>
      </c>
      <c r="S951" t="s">
        <v>182</v>
      </c>
      <c r="T951" t="s">
        <v>42</v>
      </c>
      <c r="U951">
        <v>1</v>
      </c>
      <c r="V951">
        <v>0</v>
      </c>
      <c r="W951">
        <v>1</v>
      </c>
    </row>
    <row r="952" spans="1:23" ht="16.5" x14ac:dyDescent="0.3">
      <c r="A952" t="s">
        <v>1019</v>
      </c>
      <c r="B952" t="s">
        <v>73</v>
      </c>
      <c r="C952" t="s">
        <v>25</v>
      </c>
      <c r="D952" t="s">
        <v>37</v>
      </c>
      <c r="E952">
        <v>31</v>
      </c>
      <c r="F952" t="s">
        <v>27</v>
      </c>
      <c r="G952" t="s">
        <v>38</v>
      </c>
      <c r="H952" s="1">
        <v>44881</v>
      </c>
      <c r="I952" s="2">
        <v>3.1</v>
      </c>
      <c r="J952" t="s">
        <v>50</v>
      </c>
      <c r="K952" s="3">
        <v>4200</v>
      </c>
      <c r="L952" t="s">
        <v>30</v>
      </c>
      <c r="M952">
        <v>3</v>
      </c>
      <c r="N952">
        <v>3</v>
      </c>
      <c r="O952">
        <v>30</v>
      </c>
      <c r="P952" t="s">
        <v>21</v>
      </c>
      <c r="Q952" s="1"/>
      <c r="U952">
        <v>1</v>
      </c>
      <c r="V952">
        <v>1</v>
      </c>
      <c r="W952">
        <v>0</v>
      </c>
    </row>
    <row r="953" spans="1:23" ht="16.5" x14ac:dyDescent="0.3">
      <c r="A953" t="s">
        <v>1020</v>
      </c>
      <c r="B953" t="s">
        <v>48</v>
      </c>
      <c r="C953" t="s">
        <v>25</v>
      </c>
      <c r="D953" t="s">
        <v>26</v>
      </c>
      <c r="E953">
        <v>30</v>
      </c>
      <c r="F953" t="s">
        <v>27</v>
      </c>
      <c r="G953" t="s">
        <v>28</v>
      </c>
      <c r="H953" s="1">
        <v>44001</v>
      </c>
      <c r="I953" s="2">
        <v>5.5</v>
      </c>
      <c r="J953" t="s">
        <v>39</v>
      </c>
      <c r="K953" s="3">
        <v>6100</v>
      </c>
      <c r="L953" t="s">
        <v>30</v>
      </c>
      <c r="M953">
        <v>3</v>
      </c>
      <c r="N953">
        <v>3</v>
      </c>
      <c r="O953">
        <v>33</v>
      </c>
      <c r="P953" t="s">
        <v>21</v>
      </c>
      <c r="Q953" s="1"/>
      <c r="U953">
        <v>1</v>
      </c>
      <c r="V953">
        <v>1</v>
      </c>
      <c r="W953">
        <v>0</v>
      </c>
    </row>
    <row r="954" spans="1:23" ht="16.5" x14ac:dyDescent="0.3">
      <c r="A954" t="s">
        <v>1021</v>
      </c>
      <c r="B954" t="s">
        <v>70</v>
      </c>
      <c r="C954" t="s">
        <v>25</v>
      </c>
      <c r="D954" t="s">
        <v>26</v>
      </c>
      <c r="E954">
        <v>21</v>
      </c>
      <c r="F954" t="s">
        <v>57</v>
      </c>
      <c r="G954" t="s">
        <v>38</v>
      </c>
      <c r="H954" s="1">
        <v>45936</v>
      </c>
      <c r="I954" s="2">
        <v>0.2</v>
      </c>
      <c r="J954" t="s">
        <v>64</v>
      </c>
      <c r="K954" s="3">
        <v>3650</v>
      </c>
      <c r="L954" t="s">
        <v>30</v>
      </c>
      <c r="M954">
        <v>5</v>
      </c>
      <c r="N954">
        <v>4</v>
      </c>
      <c r="O954">
        <v>17</v>
      </c>
      <c r="P954" t="s">
        <v>21</v>
      </c>
      <c r="Q954" s="1"/>
      <c r="U954">
        <v>1</v>
      </c>
      <c r="V954">
        <v>1</v>
      </c>
      <c r="W954">
        <v>0</v>
      </c>
    </row>
    <row r="955" spans="1:23" ht="16.5" x14ac:dyDescent="0.3">
      <c r="A955" t="s">
        <v>1022</v>
      </c>
      <c r="B955" t="s">
        <v>35</v>
      </c>
      <c r="C955" t="s">
        <v>36</v>
      </c>
      <c r="D955" t="s">
        <v>26</v>
      </c>
      <c r="E955">
        <v>36</v>
      </c>
      <c r="F955" t="s">
        <v>46</v>
      </c>
      <c r="G955" t="s">
        <v>38</v>
      </c>
      <c r="H955" s="1">
        <v>41981</v>
      </c>
      <c r="I955" s="2">
        <v>10.199999999999999</v>
      </c>
      <c r="J955" t="s">
        <v>39</v>
      </c>
      <c r="K955" s="3">
        <v>3950</v>
      </c>
      <c r="L955" t="s">
        <v>58</v>
      </c>
      <c r="M955">
        <v>2</v>
      </c>
      <c r="N955">
        <v>4</v>
      </c>
      <c r="O955">
        <v>26</v>
      </c>
      <c r="P955" t="s">
        <v>22</v>
      </c>
      <c r="Q955" s="1">
        <v>45697</v>
      </c>
      <c r="R955" t="s">
        <v>40</v>
      </c>
      <c r="S955" t="s">
        <v>103</v>
      </c>
      <c r="T955" t="s">
        <v>473</v>
      </c>
      <c r="U955">
        <v>1</v>
      </c>
      <c r="V955">
        <v>0</v>
      </c>
      <c r="W955">
        <v>1</v>
      </c>
    </row>
    <row r="956" spans="1:23" ht="16.5" x14ac:dyDescent="0.3">
      <c r="A956" t="s">
        <v>1023</v>
      </c>
      <c r="B956" t="s">
        <v>24</v>
      </c>
      <c r="C956" t="s">
        <v>36</v>
      </c>
      <c r="D956" t="s">
        <v>26</v>
      </c>
      <c r="E956">
        <v>34</v>
      </c>
      <c r="F956" t="s">
        <v>27</v>
      </c>
      <c r="G956" t="s">
        <v>52</v>
      </c>
      <c r="H956" s="1">
        <v>43213</v>
      </c>
      <c r="I956" s="2">
        <v>7.7</v>
      </c>
      <c r="J956" t="s">
        <v>39</v>
      </c>
      <c r="K956" s="3">
        <v>4200</v>
      </c>
      <c r="L956" t="s">
        <v>30</v>
      </c>
      <c r="M956">
        <v>3</v>
      </c>
      <c r="N956">
        <v>4</v>
      </c>
      <c r="O956">
        <v>10</v>
      </c>
      <c r="P956" t="s">
        <v>21</v>
      </c>
      <c r="Q956" s="1"/>
      <c r="U956">
        <v>1</v>
      </c>
      <c r="V956">
        <v>1</v>
      </c>
      <c r="W956">
        <v>0</v>
      </c>
    </row>
    <row r="957" spans="1:23" ht="16.5" x14ac:dyDescent="0.3">
      <c r="A957" t="s">
        <v>1024</v>
      </c>
      <c r="B957" t="s">
        <v>48</v>
      </c>
      <c r="C957" t="s">
        <v>36</v>
      </c>
      <c r="D957" t="s">
        <v>37</v>
      </c>
      <c r="E957">
        <v>38</v>
      </c>
      <c r="F957" t="s">
        <v>46</v>
      </c>
      <c r="G957" t="s">
        <v>38</v>
      </c>
      <c r="H957" s="1">
        <v>43528</v>
      </c>
      <c r="I957" s="2">
        <v>6.8</v>
      </c>
      <c r="J957" t="s">
        <v>39</v>
      </c>
      <c r="K957" s="3">
        <v>7400</v>
      </c>
      <c r="L957" t="s">
        <v>30</v>
      </c>
      <c r="M957">
        <v>4</v>
      </c>
      <c r="N957">
        <v>4</v>
      </c>
      <c r="O957">
        <v>34</v>
      </c>
      <c r="P957" t="s">
        <v>21</v>
      </c>
      <c r="Q957" s="1"/>
      <c r="U957">
        <v>1</v>
      </c>
      <c r="V957">
        <v>1</v>
      </c>
      <c r="W957">
        <v>0</v>
      </c>
    </row>
    <row r="958" spans="1:23" ht="16.5" x14ac:dyDescent="0.3">
      <c r="A958" t="s">
        <v>1025</v>
      </c>
      <c r="B958" t="s">
        <v>24</v>
      </c>
      <c r="C958" t="s">
        <v>45</v>
      </c>
      <c r="D958" t="s">
        <v>37</v>
      </c>
      <c r="E958">
        <v>37</v>
      </c>
      <c r="F958" t="s">
        <v>46</v>
      </c>
      <c r="G958" t="s">
        <v>38</v>
      </c>
      <c r="H958" s="1">
        <v>41503</v>
      </c>
      <c r="I958" s="2">
        <v>12.4</v>
      </c>
      <c r="J958" t="s">
        <v>39</v>
      </c>
      <c r="K958" s="3">
        <v>6150</v>
      </c>
      <c r="L958" t="s">
        <v>58</v>
      </c>
      <c r="M958">
        <v>4</v>
      </c>
      <c r="N958">
        <v>3</v>
      </c>
      <c r="O958">
        <v>21</v>
      </c>
      <c r="P958" t="s">
        <v>21</v>
      </c>
      <c r="Q958" s="1"/>
      <c r="U958">
        <v>1</v>
      </c>
      <c r="V958">
        <v>1</v>
      </c>
      <c r="W958">
        <v>0</v>
      </c>
    </row>
    <row r="959" spans="1:23" ht="16.5" x14ac:dyDescent="0.3">
      <c r="A959" t="s">
        <v>1026</v>
      </c>
      <c r="B959" t="s">
        <v>48</v>
      </c>
      <c r="C959" t="s">
        <v>45</v>
      </c>
      <c r="D959" t="s">
        <v>26</v>
      </c>
      <c r="E959">
        <v>44</v>
      </c>
      <c r="F959" t="s">
        <v>46</v>
      </c>
      <c r="G959" t="s">
        <v>52</v>
      </c>
      <c r="H959" s="1">
        <v>43507</v>
      </c>
      <c r="I959" s="2">
        <v>6.9</v>
      </c>
      <c r="J959" t="s">
        <v>39</v>
      </c>
      <c r="K959" s="3">
        <v>9750</v>
      </c>
      <c r="L959" t="s">
        <v>58</v>
      </c>
      <c r="M959">
        <v>2</v>
      </c>
      <c r="N959">
        <v>2</v>
      </c>
      <c r="O959">
        <v>35</v>
      </c>
      <c r="P959" t="s">
        <v>21</v>
      </c>
      <c r="Q959" s="1"/>
      <c r="U959">
        <v>1</v>
      </c>
      <c r="V959">
        <v>1</v>
      </c>
      <c r="W959">
        <v>0</v>
      </c>
    </row>
    <row r="960" spans="1:23" ht="16.5" x14ac:dyDescent="0.3">
      <c r="A960" t="s">
        <v>1027</v>
      </c>
      <c r="B960" t="s">
        <v>48</v>
      </c>
      <c r="C960" t="s">
        <v>25</v>
      </c>
      <c r="D960" t="s">
        <v>37</v>
      </c>
      <c r="E960">
        <v>36</v>
      </c>
      <c r="F960" t="s">
        <v>46</v>
      </c>
      <c r="G960" t="s">
        <v>28</v>
      </c>
      <c r="H960" s="1">
        <v>43677</v>
      </c>
      <c r="I960" s="2">
        <v>6.4</v>
      </c>
      <c r="J960" t="s">
        <v>39</v>
      </c>
      <c r="K960" s="3">
        <v>6450</v>
      </c>
      <c r="L960" t="s">
        <v>30</v>
      </c>
      <c r="M960">
        <v>3</v>
      </c>
      <c r="N960">
        <v>4</v>
      </c>
      <c r="O960">
        <v>18</v>
      </c>
      <c r="P960" t="s">
        <v>21</v>
      </c>
      <c r="Q960" s="1"/>
      <c r="U960">
        <v>1</v>
      </c>
      <c r="V960">
        <v>1</v>
      </c>
      <c r="W960">
        <v>0</v>
      </c>
    </row>
    <row r="961" spans="1:23" ht="16.5" x14ac:dyDescent="0.3">
      <c r="A961" t="s">
        <v>1028</v>
      </c>
      <c r="B961" t="s">
        <v>35</v>
      </c>
      <c r="C961" t="s">
        <v>25</v>
      </c>
      <c r="D961" t="s">
        <v>37</v>
      </c>
      <c r="E961">
        <v>21</v>
      </c>
      <c r="F961" t="s">
        <v>57</v>
      </c>
      <c r="G961" t="s">
        <v>52</v>
      </c>
      <c r="H961" s="1">
        <v>45951</v>
      </c>
      <c r="I961" s="2">
        <v>0.2</v>
      </c>
      <c r="J961" t="s">
        <v>64</v>
      </c>
      <c r="K961" s="3">
        <v>3900</v>
      </c>
      <c r="L961" t="s">
        <v>30</v>
      </c>
      <c r="M961">
        <v>3</v>
      </c>
      <c r="N961">
        <v>3</v>
      </c>
      <c r="O961">
        <v>39</v>
      </c>
      <c r="P961" t="s">
        <v>21</v>
      </c>
      <c r="Q961" s="1"/>
      <c r="U961">
        <v>1</v>
      </c>
      <c r="V961">
        <v>1</v>
      </c>
      <c r="W961">
        <v>0</v>
      </c>
    </row>
    <row r="962" spans="1:23" ht="16.5" x14ac:dyDescent="0.3">
      <c r="A962" t="s">
        <v>1029</v>
      </c>
      <c r="B962" t="s">
        <v>24</v>
      </c>
      <c r="C962" t="s">
        <v>36</v>
      </c>
      <c r="D962" t="s">
        <v>37</v>
      </c>
      <c r="E962">
        <v>34</v>
      </c>
      <c r="F962" t="s">
        <v>27</v>
      </c>
      <c r="G962" t="s">
        <v>38</v>
      </c>
      <c r="H962" s="1">
        <v>45091</v>
      </c>
      <c r="I962" s="2">
        <v>1.6</v>
      </c>
      <c r="J962" t="s">
        <v>29</v>
      </c>
      <c r="K962" s="3">
        <v>3800</v>
      </c>
      <c r="L962" t="s">
        <v>30</v>
      </c>
      <c r="M962">
        <v>3</v>
      </c>
      <c r="N962">
        <v>4</v>
      </c>
      <c r="O962">
        <v>31</v>
      </c>
      <c r="P962" t="s">
        <v>22</v>
      </c>
      <c r="Q962" s="1">
        <v>45666</v>
      </c>
      <c r="R962" t="s">
        <v>40</v>
      </c>
      <c r="S962" t="s">
        <v>107</v>
      </c>
      <c r="T962" t="s">
        <v>85</v>
      </c>
      <c r="U962">
        <v>1</v>
      </c>
      <c r="V962">
        <v>0</v>
      </c>
      <c r="W962">
        <v>1</v>
      </c>
    </row>
    <row r="963" spans="1:23" ht="16.5" x14ac:dyDescent="0.3">
      <c r="A963" t="s">
        <v>1030</v>
      </c>
      <c r="B963" t="s">
        <v>35</v>
      </c>
      <c r="C963" t="s">
        <v>25</v>
      </c>
      <c r="D963" t="s">
        <v>37</v>
      </c>
      <c r="E963">
        <v>21</v>
      </c>
      <c r="F963" t="s">
        <v>57</v>
      </c>
      <c r="G963" t="s">
        <v>38</v>
      </c>
      <c r="H963" s="1">
        <v>45914</v>
      </c>
      <c r="I963" s="2">
        <v>0.3</v>
      </c>
      <c r="J963" t="s">
        <v>64</v>
      </c>
      <c r="K963" s="3">
        <v>4100</v>
      </c>
      <c r="L963" t="s">
        <v>30</v>
      </c>
      <c r="M963">
        <v>3</v>
      </c>
      <c r="N963">
        <v>4</v>
      </c>
      <c r="O963">
        <v>32</v>
      </c>
      <c r="P963" t="s">
        <v>21</v>
      </c>
      <c r="Q963" s="1"/>
      <c r="U963">
        <v>1</v>
      </c>
      <c r="V963">
        <v>1</v>
      </c>
      <c r="W963">
        <v>0</v>
      </c>
    </row>
    <row r="964" spans="1:23" ht="16.5" x14ac:dyDescent="0.3">
      <c r="A964" t="s">
        <v>1031</v>
      </c>
      <c r="B964" t="s">
        <v>24</v>
      </c>
      <c r="C964" t="s">
        <v>36</v>
      </c>
      <c r="D964" t="s">
        <v>37</v>
      </c>
      <c r="E964">
        <v>35</v>
      </c>
      <c r="F964" t="s">
        <v>27</v>
      </c>
      <c r="G964" t="s">
        <v>28</v>
      </c>
      <c r="H964" s="1">
        <v>42669</v>
      </c>
      <c r="I964" s="2">
        <v>9.1999999999999993</v>
      </c>
      <c r="J964" t="s">
        <v>39</v>
      </c>
      <c r="K964" s="3">
        <v>3450</v>
      </c>
      <c r="L964" t="s">
        <v>30</v>
      </c>
      <c r="M964">
        <v>2</v>
      </c>
      <c r="N964">
        <v>3</v>
      </c>
      <c r="O964">
        <v>27</v>
      </c>
      <c r="P964" t="s">
        <v>21</v>
      </c>
      <c r="Q964" s="1"/>
      <c r="U964">
        <v>1</v>
      </c>
      <c r="V964">
        <v>1</v>
      </c>
      <c r="W964">
        <v>0</v>
      </c>
    </row>
    <row r="965" spans="1:23" ht="16.5" x14ac:dyDescent="0.3">
      <c r="A965" t="s">
        <v>1032</v>
      </c>
      <c r="B965" t="s">
        <v>70</v>
      </c>
      <c r="C965" t="s">
        <v>36</v>
      </c>
      <c r="D965" t="s">
        <v>26</v>
      </c>
      <c r="E965">
        <v>28</v>
      </c>
      <c r="F965" t="s">
        <v>27</v>
      </c>
      <c r="G965" t="s">
        <v>52</v>
      </c>
      <c r="H965" s="1">
        <v>45014</v>
      </c>
      <c r="I965" s="2">
        <v>2.8</v>
      </c>
      <c r="J965" t="s">
        <v>29</v>
      </c>
      <c r="K965" s="3">
        <v>5250</v>
      </c>
      <c r="L965" t="s">
        <v>58</v>
      </c>
      <c r="M965">
        <v>3</v>
      </c>
      <c r="N965">
        <v>3</v>
      </c>
      <c r="O965">
        <v>21</v>
      </c>
      <c r="P965" t="s">
        <v>21</v>
      </c>
      <c r="Q965" s="1"/>
      <c r="U965">
        <v>1</v>
      </c>
      <c r="V965">
        <v>1</v>
      </c>
      <c r="W965">
        <v>0</v>
      </c>
    </row>
    <row r="966" spans="1:23" ht="16.5" x14ac:dyDescent="0.3">
      <c r="A966" t="s">
        <v>1033</v>
      </c>
      <c r="B966" t="s">
        <v>70</v>
      </c>
      <c r="C966" t="s">
        <v>25</v>
      </c>
      <c r="D966" t="s">
        <v>37</v>
      </c>
      <c r="E966">
        <v>27</v>
      </c>
      <c r="F966" t="s">
        <v>27</v>
      </c>
      <c r="G966" t="s">
        <v>38</v>
      </c>
      <c r="H966" s="1">
        <v>44894</v>
      </c>
      <c r="I966" s="2">
        <v>2.8</v>
      </c>
      <c r="J966" t="s">
        <v>29</v>
      </c>
      <c r="K966" s="3">
        <v>4250</v>
      </c>
      <c r="L966" t="s">
        <v>30</v>
      </c>
      <c r="M966">
        <v>3</v>
      </c>
      <c r="N966">
        <v>4</v>
      </c>
      <c r="O966">
        <v>15</v>
      </c>
      <c r="P966" t="s">
        <v>22</v>
      </c>
      <c r="Q966" s="1">
        <v>45927</v>
      </c>
      <c r="R966" t="s">
        <v>40</v>
      </c>
      <c r="S966" t="s">
        <v>259</v>
      </c>
      <c r="T966" t="s">
        <v>33</v>
      </c>
      <c r="U966">
        <v>1</v>
      </c>
      <c r="V966">
        <v>0</v>
      </c>
      <c r="W966">
        <v>1</v>
      </c>
    </row>
    <row r="967" spans="1:23" ht="16.5" x14ac:dyDescent="0.3">
      <c r="A967" t="s">
        <v>1034</v>
      </c>
      <c r="B967" t="s">
        <v>48</v>
      </c>
      <c r="C967" t="s">
        <v>87</v>
      </c>
      <c r="D967" t="s">
        <v>26</v>
      </c>
      <c r="E967">
        <v>46</v>
      </c>
      <c r="F967" t="s">
        <v>88</v>
      </c>
      <c r="G967" t="s">
        <v>38</v>
      </c>
      <c r="H967" s="1">
        <v>41440</v>
      </c>
      <c r="I967" s="2">
        <v>12.5</v>
      </c>
      <c r="J967" t="s">
        <v>39</v>
      </c>
      <c r="K967" s="3">
        <v>15900</v>
      </c>
      <c r="L967" t="s">
        <v>58</v>
      </c>
      <c r="M967">
        <v>3</v>
      </c>
      <c r="N967">
        <v>4</v>
      </c>
      <c r="O967">
        <v>21</v>
      </c>
      <c r="P967" t="s">
        <v>21</v>
      </c>
      <c r="Q967" s="1"/>
      <c r="U967">
        <v>1</v>
      </c>
      <c r="V967">
        <v>1</v>
      </c>
      <c r="W967">
        <v>0</v>
      </c>
    </row>
    <row r="968" spans="1:23" ht="16.5" x14ac:dyDescent="0.3">
      <c r="A968" t="s">
        <v>1035</v>
      </c>
      <c r="B968" t="s">
        <v>70</v>
      </c>
      <c r="C968" t="s">
        <v>25</v>
      </c>
      <c r="D968" t="s">
        <v>26</v>
      </c>
      <c r="E968">
        <v>27</v>
      </c>
      <c r="F968" t="s">
        <v>27</v>
      </c>
      <c r="G968" t="s">
        <v>52</v>
      </c>
      <c r="H968" s="1">
        <v>44413</v>
      </c>
      <c r="I968" s="2">
        <v>4.4000000000000004</v>
      </c>
      <c r="J968" t="s">
        <v>50</v>
      </c>
      <c r="K968" s="3">
        <v>4050</v>
      </c>
      <c r="L968" t="s">
        <v>30</v>
      </c>
      <c r="M968">
        <v>4</v>
      </c>
      <c r="N968">
        <v>3</v>
      </c>
      <c r="O968">
        <v>20</v>
      </c>
      <c r="P968" t="s">
        <v>21</v>
      </c>
      <c r="Q968" s="1"/>
      <c r="U968">
        <v>1</v>
      </c>
      <c r="V968">
        <v>1</v>
      </c>
      <c r="W968">
        <v>0</v>
      </c>
    </row>
    <row r="969" spans="1:23" ht="16.5" x14ac:dyDescent="0.3">
      <c r="A969" t="s">
        <v>1036</v>
      </c>
      <c r="B969" t="s">
        <v>73</v>
      </c>
      <c r="C969" t="s">
        <v>36</v>
      </c>
      <c r="D969" t="s">
        <v>37</v>
      </c>
      <c r="E969">
        <v>21</v>
      </c>
      <c r="F969" t="s">
        <v>57</v>
      </c>
      <c r="G969" t="s">
        <v>38</v>
      </c>
      <c r="H969" s="1">
        <v>45953</v>
      </c>
      <c r="I969" s="2">
        <v>0.2</v>
      </c>
      <c r="J969" t="s">
        <v>64</v>
      </c>
      <c r="K969" s="3">
        <v>5800</v>
      </c>
      <c r="L969" t="s">
        <v>58</v>
      </c>
      <c r="M969">
        <v>3</v>
      </c>
      <c r="N969">
        <v>3</v>
      </c>
      <c r="O969">
        <v>32</v>
      </c>
      <c r="P969" t="s">
        <v>21</v>
      </c>
      <c r="Q969" s="1"/>
      <c r="U969">
        <v>1</v>
      </c>
      <c r="V969">
        <v>1</v>
      </c>
      <c r="W969">
        <v>0</v>
      </c>
    </row>
    <row r="970" spans="1:23" ht="16.5" x14ac:dyDescent="0.3">
      <c r="A970" t="s">
        <v>1037</v>
      </c>
      <c r="B970" t="s">
        <v>70</v>
      </c>
      <c r="C970" t="s">
        <v>36</v>
      </c>
      <c r="D970" t="s">
        <v>37</v>
      </c>
      <c r="E970">
        <v>27</v>
      </c>
      <c r="F970" t="s">
        <v>27</v>
      </c>
      <c r="G970" t="s">
        <v>28</v>
      </c>
      <c r="H970" s="1">
        <v>45415</v>
      </c>
      <c r="I970" s="2">
        <v>1.7</v>
      </c>
      <c r="J970" t="s">
        <v>29</v>
      </c>
      <c r="K970" s="3">
        <v>6550</v>
      </c>
      <c r="L970" t="s">
        <v>30</v>
      </c>
      <c r="M970">
        <v>2</v>
      </c>
      <c r="N970">
        <v>4</v>
      </c>
      <c r="O970">
        <v>20</v>
      </c>
      <c r="P970" t="s">
        <v>21</v>
      </c>
      <c r="Q970" s="1"/>
      <c r="U970">
        <v>1</v>
      </c>
      <c r="V970">
        <v>1</v>
      </c>
      <c r="W970">
        <v>0</v>
      </c>
    </row>
    <row r="971" spans="1:23" ht="16.5" x14ac:dyDescent="0.3">
      <c r="A971" t="s">
        <v>1038</v>
      </c>
      <c r="B971" t="s">
        <v>35</v>
      </c>
      <c r="C971" t="s">
        <v>25</v>
      </c>
      <c r="D971" t="s">
        <v>37</v>
      </c>
      <c r="E971">
        <v>31</v>
      </c>
      <c r="F971" t="s">
        <v>27</v>
      </c>
      <c r="G971" t="s">
        <v>52</v>
      </c>
      <c r="H971" s="1">
        <v>43797</v>
      </c>
      <c r="I971" s="2">
        <v>6.1</v>
      </c>
      <c r="J971" t="s">
        <v>39</v>
      </c>
      <c r="K971" s="3">
        <v>3700</v>
      </c>
      <c r="L971" t="s">
        <v>58</v>
      </c>
      <c r="M971">
        <v>3</v>
      </c>
      <c r="N971">
        <v>4</v>
      </c>
      <c r="O971">
        <v>24</v>
      </c>
      <c r="P971" t="s">
        <v>21</v>
      </c>
      <c r="Q971" s="1"/>
      <c r="U971">
        <v>1</v>
      </c>
      <c r="V971">
        <v>1</v>
      </c>
      <c r="W971">
        <v>0</v>
      </c>
    </row>
    <row r="972" spans="1:23" ht="16.5" x14ac:dyDescent="0.3">
      <c r="A972" t="s">
        <v>1039</v>
      </c>
      <c r="B972" t="s">
        <v>73</v>
      </c>
      <c r="C972" t="s">
        <v>36</v>
      </c>
      <c r="D972" t="s">
        <v>37</v>
      </c>
      <c r="E972">
        <v>36</v>
      </c>
      <c r="F972" t="s">
        <v>46</v>
      </c>
      <c r="G972" t="s">
        <v>28</v>
      </c>
      <c r="H972" s="1">
        <v>43211</v>
      </c>
      <c r="I972" s="2">
        <v>7.7</v>
      </c>
      <c r="J972" t="s">
        <v>39</v>
      </c>
      <c r="K972" s="3">
        <v>5350</v>
      </c>
      <c r="L972" t="s">
        <v>30</v>
      </c>
      <c r="M972">
        <v>3</v>
      </c>
      <c r="N972">
        <v>3</v>
      </c>
      <c r="O972">
        <v>15</v>
      </c>
      <c r="P972" t="s">
        <v>21</v>
      </c>
      <c r="Q972" s="1"/>
      <c r="U972">
        <v>1</v>
      </c>
      <c r="V972">
        <v>1</v>
      </c>
      <c r="W972">
        <v>0</v>
      </c>
    </row>
    <row r="973" spans="1:23" ht="16.5" x14ac:dyDescent="0.3">
      <c r="A973" t="s">
        <v>1040</v>
      </c>
      <c r="B973" t="s">
        <v>24</v>
      </c>
      <c r="C973" t="s">
        <v>36</v>
      </c>
      <c r="D973" t="s">
        <v>37</v>
      </c>
      <c r="E973">
        <v>34</v>
      </c>
      <c r="F973" t="s">
        <v>27</v>
      </c>
      <c r="G973" t="s">
        <v>28</v>
      </c>
      <c r="H973" s="1">
        <v>45171</v>
      </c>
      <c r="I973" s="2">
        <v>2.2999999999999998</v>
      </c>
      <c r="J973" t="s">
        <v>29</v>
      </c>
      <c r="K973" s="3">
        <v>4000</v>
      </c>
      <c r="L973" t="s">
        <v>30</v>
      </c>
      <c r="M973">
        <v>3</v>
      </c>
      <c r="N973">
        <v>3</v>
      </c>
      <c r="O973">
        <v>39</v>
      </c>
      <c r="P973" t="s">
        <v>21</v>
      </c>
      <c r="Q973" s="1"/>
      <c r="U973">
        <v>1</v>
      </c>
      <c r="V973">
        <v>1</v>
      </c>
      <c r="W973">
        <v>0</v>
      </c>
    </row>
    <row r="974" spans="1:23" ht="16.5" x14ac:dyDescent="0.3">
      <c r="A974" t="s">
        <v>1041</v>
      </c>
      <c r="B974" t="s">
        <v>48</v>
      </c>
      <c r="C974" t="s">
        <v>25</v>
      </c>
      <c r="D974" t="s">
        <v>37</v>
      </c>
      <c r="E974">
        <v>25</v>
      </c>
      <c r="F974" t="s">
        <v>57</v>
      </c>
      <c r="G974" t="s">
        <v>52</v>
      </c>
      <c r="H974" s="1">
        <v>45712</v>
      </c>
      <c r="I974" s="2">
        <v>0.2</v>
      </c>
      <c r="J974" t="s">
        <v>64</v>
      </c>
      <c r="K974" s="3">
        <v>6250</v>
      </c>
      <c r="L974" t="s">
        <v>58</v>
      </c>
      <c r="M974">
        <v>3</v>
      </c>
      <c r="N974">
        <v>3</v>
      </c>
      <c r="O974">
        <v>23</v>
      </c>
      <c r="P974" t="s">
        <v>22</v>
      </c>
      <c r="Q974" s="1">
        <v>45775</v>
      </c>
      <c r="R974" t="s">
        <v>40</v>
      </c>
      <c r="S974" t="s">
        <v>153</v>
      </c>
      <c r="T974" t="s">
        <v>60</v>
      </c>
      <c r="U974">
        <v>1</v>
      </c>
      <c r="V974">
        <v>0</v>
      </c>
      <c r="W974">
        <v>1</v>
      </c>
    </row>
    <row r="975" spans="1:23" ht="16.5" x14ac:dyDescent="0.3">
      <c r="A975" t="s">
        <v>1042</v>
      </c>
      <c r="B975" t="s">
        <v>44</v>
      </c>
      <c r="C975" t="s">
        <v>36</v>
      </c>
      <c r="D975" t="s">
        <v>37</v>
      </c>
      <c r="E975">
        <v>27</v>
      </c>
      <c r="F975" t="s">
        <v>27</v>
      </c>
      <c r="G975" t="s">
        <v>28</v>
      </c>
      <c r="H975" s="1">
        <v>45100</v>
      </c>
      <c r="I975" s="2">
        <v>2.5</v>
      </c>
      <c r="J975" t="s">
        <v>29</v>
      </c>
      <c r="K975" s="3">
        <v>6100</v>
      </c>
      <c r="L975" t="s">
        <v>30</v>
      </c>
      <c r="M975">
        <v>4</v>
      </c>
      <c r="N975">
        <v>3</v>
      </c>
      <c r="O975">
        <v>24</v>
      </c>
      <c r="P975" t="s">
        <v>21</v>
      </c>
      <c r="Q975" s="1"/>
      <c r="U975">
        <v>1</v>
      </c>
      <c r="V975">
        <v>1</v>
      </c>
      <c r="W975">
        <v>0</v>
      </c>
    </row>
    <row r="976" spans="1:23" ht="16.5" x14ac:dyDescent="0.3">
      <c r="A976" t="s">
        <v>1043</v>
      </c>
      <c r="B976" t="s">
        <v>73</v>
      </c>
      <c r="C976" t="s">
        <v>36</v>
      </c>
      <c r="D976" t="s">
        <v>37</v>
      </c>
      <c r="E976">
        <v>26</v>
      </c>
      <c r="F976" t="s">
        <v>27</v>
      </c>
      <c r="G976" t="s">
        <v>28</v>
      </c>
      <c r="H976" s="1">
        <v>45322</v>
      </c>
      <c r="I976" s="2">
        <v>1.9</v>
      </c>
      <c r="J976" t="s">
        <v>29</v>
      </c>
      <c r="K976" s="3">
        <v>6200</v>
      </c>
      <c r="L976" t="s">
        <v>30</v>
      </c>
      <c r="M976">
        <v>3</v>
      </c>
      <c r="N976">
        <v>3</v>
      </c>
      <c r="O976">
        <v>28</v>
      </c>
      <c r="P976" t="s">
        <v>21</v>
      </c>
      <c r="Q976" s="1"/>
      <c r="U976">
        <v>1</v>
      </c>
      <c r="V976">
        <v>1</v>
      </c>
      <c r="W976">
        <v>0</v>
      </c>
    </row>
    <row r="977" spans="1:23" ht="16.5" x14ac:dyDescent="0.3">
      <c r="A977" t="s">
        <v>1044</v>
      </c>
      <c r="B977" t="s">
        <v>48</v>
      </c>
      <c r="C977" t="s">
        <v>25</v>
      </c>
      <c r="D977" t="s">
        <v>37</v>
      </c>
      <c r="E977">
        <v>25</v>
      </c>
      <c r="F977" t="s">
        <v>57</v>
      </c>
      <c r="G977" t="s">
        <v>38</v>
      </c>
      <c r="H977" s="1">
        <v>45591</v>
      </c>
      <c r="I977" s="2">
        <v>1.2</v>
      </c>
      <c r="J977" t="s">
        <v>29</v>
      </c>
      <c r="K977" s="3">
        <v>6100</v>
      </c>
      <c r="L977" t="s">
        <v>30</v>
      </c>
      <c r="M977">
        <v>3</v>
      </c>
      <c r="N977">
        <v>4</v>
      </c>
      <c r="O977">
        <v>41</v>
      </c>
      <c r="P977" t="s">
        <v>21</v>
      </c>
      <c r="Q977" s="1"/>
      <c r="U977">
        <v>1</v>
      </c>
      <c r="V977">
        <v>1</v>
      </c>
      <c r="W977">
        <v>0</v>
      </c>
    </row>
    <row r="978" spans="1:23" ht="16.5" x14ac:dyDescent="0.3">
      <c r="A978" t="s">
        <v>1045</v>
      </c>
      <c r="B978" t="s">
        <v>24</v>
      </c>
      <c r="C978" t="s">
        <v>25</v>
      </c>
      <c r="D978" t="s">
        <v>37</v>
      </c>
      <c r="E978">
        <v>21</v>
      </c>
      <c r="F978" t="s">
        <v>57</v>
      </c>
      <c r="G978" t="s">
        <v>52</v>
      </c>
      <c r="H978" s="1">
        <v>45973</v>
      </c>
      <c r="I978" s="2">
        <v>0.1</v>
      </c>
      <c r="J978" t="s">
        <v>64</v>
      </c>
      <c r="K978" s="3">
        <v>3100</v>
      </c>
      <c r="L978" t="s">
        <v>30</v>
      </c>
      <c r="M978">
        <v>3</v>
      </c>
      <c r="N978">
        <v>4</v>
      </c>
      <c r="O978">
        <v>46</v>
      </c>
      <c r="P978" t="s">
        <v>21</v>
      </c>
      <c r="Q978" s="1"/>
      <c r="U978">
        <v>1</v>
      </c>
      <c r="V978">
        <v>1</v>
      </c>
      <c r="W978">
        <v>0</v>
      </c>
    </row>
    <row r="979" spans="1:23" ht="16.5" x14ac:dyDescent="0.3">
      <c r="A979" t="s">
        <v>1046</v>
      </c>
      <c r="B979" t="s">
        <v>48</v>
      </c>
      <c r="C979" t="s">
        <v>45</v>
      </c>
      <c r="D979" t="s">
        <v>37</v>
      </c>
      <c r="E979">
        <v>32</v>
      </c>
      <c r="F979" t="s">
        <v>27</v>
      </c>
      <c r="G979" t="s">
        <v>38</v>
      </c>
      <c r="H979" s="1">
        <v>43787</v>
      </c>
      <c r="I979" s="2">
        <v>6.1</v>
      </c>
      <c r="J979" t="s">
        <v>39</v>
      </c>
      <c r="K979" s="3">
        <v>9550</v>
      </c>
      <c r="L979" t="s">
        <v>58</v>
      </c>
      <c r="M979">
        <v>2</v>
      </c>
      <c r="N979">
        <v>5</v>
      </c>
      <c r="O979">
        <v>30</v>
      </c>
      <c r="P979" t="s">
        <v>21</v>
      </c>
      <c r="Q979" s="1"/>
      <c r="U979">
        <v>1</v>
      </c>
      <c r="V979">
        <v>1</v>
      </c>
      <c r="W979">
        <v>0</v>
      </c>
    </row>
    <row r="980" spans="1:23" ht="16.5" x14ac:dyDescent="0.3">
      <c r="A980" t="s">
        <v>1047</v>
      </c>
      <c r="B980" t="s">
        <v>70</v>
      </c>
      <c r="C980" t="s">
        <v>45</v>
      </c>
      <c r="D980" t="s">
        <v>37</v>
      </c>
      <c r="E980">
        <v>39</v>
      </c>
      <c r="F980" t="s">
        <v>46</v>
      </c>
      <c r="G980" t="s">
        <v>38</v>
      </c>
      <c r="H980" s="1">
        <v>41777</v>
      </c>
      <c r="I980" s="2">
        <v>11.6</v>
      </c>
      <c r="J980" t="s">
        <v>39</v>
      </c>
      <c r="K980" s="3">
        <v>7300</v>
      </c>
      <c r="L980" t="s">
        <v>30</v>
      </c>
      <c r="M980">
        <v>4</v>
      </c>
      <c r="N980">
        <v>3</v>
      </c>
      <c r="O980">
        <v>28</v>
      </c>
      <c r="P980" t="s">
        <v>21</v>
      </c>
      <c r="Q980" s="1"/>
      <c r="U980">
        <v>1</v>
      </c>
      <c r="V980">
        <v>1</v>
      </c>
      <c r="W980">
        <v>0</v>
      </c>
    </row>
    <row r="981" spans="1:23" ht="16.5" x14ac:dyDescent="0.3">
      <c r="A981" t="s">
        <v>1048</v>
      </c>
      <c r="B981" t="s">
        <v>24</v>
      </c>
      <c r="C981" t="s">
        <v>25</v>
      </c>
      <c r="D981" t="s">
        <v>37</v>
      </c>
      <c r="E981">
        <v>25</v>
      </c>
      <c r="F981" t="s">
        <v>57</v>
      </c>
      <c r="G981" t="s">
        <v>38</v>
      </c>
      <c r="H981" s="1">
        <v>45525</v>
      </c>
      <c r="I981" s="2">
        <v>0.9</v>
      </c>
      <c r="J981" t="s">
        <v>64</v>
      </c>
      <c r="K981" s="3">
        <v>3400</v>
      </c>
      <c r="L981" t="s">
        <v>58</v>
      </c>
      <c r="M981">
        <v>2</v>
      </c>
      <c r="N981">
        <v>4</v>
      </c>
      <c r="O981">
        <v>17</v>
      </c>
      <c r="P981" t="s">
        <v>22</v>
      </c>
      <c r="Q981" s="1">
        <v>45855</v>
      </c>
      <c r="R981" t="s">
        <v>40</v>
      </c>
      <c r="S981" t="s">
        <v>84</v>
      </c>
      <c r="T981" t="s">
        <v>85</v>
      </c>
      <c r="U981">
        <v>1</v>
      </c>
      <c r="V981">
        <v>0</v>
      </c>
      <c r="W981">
        <v>1</v>
      </c>
    </row>
    <row r="982" spans="1:23" ht="16.5" x14ac:dyDescent="0.3">
      <c r="A982" t="s">
        <v>1049</v>
      </c>
      <c r="B982" t="s">
        <v>24</v>
      </c>
      <c r="C982" t="s">
        <v>36</v>
      </c>
      <c r="D982" t="s">
        <v>26</v>
      </c>
      <c r="E982">
        <v>26</v>
      </c>
      <c r="F982" t="s">
        <v>27</v>
      </c>
      <c r="G982" t="s">
        <v>38</v>
      </c>
      <c r="H982" s="1">
        <v>45110</v>
      </c>
      <c r="I982" s="2">
        <v>2.5</v>
      </c>
      <c r="J982" t="s">
        <v>29</v>
      </c>
      <c r="K982" s="3">
        <v>4100</v>
      </c>
      <c r="L982" t="s">
        <v>30</v>
      </c>
      <c r="M982">
        <v>3</v>
      </c>
      <c r="N982">
        <v>3</v>
      </c>
      <c r="O982">
        <v>24</v>
      </c>
      <c r="P982" t="s">
        <v>21</v>
      </c>
      <c r="Q982" s="1"/>
      <c r="U982">
        <v>1</v>
      </c>
      <c r="V982">
        <v>1</v>
      </c>
      <c r="W982">
        <v>0</v>
      </c>
    </row>
    <row r="983" spans="1:23" ht="16.5" x14ac:dyDescent="0.3">
      <c r="A983" t="s">
        <v>1050</v>
      </c>
      <c r="B983" t="s">
        <v>24</v>
      </c>
      <c r="C983" t="s">
        <v>36</v>
      </c>
      <c r="D983" t="s">
        <v>37</v>
      </c>
      <c r="E983">
        <v>34</v>
      </c>
      <c r="F983" t="s">
        <v>27</v>
      </c>
      <c r="G983" t="s">
        <v>28</v>
      </c>
      <c r="H983" s="1">
        <v>44733</v>
      </c>
      <c r="I983" s="2">
        <v>3.5</v>
      </c>
      <c r="J983" t="s">
        <v>50</v>
      </c>
      <c r="K983" s="3">
        <v>3800</v>
      </c>
      <c r="L983" t="s">
        <v>30</v>
      </c>
      <c r="M983">
        <v>4</v>
      </c>
      <c r="N983">
        <v>4</v>
      </c>
      <c r="O983">
        <v>18</v>
      </c>
      <c r="P983" t="s">
        <v>21</v>
      </c>
      <c r="Q983" s="1"/>
      <c r="U983">
        <v>1</v>
      </c>
      <c r="V983">
        <v>1</v>
      </c>
      <c r="W983">
        <v>0</v>
      </c>
    </row>
    <row r="984" spans="1:23" ht="16.5" x14ac:dyDescent="0.3">
      <c r="A984" t="s">
        <v>1051</v>
      </c>
      <c r="B984" t="s">
        <v>70</v>
      </c>
      <c r="C984" t="s">
        <v>25</v>
      </c>
      <c r="D984" t="s">
        <v>26</v>
      </c>
      <c r="E984">
        <v>24</v>
      </c>
      <c r="F984" t="s">
        <v>57</v>
      </c>
      <c r="G984" t="s">
        <v>38</v>
      </c>
      <c r="H984" s="1">
        <v>45367</v>
      </c>
      <c r="I984" s="2">
        <v>1.8</v>
      </c>
      <c r="J984" t="s">
        <v>29</v>
      </c>
      <c r="K984" s="3">
        <v>4600</v>
      </c>
      <c r="L984" t="s">
        <v>30</v>
      </c>
      <c r="M984">
        <v>3</v>
      </c>
      <c r="N984">
        <v>4</v>
      </c>
      <c r="O984">
        <v>42</v>
      </c>
      <c r="P984" t="s">
        <v>21</v>
      </c>
      <c r="Q984" s="1"/>
      <c r="U984">
        <v>1</v>
      </c>
      <c r="V984">
        <v>1</v>
      </c>
      <c r="W984">
        <v>0</v>
      </c>
    </row>
    <row r="985" spans="1:23" ht="16.5" x14ac:dyDescent="0.3">
      <c r="A985" t="s">
        <v>1052</v>
      </c>
      <c r="B985" t="s">
        <v>35</v>
      </c>
      <c r="C985" t="s">
        <v>45</v>
      </c>
      <c r="D985" t="s">
        <v>37</v>
      </c>
      <c r="E985">
        <v>38</v>
      </c>
      <c r="F985" t="s">
        <v>46</v>
      </c>
      <c r="G985" t="s">
        <v>28</v>
      </c>
      <c r="H985" s="1">
        <v>43028</v>
      </c>
      <c r="I985" s="2">
        <v>8.1999999999999993</v>
      </c>
      <c r="J985" t="s">
        <v>39</v>
      </c>
      <c r="K985" s="3">
        <v>8000</v>
      </c>
      <c r="L985" t="s">
        <v>30</v>
      </c>
      <c r="M985">
        <v>2</v>
      </c>
      <c r="N985">
        <v>2</v>
      </c>
      <c r="O985">
        <v>16</v>
      </c>
      <c r="P985" t="s">
        <v>21</v>
      </c>
      <c r="Q985" s="1"/>
      <c r="U985">
        <v>1</v>
      </c>
      <c r="V985">
        <v>1</v>
      </c>
      <c r="W985">
        <v>0</v>
      </c>
    </row>
    <row r="986" spans="1:23" ht="16.5" x14ac:dyDescent="0.3">
      <c r="A986" t="s">
        <v>1053</v>
      </c>
      <c r="B986" t="s">
        <v>70</v>
      </c>
      <c r="C986" t="s">
        <v>25</v>
      </c>
      <c r="D986" t="s">
        <v>37</v>
      </c>
      <c r="E986">
        <v>22</v>
      </c>
      <c r="F986" t="s">
        <v>57</v>
      </c>
      <c r="G986" t="s">
        <v>38</v>
      </c>
      <c r="H986" s="1">
        <v>45764</v>
      </c>
      <c r="I986" s="2">
        <v>0.7</v>
      </c>
      <c r="J986" t="s">
        <v>64</v>
      </c>
      <c r="K986" s="3">
        <v>5100</v>
      </c>
      <c r="L986" t="s">
        <v>30</v>
      </c>
      <c r="M986">
        <v>3</v>
      </c>
      <c r="N986">
        <v>3</v>
      </c>
      <c r="O986">
        <v>7</v>
      </c>
      <c r="P986" t="s">
        <v>21</v>
      </c>
      <c r="Q986" s="1"/>
      <c r="U986">
        <v>1</v>
      </c>
      <c r="V986">
        <v>1</v>
      </c>
      <c r="W986">
        <v>0</v>
      </c>
    </row>
    <row r="987" spans="1:23" ht="16.5" x14ac:dyDescent="0.3">
      <c r="A987" t="s">
        <v>1054</v>
      </c>
      <c r="B987" t="s">
        <v>35</v>
      </c>
      <c r="C987" t="s">
        <v>25</v>
      </c>
      <c r="D987" t="s">
        <v>26</v>
      </c>
      <c r="E987">
        <v>21</v>
      </c>
      <c r="F987" t="s">
        <v>57</v>
      </c>
      <c r="G987" t="s">
        <v>38</v>
      </c>
      <c r="H987" s="1">
        <v>45995</v>
      </c>
      <c r="I987" s="2">
        <v>0.1</v>
      </c>
      <c r="J987" t="s">
        <v>64</v>
      </c>
      <c r="K987" s="3">
        <v>3750</v>
      </c>
      <c r="L987" t="s">
        <v>30</v>
      </c>
      <c r="M987">
        <v>2</v>
      </c>
      <c r="N987">
        <v>3</v>
      </c>
      <c r="O987">
        <v>28</v>
      </c>
      <c r="P987" t="s">
        <v>21</v>
      </c>
      <c r="Q987" s="1"/>
      <c r="U987">
        <v>1</v>
      </c>
      <c r="V987">
        <v>1</v>
      </c>
      <c r="W987">
        <v>0</v>
      </c>
    </row>
    <row r="988" spans="1:23" ht="16.5" x14ac:dyDescent="0.3">
      <c r="A988" t="s">
        <v>1055</v>
      </c>
      <c r="B988" t="s">
        <v>70</v>
      </c>
      <c r="C988" t="s">
        <v>36</v>
      </c>
      <c r="D988" t="s">
        <v>26</v>
      </c>
      <c r="E988">
        <v>36</v>
      </c>
      <c r="F988" t="s">
        <v>46</v>
      </c>
      <c r="G988" t="s">
        <v>38</v>
      </c>
      <c r="H988" s="1">
        <v>42552</v>
      </c>
      <c r="I988" s="2">
        <v>9.3000000000000007</v>
      </c>
      <c r="J988" t="s">
        <v>39</v>
      </c>
      <c r="K988" s="3">
        <v>5000</v>
      </c>
      <c r="L988" t="s">
        <v>58</v>
      </c>
      <c r="M988">
        <v>2</v>
      </c>
      <c r="N988">
        <v>3</v>
      </c>
      <c r="O988">
        <v>17</v>
      </c>
      <c r="P988" t="s">
        <v>22</v>
      </c>
      <c r="Q988" s="1">
        <v>45943</v>
      </c>
      <c r="R988" t="s">
        <v>40</v>
      </c>
      <c r="S988" t="s">
        <v>206</v>
      </c>
      <c r="T988" t="s">
        <v>42</v>
      </c>
      <c r="U988">
        <v>1</v>
      </c>
      <c r="V988">
        <v>0</v>
      </c>
      <c r="W988">
        <v>1</v>
      </c>
    </row>
    <row r="989" spans="1:23" ht="16.5" x14ac:dyDescent="0.3">
      <c r="A989" t="s">
        <v>1056</v>
      </c>
      <c r="B989" t="s">
        <v>70</v>
      </c>
      <c r="C989" t="s">
        <v>25</v>
      </c>
      <c r="D989" t="s">
        <v>26</v>
      </c>
      <c r="E989">
        <v>26</v>
      </c>
      <c r="F989" t="s">
        <v>27</v>
      </c>
      <c r="G989" t="s">
        <v>52</v>
      </c>
      <c r="H989" s="1">
        <v>45205</v>
      </c>
      <c r="I989" s="2">
        <v>2.2000000000000002</v>
      </c>
      <c r="J989" t="s">
        <v>29</v>
      </c>
      <c r="K989" s="3">
        <v>3750</v>
      </c>
      <c r="L989" t="s">
        <v>30</v>
      </c>
      <c r="M989">
        <v>3</v>
      </c>
      <c r="N989">
        <v>4</v>
      </c>
      <c r="O989">
        <v>25</v>
      </c>
      <c r="P989" t="s">
        <v>21</v>
      </c>
      <c r="Q989" s="1"/>
      <c r="U989">
        <v>1</v>
      </c>
      <c r="V989">
        <v>1</v>
      </c>
      <c r="W989">
        <v>0</v>
      </c>
    </row>
    <row r="990" spans="1:23" ht="16.5" x14ac:dyDescent="0.3">
      <c r="A990" t="s">
        <v>1057</v>
      </c>
      <c r="B990" t="s">
        <v>73</v>
      </c>
      <c r="C990" t="s">
        <v>25</v>
      </c>
      <c r="D990" t="s">
        <v>26</v>
      </c>
      <c r="E990">
        <v>22</v>
      </c>
      <c r="F990" t="s">
        <v>57</v>
      </c>
      <c r="G990" t="s">
        <v>38</v>
      </c>
      <c r="H990" s="1">
        <v>45861</v>
      </c>
      <c r="I990" s="2">
        <v>0.4</v>
      </c>
      <c r="J990" t="s">
        <v>64</v>
      </c>
      <c r="K990" s="3">
        <v>4900</v>
      </c>
      <c r="L990" t="s">
        <v>58</v>
      </c>
      <c r="M990">
        <v>4</v>
      </c>
      <c r="N990">
        <v>4</v>
      </c>
      <c r="O990">
        <v>19</v>
      </c>
      <c r="P990" t="s">
        <v>21</v>
      </c>
      <c r="Q990" s="1"/>
      <c r="U990">
        <v>1</v>
      </c>
      <c r="V990">
        <v>1</v>
      </c>
      <c r="W990">
        <v>0</v>
      </c>
    </row>
    <row r="991" spans="1:23" ht="16.5" x14ac:dyDescent="0.3">
      <c r="A991" t="s">
        <v>1058</v>
      </c>
      <c r="B991" t="s">
        <v>35</v>
      </c>
      <c r="C991" t="s">
        <v>45</v>
      </c>
      <c r="D991" t="s">
        <v>37</v>
      </c>
      <c r="E991">
        <v>45</v>
      </c>
      <c r="F991" t="s">
        <v>46</v>
      </c>
      <c r="G991" t="s">
        <v>38</v>
      </c>
      <c r="H991" s="1">
        <v>41079</v>
      </c>
      <c r="I991" s="2">
        <v>13.5</v>
      </c>
      <c r="J991" t="s">
        <v>39</v>
      </c>
      <c r="K991" s="3">
        <v>4500</v>
      </c>
      <c r="L991" t="s">
        <v>30</v>
      </c>
      <c r="M991">
        <v>4</v>
      </c>
      <c r="N991">
        <v>3</v>
      </c>
      <c r="O991">
        <v>29</v>
      </c>
      <c r="P991" t="s">
        <v>21</v>
      </c>
      <c r="Q991" s="1"/>
      <c r="U991">
        <v>1</v>
      </c>
      <c r="V991">
        <v>1</v>
      </c>
      <c r="W991">
        <v>0</v>
      </c>
    </row>
    <row r="992" spans="1:23" ht="16.5" x14ac:dyDescent="0.3">
      <c r="A992" t="s">
        <v>1059</v>
      </c>
      <c r="B992" t="s">
        <v>70</v>
      </c>
      <c r="C992" t="s">
        <v>36</v>
      </c>
      <c r="D992" t="s">
        <v>26</v>
      </c>
      <c r="E992">
        <v>40</v>
      </c>
      <c r="F992" t="s">
        <v>46</v>
      </c>
      <c r="G992" t="s">
        <v>28</v>
      </c>
      <c r="H992" s="1">
        <v>41493</v>
      </c>
      <c r="I992" s="2">
        <v>12.3</v>
      </c>
      <c r="J992" t="s">
        <v>39</v>
      </c>
      <c r="K992" s="3">
        <v>6200</v>
      </c>
      <c r="L992" t="s">
        <v>30</v>
      </c>
      <c r="M992">
        <v>5</v>
      </c>
      <c r="N992">
        <v>3</v>
      </c>
      <c r="O992">
        <v>15</v>
      </c>
      <c r="P992" t="s">
        <v>22</v>
      </c>
      <c r="Q992" s="1">
        <v>45977</v>
      </c>
      <c r="R992" t="s">
        <v>40</v>
      </c>
      <c r="S992" t="s">
        <v>182</v>
      </c>
      <c r="T992" t="s">
        <v>151</v>
      </c>
      <c r="U992">
        <v>1</v>
      </c>
      <c r="V992">
        <v>0</v>
      </c>
      <c r="W992">
        <v>1</v>
      </c>
    </row>
    <row r="993" spans="1:23" ht="16.5" x14ac:dyDescent="0.3">
      <c r="A993" t="s">
        <v>1060</v>
      </c>
      <c r="B993" t="s">
        <v>44</v>
      </c>
      <c r="C993" t="s">
        <v>25</v>
      </c>
      <c r="D993" t="s">
        <v>37</v>
      </c>
      <c r="E993">
        <v>21</v>
      </c>
      <c r="F993" t="s">
        <v>57</v>
      </c>
      <c r="G993" t="s">
        <v>38</v>
      </c>
      <c r="H993" s="1">
        <v>45928</v>
      </c>
      <c r="I993" s="2">
        <v>0.3</v>
      </c>
      <c r="J993" t="s">
        <v>64</v>
      </c>
      <c r="K993" s="3">
        <v>5050</v>
      </c>
      <c r="L993" t="s">
        <v>30</v>
      </c>
      <c r="M993">
        <v>4</v>
      </c>
      <c r="N993">
        <v>4</v>
      </c>
      <c r="O993">
        <v>39</v>
      </c>
      <c r="P993" t="s">
        <v>21</v>
      </c>
      <c r="Q993" s="1"/>
      <c r="U993">
        <v>1</v>
      </c>
      <c r="V993">
        <v>1</v>
      </c>
      <c r="W993">
        <v>0</v>
      </c>
    </row>
    <row r="994" spans="1:23" ht="16.5" x14ac:dyDescent="0.3">
      <c r="A994" t="s">
        <v>1061</v>
      </c>
      <c r="B994" t="s">
        <v>73</v>
      </c>
      <c r="C994" t="s">
        <v>25</v>
      </c>
      <c r="D994" t="s">
        <v>26</v>
      </c>
      <c r="E994">
        <v>23</v>
      </c>
      <c r="F994" t="s">
        <v>57</v>
      </c>
      <c r="G994" t="s">
        <v>38</v>
      </c>
      <c r="H994" s="1">
        <v>45592</v>
      </c>
      <c r="I994" s="2">
        <v>1.2</v>
      </c>
      <c r="J994" t="s">
        <v>29</v>
      </c>
      <c r="K994" s="3">
        <v>3300</v>
      </c>
      <c r="L994" t="s">
        <v>30</v>
      </c>
      <c r="M994">
        <v>5</v>
      </c>
      <c r="N994">
        <v>4</v>
      </c>
      <c r="O994">
        <v>29</v>
      </c>
      <c r="P994" t="s">
        <v>21</v>
      </c>
      <c r="Q994" s="1"/>
      <c r="U994">
        <v>1</v>
      </c>
      <c r="V994">
        <v>1</v>
      </c>
      <c r="W994">
        <v>0</v>
      </c>
    </row>
    <row r="995" spans="1:23" ht="16.5" x14ac:dyDescent="0.3">
      <c r="A995" t="s">
        <v>1062</v>
      </c>
      <c r="B995" t="s">
        <v>70</v>
      </c>
      <c r="C995" t="s">
        <v>25</v>
      </c>
      <c r="D995" t="s">
        <v>37</v>
      </c>
      <c r="E995">
        <v>28</v>
      </c>
      <c r="F995" t="s">
        <v>27</v>
      </c>
      <c r="G995" t="s">
        <v>38</v>
      </c>
      <c r="H995" s="1">
        <v>45332</v>
      </c>
      <c r="I995" s="2">
        <v>1.9</v>
      </c>
      <c r="J995" t="s">
        <v>29</v>
      </c>
      <c r="K995" s="3">
        <v>4050</v>
      </c>
      <c r="L995" t="s">
        <v>30</v>
      </c>
      <c r="M995">
        <v>4</v>
      </c>
      <c r="N995">
        <v>3</v>
      </c>
      <c r="O995">
        <v>31</v>
      </c>
      <c r="P995" t="s">
        <v>21</v>
      </c>
      <c r="Q995" s="1"/>
      <c r="U995">
        <v>1</v>
      </c>
      <c r="V995">
        <v>1</v>
      </c>
      <c r="W995">
        <v>0</v>
      </c>
    </row>
    <row r="996" spans="1:23" ht="16.5" x14ac:dyDescent="0.3">
      <c r="A996" t="s">
        <v>1063</v>
      </c>
      <c r="B996" t="s">
        <v>70</v>
      </c>
      <c r="C996" t="s">
        <v>25</v>
      </c>
      <c r="D996" t="s">
        <v>37</v>
      </c>
      <c r="E996">
        <v>27</v>
      </c>
      <c r="F996" t="s">
        <v>27</v>
      </c>
      <c r="G996" t="s">
        <v>28</v>
      </c>
      <c r="H996" s="1">
        <v>44886</v>
      </c>
      <c r="I996" s="2">
        <v>3.1</v>
      </c>
      <c r="J996" t="s">
        <v>50</v>
      </c>
      <c r="K996" s="3">
        <v>3250</v>
      </c>
      <c r="L996" t="s">
        <v>30</v>
      </c>
      <c r="M996">
        <v>4</v>
      </c>
      <c r="N996">
        <v>4</v>
      </c>
      <c r="O996">
        <v>25</v>
      </c>
      <c r="P996" t="s">
        <v>21</v>
      </c>
      <c r="Q996" s="1"/>
      <c r="U996">
        <v>1</v>
      </c>
      <c r="V996">
        <v>1</v>
      </c>
      <c r="W996">
        <v>0</v>
      </c>
    </row>
    <row r="997" spans="1:23" ht="16.5" x14ac:dyDescent="0.3">
      <c r="A997" t="s">
        <v>1064</v>
      </c>
      <c r="B997" t="s">
        <v>24</v>
      </c>
      <c r="C997" t="s">
        <v>25</v>
      </c>
      <c r="D997" t="s">
        <v>37</v>
      </c>
      <c r="E997">
        <v>27</v>
      </c>
      <c r="F997" t="s">
        <v>27</v>
      </c>
      <c r="G997" t="s">
        <v>52</v>
      </c>
      <c r="H997" s="1">
        <v>45179</v>
      </c>
      <c r="I997" s="2">
        <v>2.2999999999999998</v>
      </c>
      <c r="J997" t="s">
        <v>29</v>
      </c>
      <c r="K997" s="3">
        <v>3000</v>
      </c>
      <c r="L997" t="s">
        <v>58</v>
      </c>
      <c r="M997">
        <v>3</v>
      </c>
      <c r="N997">
        <v>4</v>
      </c>
      <c r="O997">
        <v>34</v>
      </c>
      <c r="P997" t="s">
        <v>21</v>
      </c>
      <c r="Q997" s="1"/>
      <c r="U997">
        <v>1</v>
      </c>
      <c r="V997">
        <v>1</v>
      </c>
      <c r="W997">
        <v>0</v>
      </c>
    </row>
    <row r="998" spans="1:23" ht="16.5" x14ac:dyDescent="0.3">
      <c r="A998" t="s">
        <v>1065</v>
      </c>
      <c r="B998" t="s">
        <v>35</v>
      </c>
      <c r="C998" t="s">
        <v>36</v>
      </c>
      <c r="D998" t="s">
        <v>26</v>
      </c>
      <c r="E998">
        <v>31</v>
      </c>
      <c r="F998" t="s">
        <v>27</v>
      </c>
      <c r="G998" t="s">
        <v>28</v>
      </c>
      <c r="H998" s="1">
        <v>45487</v>
      </c>
      <c r="I998" s="2">
        <v>1.5</v>
      </c>
      <c r="J998" t="s">
        <v>29</v>
      </c>
      <c r="K998" s="3">
        <v>3900</v>
      </c>
      <c r="L998" t="s">
        <v>30</v>
      </c>
      <c r="M998">
        <v>4</v>
      </c>
      <c r="N998">
        <v>2</v>
      </c>
      <c r="O998">
        <v>20</v>
      </c>
      <c r="P998" t="s">
        <v>21</v>
      </c>
      <c r="Q998" s="1"/>
      <c r="U998">
        <v>1</v>
      </c>
      <c r="V998">
        <v>1</v>
      </c>
      <c r="W998">
        <v>0</v>
      </c>
    </row>
    <row r="999" spans="1:23" ht="16.5" x14ac:dyDescent="0.3">
      <c r="A999" t="s">
        <v>1066</v>
      </c>
      <c r="B999" t="s">
        <v>48</v>
      </c>
      <c r="C999" t="s">
        <v>36</v>
      </c>
      <c r="D999" t="s">
        <v>37</v>
      </c>
      <c r="E999">
        <v>30</v>
      </c>
      <c r="F999" t="s">
        <v>27</v>
      </c>
      <c r="G999" t="s">
        <v>28</v>
      </c>
      <c r="H999" s="1">
        <v>43447</v>
      </c>
      <c r="I999" s="2">
        <v>7</v>
      </c>
      <c r="J999" t="s">
        <v>39</v>
      </c>
      <c r="K999" s="3">
        <v>7200</v>
      </c>
      <c r="L999" t="s">
        <v>30</v>
      </c>
      <c r="M999">
        <v>4</v>
      </c>
      <c r="N999">
        <v>4</v>
      </c>
      <c r="O999">
        <v>20</v>
      </c>
      <c r="P999" t="s">
        <v>21</v>
      </c>
      <c r="Q999" s="1"/>
      <c r="U999">
        <v>1</v>
      </c>
      <c r="V999">
        <v>1</v>
      </c>
      <c r="W999">
        <v>0</v>
      </c>
    </row>
    <row r="1000" spans="1:23" ht="16.5" x14ac:dyDescent="0.3">
      <c r="A1000" t="s">
        <v>1067</v>
      </c>
      <c r="B1000" t="s">
        <v>48</v>
      </c>
      <c r="C1000" t="s">
        <v>87</v>
      </c>
      <c r="D1000" t="s">
        <v>26</v>
      </c>
      <c r="E1000">
        <v>39</v>
      </c>
      <c r="F1000" t="s">
        <v>46</v>
      </c>
      <c r="G1000" t="s">
        <v>28</v>
      </c>
      <c r="H1000" s="1">
        <v>41489</v>
      </c>
      <c r="I1000" s="2">
        <v>12.4</v>
      </c>
      <c r="J1000" t="s">
        <v>39</v>
      </c>
      <c r="K1000" s="3">
        <v>13300</v>
      </c>
      <c r="L1000" t="s">
        <v>58</v>
      </c>
      <c r="M1000">
        <v>4</v>
      </c>
      <c r="N1000">
        <v>3</v>
      </c>
      <c r="O1000">
        <v>22</v>
      </c>
      <c r="P1000" t="s">
        <v>21</v>
      </c>
      <c r="Q1000" s="1"/>
      <c r="U1000">
        <v>1</v>
      </c>
      <c r="V1000">
        <v>1</v>
      </c>
      <c r="W1000">
        <v>0</v>
      </c>
    </row>
    <row r="1001" spans="1:23" ht="16.5" x14ac:dyDescent="0.3">
      <c r="A1001" t="s">
        <v>1068</v>
      </c>
      <c r="B1001" t="s">
        <v>44</v>
      </c>
      <c r="C1001" t="s">
        <v>25</v>
      </c>
      <c r="D1001" t="s">
        <v>26</v>
      </c>
      <c r="E1001">
        <v>28</v>
      </c>
      <c r="F1001" t="s">
        <v>27</v>
      </c>
      <c r="G1001" t="s">
        <v>28</v>
      </c>
      <c r="H1001" s="1">
        <v>45392</v>
      </c>
      <c r="I1001" s="2">
        <v>1.7</v>
      </c>
      <c r="J1001" t="s">
        <v>29</v>
      </c>
      <c r="K1001" s="3">
        <v>4550</v>
      </c>
      <c r="L1001" t="s">
        <v>30</v>
      </c>
      <c r="M1001">
        <v>4</v>
      </c>
      <c r="N1001">
        <v>4</v>
      </c>
      <c r="O1001">
        <v>21</v>
      </c>
      <c r="P1001" t="s">
        <v>21</v>
      </c>
      <c r="Q1001" s="1"/>
      <c r="U1001">
        <v>1</v>
      </c>
      <c r="V1001">
        <v>1</v>
      </c>
      <c r="W1001">
        <v>0</v>
      </c>
    </row>
    <row r="1002" spans="1:23" ht="16.5" x14ac:dyDescent="0.3">
      <c r="A1002" t="s">
        <v>1069</v>
      </c>
      <c r="B1002" t="s">
        <v>70</v>
      </c>
      <c r="C1002" t="s">
        <v>36</v>
      </c>
      <c r="D1002" t="s">
        <v>26</v>
      </c>
      <c r="E1002">
        <v>39</v>
      </c>
      <c r="F1002" t="s">
        <v>46</v>
      </c>
      <c r="G1002" t="s">
        <v>28</v>
      </c>
      <c r="H1002" s="1">
        <v>43923</v>
      </c>
      <c r="I1002" s="2">
        <v>5.7</v>
      </c>
      <c r="J1002" t="s">
        <v>39</v>
      </c>
      <c r="K1002" s="3">
        <v>5500</v>
      </c>
      <c r="L1002" t="s">
        <v>30</v>
      </c>
      <c r="M1002">
        <v>4</v>
      </c>
      <c r="N1002">
        <v>5</v>
      </c>
      <c r="O1002">
        <v>21</v>
      </c>
      <c r="P1002" t="s">
        <v>21</v>
      </c>
      <c r="Q1002" s="1"/>
      <c r="U1002">
        <v>1</v>
      </c>
      <c r="V1002">
        <v>1</v>
      </c>
      <c r="W1002">
        <v>0</v>
      </c>
    </row>
    <row r="1003" spans="1:23" ht="16.5" x14ac:dyDescent="0.3">
      <c r="A1003" t="s">
        <v>1070</v>
      </c>
      <c r="B1003" t="s">
        <v>35</v>
      </c>
      <c r="C1003" t="s">
        <v>25</v>
      </c>
      <c r="D1003" t="s">
        <v>26</v>
      </c>
      <c r="E1003">
        <v>24</v>
      </c>
      <c r="F1003" t="s">
        <v>57</v>
      </c>
      <c r="G1003" t="s">
        <v>38</v>
      </c>
      <c r="H1003" s="1">
        <v>45724</v>
      </c>
      <c r="I1003" s="2">
        <v>0.8</v>
      </c>
      <c r="J1003" t="s">
        <v>64</v>
      </c>
      <c r="K1003" s="3">
        <v>3550</v>
      </c>
      <c r="L1003" t="s">
        <v>30</v>
      </c>
      <c r="M1003">
        <v>2</v>
      </c>
      <c r="N1003">
        <v>3</v>
      </c>
      <c r="O1003">
        <v>38</v>
      </c>
      <c r="P1003" t="s">
        <v>21</v>
      </c>
      <c r="Q1003" s="1"/>
      <c r="U1003">
        <v>1</v>
      </c>
      <c r="V1003">
        <v>1</v>
      </c>
      <c r="W1003">
        <v>0</v>
      </c>
    </row>
    <row r="1004" spans="1:23" ht="16.5" x14ac:dyDescent="0.3">
      <c r="A1004" t="s">
        <v>1071</v>
      </c>
      <c r="B1004" t="s">
        <v>35</v>
      </c>
      <c r="C1004" t="s">
        <v>25</v>
      </c>
      <c r="D1004" t="s">
        <v>37</v>
      </c>
      <c r="E1004">
        <v>26</v>
      </c>
      <c r="F1004" t="s">
        <v>27</v>
      </c>
      <c r="G1004" t="s">
        <v>38</v>
      </c>
      <c r="H1004" s="1">
        <v>45215</v>
      </c>
      <c r="I1004" s="2">
        <v>0.8</v>
      </c>
      <c r="J1004" t="s">
        <v>64</v>
      </c>
      <c r="K1004" s="3">
        <v>3700</v>
      </c>
      <c r="L1004" t="s">
        <v>30</v>
      </c>
      <c r="M1004">
        <v>3</v>
      </c>
      <c r="N1004">
        <v>3</v>
      </c>
      <c r="O1004">
        <v>26</v>
      </c>
      <c r="P1004" t="s">
        <v>22</v>
      </c>
      <c r="Q1004" s="1">
        <v>45501</v>
      </c>
      <c r="R1004" t="s">
        <v>31</v>
      </c>
      <c r="S1004" t="s">
        <v>84</v>
      </c>
      <c r="T1004" t="s">
        <v>33</v>
      </c>
      <c r="U1004">
        <v>1</v>
      </c>
      <c r="V1004">
        <v>0</v>
      </c>
      <c r="W1004">
        <v>1</v>
      </c>
    </row>
    <row r="1005" spans="1:23" ht="16.5" x14ac:dyDescent="0.3">
      <c r="A1005" t="s">
        <v>1072</v>
      </c>
      <c r="B1005" t="s">
        <v>70</v>
      </c>
      <c r="C1005" t="s">
        <v>36</v>
      </c>
      <c r="D1005" t="s">
        <v>26</v>
      </c>
      <c r="E1005">
        <v>32</v>
      </c>
      <c r="F1005" t="s">
        <v>27</v>
      </c>
      <c r="G1005" t="s">
        <v>38</v>
      </c>
      <c r="H1005" s="1">
        <v>43179</v>
      </c>
      <c r="I1005" s="2">
        <v>7.8</v>
      </c>
      <c r="J1005" t="s">
        <v>39</v>
      </c>
      <c r="K1005" s="3">
        <v>6000</v>
      </c>
      <c r="L1005" t="s">
        <v>30</v>
      </c>
      <c r="M1005">
        <v>4</v>
      </c>
      <c r="N1005">
        <v>3</v>
      </c>
      <c r="O1005">
        <v>17</v>
      </c>
      <c r="P1005" t="s">
        <v>21</v>
      </c>
      <c r="Q1005" s="1"/>
      <c r="U1005">
        <v>1</v>
      </c>
      <c r="V1005">
        <v>1</v>
      </c>
      <c r="W1005">
        <v>0</v>
      </c>
    </row>
    <row r="1006" spans="1:23" ht="16.5" x14ac:dyDescent="0.3">
      <c r="A1006" t="s">
        <v>1073</v>
      </c>
      <c r="B1006" t="s">
        <v>35</v>
      </c>
      <c r="C1006" t="s">
        <v>25</v>
      </c>
      <c r="D1006" t="s">
        <v>37</v>
      </c>
      <c r="E1006">
        <v>23</v>
      </c>
      <c r="F1006" t="s">
        <v>57</v>
      </c>
      <c r="G1006" t="s">
        <v>38</v>
      </c>
      <c r="H1006" s="1">
        <v>45707</v>
      </c>
      <c r="I1006" s="2">
        <v>0.9</v>
      </c>
      <c r="J1006" t="s">
        <v>64</v>
      </c>
      <c r="K1006" s="3">
        <v>3400</v>
      </c>
      <c r="L1006" t="s">
        <v>30</v>
      </c>
      <c r="M1006">
        <v>5</v>
      </c>
      <c r="N1006">
        <v>5</v>
      </c>
      <c r="O1006">
        <v>25</v>
      </c>
      <c r="P1006" t="s">
        <v>21</v>
      </c>
      <c r="Q1006" s="1"/>
      <c r="U1006">
        <v>1</v>
      </c>
      <c r="V1006">
        <v>1</v>
      </c>
      <c r="W1006">
        <v>0</v>
      </c>
    </row>
    <row r="1007" spans="1:23" ht="16.5" x14ac:dyDescent="0.3">
      <c r="A1007" t="s">
        <v>1074</v>
      </c>
      <c r="B1007" t="s">
        <v>48</v>
      </c>
      <c r="C1007" t="s">
        <v>36</v>
      </c>
      <c r="D1007" t="s">
        <v>26</v>
      </c>
      <c r="E1007">
        <v>39</v>
      </c>
      <c r="F1007" t="s">
        <v>46</v>
      </c>
      <c r="G1007" t="s">
        <v>28</v>
      </c>
      <c r="H1007" s="1">
        <v>41184</v>
      </c>
      <c r="I1007" s="2">
        <v>13.2</v>
      </c>
      <c r="J1007" t="s">
        <v>39</v>
      </c>
      <c r="K1007" s="3">
        <v>10300</v>
      </c>
      <c r="L1007" t="s">
        <v>30</v>
      </c>
      <c r="M1007">
        <v>3</v>
      </c>
      <c r="N1007">
        <v>3</v>
      </c>
      <c r="O1007">
        <v>25</v>
      </c>
      <c r="P1007" t="s">
        <v>21</v>
      </c>
      <c r="Q1007" s="1"/>
      <c r="U1007">
        <v>1</v>
      </c>
      <c r="V1007">
        <v>1</v>
      </c>
      <c r="W1007">
        <v>0</v>
      </c>
    </row>
    <row r="1008" spans="1:23" ht="16.5" x14ac:dyDescent="0.3">
      <c r="A1008" t="s">
        <v>1075</v>
      </c>
      <c r="B1008" t="s">
        <v>73</v>
      </c>
      <c r="C1008" t="s">
        <v>36</v>
      </c>
      <c r="D1008" t="s">
        <v>26</v>
      </c>
      <c r="E1008">
        <v>34</v>
      </c>
      <c r="F1008" t="s">
        <v>27</v>
      </c>
      <c r="G1008" t="s">
        <v>38</v>
      </c>
      <c r="H1008" s="1">
        <v>42518</v>
      </c>
      <c r="I1008" s="2">
        <v>9.6</v>
      </c>
      <c r="J1008" t="s">
        <v>39</v>
      </c>
      <c r="K1008" s="3">
        <v>5000</v>
      </c>
      <c r="L1008" t="s">
        <v>30</v>
      </c>
      <c r="M1008">
        <v>3</v>
      </c>
      <c r="N1008">
        <v>3</v>
      </c>
      <c r="O1008">
        <v>37</v>
      </c>
      <c r="P1008" t="s">
        <v>21</v>
      </c>
      <c r="Q1008" s="1"/>
      <c r="U1008">
        <v>1</v>
      </c>
      <c r="V1008">
        <v>1</v>
      </c>
      <c r="W1008">
        <v>0</v>
      </c>
    </row>
    <row r="1009" spans="1:23" ht="16.5" x14ac:dyDescent="0.3">
      <c r="A1009" t="s">
        <v>1076</v>
      </c>
      <c r="B1009" t="s">
        <v>24</v>
      </c>
      <c r="C1009" t="s">
        <v>87</v>
      </c>
      <c r="D1009" t="s">
        <v>37</v>
      </c>
      <c r="E1009">
        <v>48</v>
      </c>
      <c r="F1009" t="s">
        <v>88</v>
      </c>
      <c r="G1009" t="s">
        <v>38</v>
      </c>
      <c r="H1009" s="1">
        <v>44889</v>
      </c>
      <c r="I1009" s="2">
        <v>3.1</v>
      </c>
      <c r="J1009" t="s">
        <v>50</v>
      </c>
      <c r="K1009" s="3">
        <v>7450</v>
      </c>
      <c r="L1009" t="s">
        <v>30</v>
      </c>
      <c r="M1009">
        <v>4</v>
      </c>
      <c r="N1009">
        <v>3</v>
      </c>
      <c r="O1009">
        <v>30</v>
      </c>
      <c r="P1009" t="s">
        <v>21</v>
      </c>
      <c r="Q1009" s="1"/>
      <c r="U1009">
        <v>1</v>
      </c>
      <c r="V1009">
        <v>1</v>
      </c>
      <c r="W1009">
        <v>0</v>
      </c>
    </row>
    <row r="1010" spans="1:23" ht="16.5" x14ac:dyDescent="0.3">
      <c r="A1010" t="s">
        <v>1077</v>
      </c>
      <c r="B1010" t="s">
        <v>35</v>
      </c>
      <c r="C1010" t="s">
        <v>25</v>
      </c>
      <c r="D1010" t="s">
        <v>37</v>
      </c>
      <c r="E1010">
        <v>26</v>
      </c>
      <c r="F1010" t="s">
        <v>27</v>
      </c>
      <c r="G1010" t="s">
        <v>28</v>
      </c>
      <c r="H1010" s="1">
        <v>45064</v>
      </c>
      <c r="I1010" s="2">
        <v>2.6</v>
      </c>
      <c r="J1010" t="s">
        <v>29</v>
      </c>
      <c r="K1010" s="3">
        <v>3200</v>
      </c>
      <c r="L1010" t="s">
        <v>30</v>
      </c>
      <c r="M1010">
        <v>4</v>
      </c>
      <c r="N1010">
        <v>3</v>
      </c>
      <c r="O1010">
        <v>22</v>
      </c>
      <c r="P1010" t="s">
        <v>21</v>
      </c>
      <c r="Q1010" s="1"/>
      <c r="U1010">
        <v>1</v>
      </c>
      <c r="V1010">
        <v>1</v>
      </c>
      <c r="W1010">
        <v>0</v>
      </c>
    </row>
    <row r="1011" spans="1:23" ht="16.5" x14ac:dyDescent="0.3">
      <c r="A1011" t="s">
        <v>1078</v>
      </c>
      <c r="B1011" t="s">
        <v>24</v>
      </c>
      <c r="C1011" t="s">
        <v>45</v>
      </c>
      <c r="D1011" t="s">
        <v>37</v>
      </c>
      <c r="E1011">
        <v>36</v>
      </c>
      <c r="F1011" t="s">
        <v>46</v>
      </c>
      <c r="G1011" t="s">
        <v>38</v>
      </c>
      <c r="H1011" s="1">
        <v>43287</v>
      </c>
      <c r="I1011" s="2">
        <v>7.2</v>
      </c>
      <c r="J1011" t="s">
        <v>39</v>
      </c>
      <c r="K1011" s="3">
        <v>5750</v>
      </c>
      <c r="L1011" t="s">
        <v>58</v>
      </c>
      <c r="M1011">
        <v>3</v>
      </c>
      <c r="N1011">
        <v>4</v>
      </c>
      <c r="O1011">
        <v>22</v>
      </c>
      <c r="P1011" t="s">
        <v>22</v>
      </c>
      <c r="Q1011" s="1">
        <v>45905</v>
      </c>
      <c r="R1011" t="s">
        <v>40</v>
      </c>
      <c r="S1011" t="s">
        <v>259</v>
      </c>
      <c r="T1011" t="s">
        <v>151</v>
      </c>
      <c r="U1011">
        <v>1</v>
      </c>
      <c r="V1011">
        <v>0</v>
      </c>
      <c r="W1011">
        <v>1</v>
      </c>
    </row>
    <row r="1012" spans="1:23" ht="16.5" x14ac:dyDescent="0.3">
      <c r="A1012" t="s">
        <v>1079</v>
      </c>
      <c r="B1012" t="s">
        <v>48</v>
      </c>
      <c r="C1012" t="s">
        <v>25</v>
      </c>
      <c r="D1012" t="s">
        <v>26</v>
      </c>
      <c r="E1012">
        <v>23</v>
      </c>
      <c r="F1012" t="s">
        <v>57</v>
      </c>
      <c r="G1012" t="s">
        <v>52</v>
      </c>
      <c r="H1012" s="1">
        <v>45606</v>
      </c>
      <c r="I1012" s="2">
        <v>1.1000000000000001</v>
      </c>
      <c r="J1012" t="s">
        <v>29</v>
      </c>
      <c r="K1012" s="3">
        <v>6000</v>
      </c>
      <c r="L1012" t="s">
        <v>30</v>
      </c>
      <c r="M1012">
        <v>3</v>
      </c>
      <c r="N1012">
        <v>4</v>
      </c>
      <c r="O1012">
        <v>19</v>
      </c>
      <c r="P1012" t="s">
        <v>21</v>
      </c>
      <c r="Q1012" s="1"/>
      <c r="U1012">
        <v>1</v>
      </c>
      <c r="V1012">
        <v>1</v>
      </c>
      <c r="W1012">
        <v>0</v>
      </c>
    </row>
    <row r="1013" spans="1:23" ht="16.5" x14ac:dyDescent="0.3">
      <c r="A1013" t="s">
        <v>1080</v>
      </c>
      <c r="B1013" t="s">
        <v>35</v>
      </c>
      <c r="C1013" t="s">
        <v>25</v>
      </c>
      <c r="D1013" t="s">
        <v>26</v>
      </c>
      <c r="E1013">
        <v>32</v>
      </c>
      <c r="F1013" t="s">
        <v>27</v>
      </c>
      <c r="G1013" t="s">
        <v>38</v>
      </c>
      <c r="H1013" s="1">
        <v>44397</v>
      </c>
      <c r="I1013" s="2">
        <v>4.4000000000000004</v>
      </c>
      <c r="J1013" t="s">
        <v>50</v>
      </c>
      <c r="K1013" s="3">
        <v>3400</v>
      </c>
      <c r="L1013" t="s">
        <v>30</v>
      </c>
      <c r="M1013">
        <v>2</v>
      </c>
      <c r="N1013">
        <v>3</v>
      </c>
      <c r="O1013">
        <v>18</v>
      </c>
      <c r="P1013" t="s">
        <v>21</v>
      </c>
      <c r="Q1013" s="1"/>
      <c r="U1013">
        <v>1</v>
      </c>
      <c r="V1013">
        <v>1</v>
      </c>
      <c r="W1013">
        <v>0</v>
      </c>
    </row>
    <row r="1014" spans="1:23" ht="16.5" x14ac:dyDescent="0.3">
      <c r="A1014" t="s">
        <v>1081</v>
      </c>
      <c r="B1014" t="s">
        <v>48</v>
      </c>
      <c r="C1014" t="s">
        <v>45</v>
      </c>
      <c r="D1014" t="s">
        <v>26</v>
      </c>
      <c r="E1014">
        <v>34</v>
      </c>
      <c r="F1014" t="s">
        <v>27</v>
      </c>
      <c r="G1014" t="s">
        <v>28</v>
      </c>
      <c r="H1014" s="1">
        <v>42575</v>
      </c>
      <c r="I1014" s="2">
        <v>9.4</v>
      </c>
      <c r="J1014" t="s">
        <v>39</v>
      </c>
      <c r="K1014" s="3">
        <v>10700</v>
      </c>
      <c r="L1014" t="s">
        <v>30</v>
      </c>
      <c r="M1014">
        <v>4</v>
      </c>
      <c r="N1014">
        <v>3</v>
      </c>
      <c r="O1014">
        <v>20</v>
      </c>
      <c r="P1014" t="s">
        <v>21</v>
      </c>
      <c r="Q1014" s="1"/>
      <c r="U1014">
        <v>1</v>
      </c>
      <c r="V1014">
        <v>1</v>
      </c>
      <c r="W1014">
        <v>0</v>
      </c>
    </row>
    <row r="1015" spans="1:23" ht="16.5" x14ac:dyDescent="0.3">
      <c r="A1015" t="s">
        <v>1082</v>
      </c>
      <c r="B1015" t="s">
        <v>24</v>
      </c>
      <c r="C1015" t="s">
        <v>45</v>
      </c>
      <c r="D1015" t="s">
        <v>26</v>
      </c>
      <c r="E1015">
        <v>32</v>
      </c>
      <c r="F1015" t="s">
        <v>27</v>
      </c>
      <c r="G1015" t="s">
        <v>38</v>
      </c>
      <c r="H1015" s="1">
        <v>44373</v>
      </c>
      <c r="I1015" s="2">
        <v>2.6</v>
      </c>
      <c r="J1015" t="s">
        <v>29</v>
      </c>
      <c r="K1015" s="3">
        <v>3900</v>
      </c>
      <c r="L1015" t="s">
        <v>58</v>
      </c>
      <c r="M1015">
        <v>3</v>
      </c>
      <c r="N1015">
        <v>4</v>
      </c>
      <c r="O1015">
        <v>17</v>
      </c>
      <c r="P1015" t="s">
        <v>22</v>
      </c>
      <c r="Q1015" s="1">
        <v>45326</v>
      </c>
      <c r="R1015" t="s">
        <v>31</v>
      </c>
      <c r="S1015" t="s">
        <v>103</v>
      </c>
      <c r="T1015" t="s">
        <v>33</v>
      </c>
      <c r="U1015">
        <v>1</v>
      </c>
      <c r="V1015">
        <v>0</v>
      </c>
      <c r="W1015">
        <v>1</v>
      </c>
    </row>
    <row r="1016" spans="1:23" ht="16.5" x14ac:dyDescent="0.3">
      <c r="A1016" t="s">
        <v>1083</v>
      </c>
      <c r="B1016" t="s">
        <v>35</v>
      </c>
      <c r="C1016" t="s">
        <v>36</v>
      </c>
      <c r="D1016" t="s">
        <v>26</v>
      </c>
      <c r="E1016">
        <v>35</v>
      </c>
      <c r="F1016" t="s">
        <v>27</v>
      </c>
      <c r="G1016" t="s">
        <v>38</v>
      </c>
      <c r="H1016" s="1">
        <v>45045</v>
      </c>
      <c r="I1016" s="2">
        <v>2.7</v>
      </c>
      <c r="J1016" t="s">
        <v>29</v>
      </c>
      <c r="K1016" s="3">
        <v>4600</v>
      </c>
      <c r="L1016" t="s">
        <v>58</v>
      </c>
      <c r="M1016">
        <v>3</v>
      </c>
      <c r="N1016">
        <v>4</v>
      </c>
      <c r="O1016">
        <v>40</v>
      </c>
      <c r="P1016" t="s">
        <v>21</v>
      </c>
      <c r="Q1016" s="1"/>
      <c r="U1016">
        <v>1</v>
      </c>
      <c r="V1016">
        <v>1</v>
      </c>
      <c r="W1016">
        <v>0</v>
      </c>
    </row>
    <row r="1017" spans="1:23" ht="16.5" x14ac:dyDescent="0.3">
      <c r="A1017" t="s">
        <v>1084</v>
      </c>
      <c r="B1017" t="s">
        <v>70</v>
      </c>
      <c r="C1017" t="s">
        <v>25</v>
      </c>
      <c r="D1017" t="s">
        <v>37</v>
      </c>
      <c r="E1017">
        <v>21</v>
      </c>
      <c r="F1017" t="s">
        <v>57</v>
      </c>
      <c r="G1017" t="s">
        <v>38</v>
      </c>
      <c r="H1017" s="1">
        <v>45919</v>
      </c>
      <c r="I1017" s="2">
        <v>0.3</v>
      </c>
      <c r="J1017" t="s">
        <v>64</v>
      </c>
      <c r="K1017" s="3">
        <v>3250</v>
      </c>
      <c r="L1017" t="s">
        <v>30</v>
      </c>
      <c r="M1017">
        <v>4</v>
      </c>
      <c r="N1017">
        <v>4</v>
      </c>
      <c r="O1017">
        <v>12</v>
      </c>
      <c r="P1017" t="s">
        <v>21</v>
      </c>
      <c r="Q1017" s="1"/>
      <c r="U1017">
        <v>1</v>
      </c>
      <c r="V1017">
        <v>1</v>
      </c>
      <c r="W1017">
        <v>0</v>
      </c>
    </row>
    <row r="1018" spans="1:23" ht="16.5" x14ac:dyDescent="0.3">
      <c r="A1018" t="s">
        <v>1085</v>
      </c>
      <c r="B1018" t="s">
        <v>48</v>
      </c>
      <c r="C1018" t="s">
        <v>25</v>
      </c>
      <c r="D1018" t="s">
        <v>37</v>
      </c>
      <c r="E1018">
        <v>32</v>
      </c>
      <c r="F1018" t="s">
        <v>27</v>
      </c>
      <c r="G1018" t="s">
        <v>38</v>
      </c>
      <c r="H1018" s="1">
        <v>44856</v>
      </c>
      <c r="I1018" s="2">
        <v>3.2</v>
      </c>
      <c r="J1018" t="s">
        <v>50</v>
      </c>
      <c r="K1018" s="3">
        <v>6500</v>
      </c>
      <c r="L1018" t="s">
        <v>30</v>
      </c>
      <c r="M1018">
        <v>2</v>
      </c>
      <c r="N1018">
        <v>4</v>
      </c>
      <c r="O1018">
        <v>21</v>
      </c>
      <c r="P1018" t="s">
        <v>21</v>
      </c>
      <c r="Q1018" s="1"/>
      <c r="U1018">
        <v>1</v>
      </c>
      <c r="V1018">
        <v>1</v>
      </c>
      <c r="W1018">
        <v>0</v>
      </c>
    </row>
    <row r="1019" spans="1:23" ht="16.5" x14ac:dyDescent="0.3">
      <c r="A1019" t="s">
        <v>1086</v>
      </c>
      <c r="B1019" t="s">
        <v>24</v>
      </c>
      <c r="C1019" t="s">
        <v>87</v>
      </c>
      <c r="D1019" t="s">
        <v>26</v>
      </c>
      <c r="E1019">
        <v>34</v>
      </c>
      <c r="F1019" t="s">
        <v>27</v>
      </c>
      <c r="G1019" t="s">
        <v>38</v>
      </c>
      <c r="H1019" s="1">
        <v>43984</v>
      </c>
      <c r="I1019" s="2">
        <v>5.6</v>
      </c>
      <c r="J1019" t="s">
        <v>39</v>
      </c>
      <c r="K1019" s="3">
        <v>7000</v>
      </c>
      <c r="L1019" t="s">
        <v>30</v>
      </c>
      <c r="M1019">
        <v>4</v>
      </c>
      <c r="N1019">
        <v>3</v>
      </c>
      <c r="O1019">
        <v>31</v>
      </c>
      <c r="P1019" t="s">
        <v>21</v>
      </c>
      <c r="Q1019" s="1"/>
      <c r="U1019">
        <v>1</v>
      </c>
      <c r="V1019">
        <v>1</v>
      </c>
      <c r="W1019">
        <v>0</v>
      </c>
    </row>
    <row r="1020" spans="1:23" ht="16.5" x14ac:dyDescent="0.3">
      <c r="A1020" t="s">
        <v>1087</v>
      </c>
      <c r="B1020" t="s">
        <v>44</v>
      </c>
      <c r="C1020" t="s">
        <v>45</v>
      </c>
      <c r="D1020" t="s">
        <v>37</v>
      </c>
      <c r="E1020">
        <v>30</v>
      </c>
      <c r="F1020" t="s">
        <v>27</v>
      </c>
      <c r="G1020" t="s">
        <v>38</v>
      </c>
      <c r="H1020" s="1">
        <v>44655</v>
      </c>
      <c r="I1020" s="2">
        <v>3.7</v>
      </c>
      <c r="J1020" t="s">
        <v>50</v>
      </c>
      <c r="K1020" s="3">
        <v>9700</v>
      </c>
      <c r="L1020" t="s">
        <v>58</v>
      </c>
      <c r="M1020">
        <v>3</v>
      </c>
      <c r="N1020">
        <v>3</v>
      </c>
      <c r="O1020">
        <v>25</v>
      </c>
      <c r="P1020" t="s">
        <v>21</v>
      </c>
      <c r="Q1020" s="1"/>
      <c r="U1020">
        <v>1</v>
      </c>
      <c r="V1020">
        <v>1</v>
      </c>
      <c r="W1020">
        <v>0</v>
      </c>
    </row>
    <row r="1021" spans="1:23" ht="16.5" x14ac:dyDescent="0.3">
      <c r="A1021" t="s">
        <v>1088</v>
      </c>
      <c r="B1021" t="s">
        <v>73</v>
      </c>
      <c r="C1021" t="s">
        <v>87</v>
      </c>
      <c r="D1021" t="s">
        <v>26</v>
      </c>
      <c r="E1021">
        <v>42</v>
      </c>
      <c r="F1021" t="s">
        <v>46</v>
      </c>
      <c r="G1021" t="s">
        <v>38</v>
      </c>
      <c r="H1021" s="1">
        <v>44391</v>
      </c>
      <c r="I1021" s="2">
        <v>3.5</v>
      </c>
      <c r="J1021" t="s">
        <v>50</v>
      </c>
      <c r="K1021" s="3">
        <v>10500</v>
      </c>
      <c r="L1021" t="s">
        <v>30</v>
      </c>
      <c r="M1021">
        <v>2</v>
      </c>
      <c r="N1021">
        <v>4</v>
      </c>
      <c r="O1021">
        <v>17</v>
      </c>
      <c r="P1021" t="s">
        <v>22</v>
      </c>
      <c r="Q1021" s="1">
        <v>45668</v>
      </c>
      <c r="R1021" t="s">
        <v>40</v>
      </c>
      <c r="S1021" t="s">
        <v>107</v>
      </c>
      <c r="T1021" t="s">
        <v>42</v>
      </c>
      <c r="U1021">
        <v>1</v>
      </c>
      <c r="V1021">
        <v>0</v>
      </c>
      <c r="W1021">
        <v>1</v>
      </c>
    </row>
    <row r="1022" spans="1:23" ht="16.5" x14ac:dyDescent="0.3">
      <c r="A1022" t="s">
        <v>1089</v>
      </c>
      <c r="B1022" t="s">
        <v>35</v>
      </c>
      <c r="C1022" t="s">
        <v>87</v>
      </c>
      <c r="D1022" t="s">
        <v>26</v>
      </c>
      <c r="E1022">
        <v>49</v>
      </c>
      <c r="F1022" t="s">
        <v>88</v>
      </c>
      <c r="G1022" t="s">
        <v>38</v>
      </c>
      <c r="H1022" s="1">
        <v>42373</v>
      </c>
      <c r="I1022" s="2">
        <v>10</v>
      </c>
      <c r="J1022" t="s">
        <v>39</v>
      </c>
      <c r="K1022" s="3">
        <v>9950</v>
      </c>
      <c r="L1022" t="s">
        <v>30</v>
      </c>
      <c r="M1022">
        <v>4</v>
      </c>
      <c r="N1022">
        <v>3</v>
      </c>
      <c r="O1022">
        <v>17</v>
      </c>
      <c r="P1022" t="s">
        <v>21</v>
      </c>
      <c r="Q1022" s="1"/>
      <c r="U1022">
        <v>1</v>
      </c>
      <c r="V1022">
        <v>1</v>
      </c>
      <c r="W1022">
        <v>0</v>
      </c>
    </row>
    <row r="1023" spans="1:23" ht="16.5" x14ac:dyDescent="0.3">
      <c r="A1023" t="s">
        <v>1090</v>
      </c>
      <c r="B1023" t="s">
        <v>55</v>
      </c>
      <c r="C1023" t="s">
        <v>36</v>
      </c>
      <c r="D1023" t="s">
        <v>26</v>
      </c>
      <c r="E1023">
        <v>31</v>
      </c>
      <c r="F1023" t="s">
        <v>27</v>
      </c>
      <c r="G1023" t="s">
        <v>38</v>
      </c>
      <c r="H1023" s="1">
        <v>44024</v>
      </c>
      <c r="I1023" s="2">
        <v>5.5</v>
      </c>
      <c r="J1023" t="s">
        <v>39</v>
      </c>
      <c r="K1023" s="3">
        <v>6250</v>
      </c>
      <c r="L1023" t="s">
        <v>30</v>
      </c>
      <c r="M1023">
        <v>2</v>
      </c>
      <c r="N1023">
        <v>3</v>
      </c>
      <c r="O1023">
        <v>15</v>
      </c>
      <c r="P1023" t="s">
        <v>21</v>
      </c>
      <c r="Q1023" s="1"/>
      <c r="U1023">
        <v>1</v>
      </c>
      <c r="V1023">
        <v>1</v>
      </c>
      <c r="W1023">
        <v>0</v>
      </c>
    </row>
    <row r="1024" spans="1:23" ht="16.5" x14ac:dyDescent="0.3">
      <c r="A1024" t="s">
        <v>1091</v>
      </c>
      <c r="B1024" t="s">
        <v>48</v>
      </c>
      <c r="C1024" t="s">
        <v>25</v>
      </c>
      <c r="D1024" t="s">
        <v>26</v>
      </c>
      <c r="E1024">
        <v>29</v>
      </c>
      <c r="F1024" t="s">
        <v>27</v>
      </c>
      <c r="G1024" t="s">
        <v>52</v>
      </c>
      <c r="H1024" s="1">
        <v>44961</v>
      </c>
      <c r="I1024" s="2">
        <v>2.9</v>
      </c>
      <c r="J1024" t="s">
        <v>29</v>
      </c>
      <c r="K1024" s="3">
        <v>6650</v>
      </c>
      <c r="L1024" t="s">
        <v>30</v>
      </c>
      <c r="M1024">
        <v>4</v>
      </c>
      <c r="N1024">
        <v>3</v>
      </c>
      <c r="O1024">
        <v>18</v>
      </c>
      <c r="P1024" t="s">
        <v>21</v>
      </c>
      <c r="Q1024" s="1"/>
      <c r="U1024">
        <v>1</v>
      </c>
      <c r="V1024">
        <v>1</v>
      </c>
      <c r="W1024">
        <v>0</v>
      </c>
    </row>
    <row r="1025" spans="1:23" ht="16.5" x14ac:dyDescent="0.3">
      <c r="A1025" t="s">
        <v>1092</v>
      </c>
      <c r="B1025" t="s">
        <v>35</v>
      </c>
      <c r="C1025" t="s">
        <v>25</v>
      </c>
      <c r="D1025" t="s">
        <v>37</v>
      </c>
      <c r="E1025">
        <v>22</v>
      </c>
      <c r="F1025" t="s">
        <v>57</v>
      </c>
      <c r="G1025" t="s">
        <v>28</v>
      </c>
      <c r="H1025" s="1">
        <v>45905</v>
      </c>
      <c r="I1025" s="2">
        <v>0.3</v>
      </c>
      <c r="J1025" t="s">
        <v>64</v>
      </c>
      <c r="K1025" s="3">
        <v>3200</v>
      </c>
      <c r="L1025" t="s">
        <v>30</v>
      </c>
      <c r="M1025">
        <v>4</v>
      </c>
      <c r="N1025">
        <v>4</v>
      </c>
      <c r="O1025">
        <v>24</v>
      </c>
      <c r="P1025" t="s">
        <v>21</v>
      </c>
      <c r="Q1025" s="1"/>
      <c r="U1025">
        <v>1</v>
      </c>
      <c r="V1025">
        <v>1</v>
      </c>
      <c r="W1025">
        <v>0</v>
      </c>
    </row>
    <row r="1026" spans="1:23" ht="16.5" x14ac:dyDescent="0.3">
      <c r="A1026" t="s">
        <v>1093</v>
      </c>
      <c r="B1026" t="s">
        <v>70</v>
      </c>
      <c r="C1026" t="s">
        <v>36</v>
      </c>
      <c r="D1026" t="s">
        <v>37</v>
      </c>
      <c r="E1026">
        <v>30</v>
      </c>
      <c r="F1026" t="s">
        <v>27</v>
      </c>
      <c r="G1026" t="s">
        <v>28</v>
      </c>
      <c r="H1026" s="1">
        <v>43785</v>
      </c>
      <c r="I1026" s="2">
        <v>6.1</v>
      </c>
      <c r="J1026" t="s">
        <v>39</v>
      </c>
      <c r="K1026" s="3">
        <v>5150</v>
      </c>
      <c r="L1026" t="s">
        <v>30</v>
      </c>
      <c r="M1026">
        <v>5</v>
      </c>
      <c r="N1026">
        <v>4</v>
      </c>
      <c r="O1026">
        <v>25</v>
      </c>
      <c r="P1026" t="s">
        <v>21</v>
      </c>
      <c r="Q1026" s="1"/>
      <c r="U1026">
        <v>1</v>
      </c>
      <c r="V1026">
        <v>1</v>
      </c>
      <c r="W1026">
        <v>0</v>
      </c>
    </row>
    <row r="1027" spans="1:23" ht="16.5" x14ac:dyDescent="0.3">
      <c r="A1027" t="s">
        <v>1094</v>
      </c>
      <c r="B1027" t="s">
        <v>48</v>
      </c>
      <c r="C1027" t="s">
        <v>36</v>
      </c>
      <c r="D1027" t="s">
        <v>26</v>
      </c>
      <c r="E1027">
        <v>38</v>
      </c>
      <c r="F1027" t="s">
        <v>46</v>
      </c>
      <c r="G1027" t="s">
        <v>52</v>
      </c>
      <c r="H1027" s="1">
        <v>42124</v>
      </c>
      <c r="I1027" s="2">
        <v>10.7</v>
      </c>
      <c r="J1027" t="s">
        <v>39</v>
      </c>
      <c r="K1027" s="3">
        <v>9050</v>
      </c>
      <c r="L1027" t="s">
        <v>30</v>
      </c>
      <c r="M1027">
        <v>4</v>
      </c>
      <c r="N1027">
        <v>3</v>
      </c>
      <c r="O1027">
        <v>25</v>
      </c>
      <c r="P1027" t="s">
        <v>21</v>
      </c>
      <c r="Q1027" s="1"/>
      <c r="U1027">
        <v>1</v>
      </c>
      <c r="V1027">
        <v>1</v>
      </c>
      <c r="W1027">
        <v>0</v>
      </c>
    </row>
    <row r="1028" spans="1:23" ht="16.5" x14ac:dyDescent="0.3">
      <c r="A1028" t="s">
        <v>1095</v>
      </c>
      <c r="B1028" t="s">
        <v>44</v>
      </c>
      <c r="C1028" t="s">
        <v>87</v>
      </c>
      <c r="D1028" t="s">
        <v>37</v>
      </c>
      <c r="E1028">
        <v>35</v>
      </c>
      <c r="F1028" t="s">
        <v>27</v>
      </c>
      <c r="G1028" t="s">
        <v>38</v>
      </c>
      <c r="H1028" s="1">
        <v>42952</v>
      </c>
      <c r="I1028" s="2">
        <v>8.4</v>
      </c>
      <c r="J1028" t="s">
        <v>39</v>
      </c>
      <c r="K1028" s="3">
        <v>12050</v>
      </c>
      <c r="L1028" t="s">
        <v>58</v>
      </c>
      <c r="M1028">
        <v>1</v>
      </c>
      <c r="N1028">
        <v>5</v>
      </c>
      <c r="O1028">
        <v>29</v>
      </c>
      <c r="P1028" t="s">
        <v>21</v>
      </c>
      <c r="Q1028" s="1"/>
      <c r="U1028">
        <v>1</v>
      </c>
      <c r="V1028">
        <v>1</v>
      </c>
      <c r="W1028">
        <v>0</v>
      </c>
    </row>
    <row r="1029" spans="1:23" ht="16.5" x14ac:dyDescent="0.3">
      <c r="A1029" t="s">
        <v>1096</v>
      </c>
      <c r="B1029" t="s">
        <v>24</v>
      </c>
      <c r="C1029" t="s">
        <v>36</v>
      </c>
      <c r="D1029" t="s">
        <v>26</v>
      </c>
      <c r="E1029">
        <v>32</v>
      </c>
      <c r="F1029" t="s">
        <v>27</v>
      </c>
      <c r="G1029" t="s">
        <v>38</v>
      </c>
      <c r="H1029" s="1">
        <v>43030</v>
      </c>
      <c r="I1029" s="2">
        <v>7.2</v>
      </c>
      <c r="J1029" t="s">
        <v>39</v>
      </c>
      <c r="K1029" s="3">
        <v>3850</v>
      </c>
      <c r="L1029" t="s">
        <v>58</v>
      </c>
      <c r="M1029">
        <v>3</v>
      </c>
      <c r="N1029">
        <v>3</v>
      </c>
      <c r="O1029">
        <v>24</v>
      </c>
      <c r="P1029" t="s">
        <v>22</v>
      </c>
      <c r="Q1029" s="1">
        <v>45672</v>
      </c>
      <c r="R1029" t="s">
        <v>40</v>
      </c>
      <c r="S1029" t="s">
        <v>107</v>
      </c>
      <c r="T1029" t="s">
        <v>60</v>
      </c>
      <c r="U1029">
        <v>1</v>
      </c>
      <c r="V1029">
        <v>0</v>
      </c>
      <c r="W1029">
        <v>1</v>
      </c>
    </row>
    <row r="1030" spans="1:23" ht="16.5" x14ac:dyDescent="0.3">
      <c r="A1030" t="s">
        <v>1097</v>
      </c>
      <c r="B1030" t="s">
        <v>70</v>
      </c>
      <c r="C1030" t="s">
        <v>36</v>
      </c>
      <c r="D1030" t="s">
        <v>26</v>
      </c>
      <c r="E1030">
        <v>36</v>
      </c>
      <c r="F1030" t="s">
        <v>46</v>
      </c>
      <c r="G1030" t="s">
        <v>38</v>
      </c>
      <c r="H1030" s="1">
        <v>42624</v>
      </c>
      <c r="I1030" s="2">
        <v>9.3000000000000007</v>
      </c>
      <c r="J1030" t="s">
        <v>39</v>
      </c>
      <c r="K1030" s="3">
        <v>5450</v>
      </c>
      <c r="L1030" t="s">
        <v>58</v>
      </c>
      <c r="M1030">
        <v>4</v>
      </c>
      <c r="N1030">
        <v>5</v>
      </c>
      <c r="O1030">
        <v>5</v>
      </c>
      <c r="P1030" t="s">
        <v>21</v>
      </c>
      <c r="Q1030" s="1"/>
      <c r="U1030">
        <v>1</v>
      </c>
      <c r="V1030">
        <v>1</v>
      </c>
      <c r="W1030">
        <v>0</v>
      </c>
    </row>
    <row r="1031" spans="1:23" ht="16.5" x14ac:dyDescent="0.3">
      <c r="A1031" t="s">
        <v>1098</v>
      </c>
      <c r="B1031" t="s">
        <v>48</v>
      </c>
      <c r="C1031" t="s">
        <v>25</v>
      </c>
      <c r="D1031" t="s">
        <v>37</v>
      </c>
      <c r="E1031">
        <v>34</v>
      </c>
      <c r="F1031" t="s">
        <v>27</v>
      </c>
      <c r="G1031" t="s">
        <v>28</v>
      </c>
      <c r="H1031" s="1">
        <v>45132</v>
      </c>
      <c r="I1031" s="2">
        <v>2.4</v>
      </c>
      <c r="J1031" t="s">
        <v>29</v>
      </c>
      <c r="K1031" s="3">
        <v>5500</v>
      </c>
      <c r="L1031" t="s">
        <v>30</v>
      </c>
      <c r="M1031">
        <v>3</v>
      </c>
      <c r="N1031">
        <v>4</v>
      </c>
      <c r="O1031">
        <v>31</v>
      </c>
      <c r="P1031" t="s">
        <v>21</v>
      </c>
      <c r="Q1031" s="1"/>
      <c r="U1031">
        <v>1</v>
      </c>
      <c r="V1031">
        <v>1</v>
      </c>
      <c r="W1031">
        <v>0</v>
      </c>
    </row>
    <row r="1032" spans="1:23" ht="16.5" x14ac:dyDescent="0.3">
      <c r="A1032" t="s">
        <v>1099</v>
      </c>
      <c r="B1032" t="s">
        <v>24</v>
      </c>
      <c r="C1032" t="s">
        <v>25</v>
      </c>
      <c r="D1032" t="s">
        <v>26</v>
      </c>
      <c r="E1032">
        <v>25</v>
      </c>
      <c r="F1032" t="s">
        <v>57</v>
      </c>
      <c r="G1032" t="s">
        <v>38</v>
      </c>
      <c r="H1032" s="1">
        <v>45376</v>
      </c>
      <c r="I1032" s="2">
        <v>1.8</v>
      </c>
      <c r="J1032" t="s">
        <v>29</v>
      </c>
      <c r="K1032" s="3">
        <v>3000</v>
      </c>
      <c r="L1032" t="s">
        <v>58</v>
      </c>
      <c r="M1032">
        <v>3</v>
      </c>
      <c r="N1032">
        <v>3</v>
      </c>
      <c r="O1032">
        <v>24</v>
      </c>
      <c r="P1032" t="s">
        <v>21</v>
      </c>
      <c r="Q1032" s="1"/>
      <c r="U1032">
        <v>1</v>
      </c>
      <c r="V1032">
        <v>1</v>
      </c>
      <c r="W1032">
        <v>0</v>
      </c>
    </row>
    <row r="1033" spans="1:23" ht="16.5" x14ac:dyDescent="0.3">
      <c r="A1033" t="s">
        <v>1100</v>
      </c>
      <c r="B1033" t="s">
        <v>70</v>
      </c>
      <c r="C1033" t="s">
        <v>45</v>
      </c>
      <c r="D1033" t="s">
        <v>37</v>
      </c>
      <c r="E1033">
        <v>37</v>
      </c>
      <c r="F1033" t="s">
        <v>46</v>
      </c>
      <c r="G1033" t="s">
        <v>28</v>
      </c>
      <c r="H1033" s="1">
        <v>45173</v>
      </c>
      <c r="I1033" s="2">
        <v>2.2999999999999998</v>
      </c>
      <c r="J1033" t="s">
        <v>29</v>
      </c>
      <c r="K1033" s="3">
        <v>7900</v>
      </c>
      <c r="L1033" t="s">
        <v>58</v>
      </c>
      <c r="M1033">
        <v>2</v>
      </c>
      <c r="N1033">
        <v>3</v>
      </c>
      <c r="O1033">
        <v>10</v>
      </c>
      <c r="P1033" t="s">
        <v>21</v>
      </c>
      <c r="Q1033" s="1"/>
      <c r="U1033">
        <v>1</v>
      </c>
      <c r="V1033">
        <v>1</v>
      </c>
      <c r="W1033">
        <v>0</v>
      </c>
    </row>
    <row r="1034" spans="1:23" ht="16.5" x14ac:dyDescent="0.3">
      <c r="A1034" t="s">
        <v>1101</v>
      </c>
      <c r="B1034" t="s">
        <v>73</v>
      </c>
      <c r="C1034" t="s">
        <v>87</v>
      </c>
      <c r="D1034" t="s">
        <v>37</v>
      </c>
      <c r="E1034">
        <v>48</v>
      </c>
      <c r="F1034" t="s">
        <v>88</v>
      </c>
      <c r="G1034" t="s">
        <v>28</v>
      </c>
      <c r="H1034" s="1">
        <v>41331</v>
      </c>
      <c r="I1034" s="2">
        <v>12.8</v>
      </c>
      <c r="J1034" t="s">
        <v>39</v>
      </c>
      <c r="K1034" s="3">
        <v>10300</v>
      </c>
      <c r="L1034" t="s">
        <v>30</v>
      </c>
      <c r="M1034">
        <v>4</v>
      </c>
      <c r="N1034">
        <v>3</v>
      </c>
      <c r="O1034">
        <v>27</v>
      </c>
      <c r="P1034" t="s">
        <v>21</v>
      </c>
      <c r="Q1034" s="1"/>
      <c r="U1034">
        <v>1</v>
      </c>
      <c r="V1034">
        <v>1</v>
      </c>
      <c r="W1034">
        <v>0</v>
      </c>
    </row>
    <row r="1035" spans="1:23" ht="16.5" x14ac:dyDescent="0.3">
      <c r="A1035" t="s">
        <v>1102</v>
      </c>
      <c r="B1035" t="s">
        <v>24</v>
      </c>
      <c r="C1035" t="s">
        <v>25</v>
      </c>
      <c r="D1035" t="s">
        <v>26</v>
      </c>
      <c r="E1035">
        <v>27</v>
      </c>
      <c r="F1035" t="s">
        <v>27</v>
      </c>
      <c r="G1035" t="s">
        <v>38</v>
      </c>
      <c r="H1035" s="1">
        <v>45630</v>
      </c>
      <c r="I1035" s="2">
        <v>1.1000000000000001</v>
      </c>
      <c r="J1035" t="s">
        <v>29</v>
      </c>
      <c r="K1035" s="3">
        <v>3300</v>
      </c>
      <c r="L1035" t="s">
        <v>30</v>
      </c>
      <c r="M1035">
        <v>3</v>
      </c>
      <c r="N1035">
        <v>3</v>
      </c>
      <c r="O1035">
        <v>11</v>
      </c>
      <c r="P1035" t="s">
        <v>21</v>
      </c>
      <c r="Q1035" s="1"/>
      <c r="U1035">
        <v>1</v>
      </c>
      <c r="V1035">
        <v>1</v>
      </c>
      <c r="W1035">
        <v>0</v>
      </c>
    </row>
    <row r="1036" spans="1:23" ht="16.5" x14ac:dyDescent="0.3">
      <c r="A1036" t="s">
        <v>1103</v>
      </c>
      <c r="B1036" t="s">
        <v>55</v>
      </c>
      <c r="C1036" t="s">
        <v>25</v>
      </c>
      <c r="D1036" t="s">
        <v>37</v>
      </c>
      <c r="E1036">
        <v>21</v>
      </c>
      <c r="F1036" t="s">
        <v>57</v>
      </c>
      <c r="G1036" t="s">
        <v>28</v>
      </c>
      <c r="H1036" s="1">
        <v>45915</v>
      </c>
      <c r="I1036" s="2">
        <v>0.3</v>
      </c>
      <c r="J1036" t="s">
        <v>64</v>
      </c>
      <c r="K1036" s="3">
        <v>4250</v>
      </c>
      <c r="L1036" t="s">
        <v>30</v>
      </c>
      <c r="M1036">
        <v>4</v>
      </c>
      <c r="N1036">
        <v>3</v>
      </c>
      <c r="O1036">
        <v>28</v>
      </c>
      <c r="P1036" t="s">
        <v>21</v>
      </c>
      <c r="Q1036" s="1"/>
      <c r="U1036">
        <v>1</v>
      </c>
      <c r="V1036">
        <v>1</v>
      </c>
      <c r="W1036">
        <v>0</v>
      </c>
    </row>
    <row r="1037" spans="1:23" ht="16.5" x14ac:dyDescent="0.3">
      <c r="A1037" t="s">
        <v>1104</v>
      </c>
      <c r="B1037" t="s">
        <v>24</v>
      </c>
      <c r="C1037" t="s">
        <v>25</v>
      </c>
      <c r="D1037" t="s">
        <v>26</v>
      </c>
      <c r="E1037">
        <v>21</v>
      </c>
      <c r="F1037" t="s">
        <v>57</v>
      </c>
      <c r="G1037" t="s">
        <v>28</v>
      </c>
      <c r="H1037" s="1">
        <v>45969</v>
      </c>
      <c r="I1037" s="2">
        <v>0.1</v>
      </c>
      <c r="J1037" t="s">
        <v>64</v>
      </c>
      <c r="K1037" s="3">
        <v>2350</v>
      </c>
      <c r="L1037" t="s">
        <v>58</v>
      </c>
      <c r="M1037">
        <v>5</v>
      </c>
      <c r="N1037">
        <v>3</v>
      </c>
      <c r="O1037">
        <v>31</v>
      </c>
      <c r="P1037" t="s">
        <v>21</v>
      </c>
      <c r="Q1037" s="1"/>
      <c r="U1037">
        <v>1</v>
      </c>
      <c r="V1037">
        <v>1</v>
      </c>
      <c r="W1037">
        <v>0</v>
      </c>
    </row>
    <row r="1038" spans="1:23" ht="16.5" x14ac:dyDescent="0.3">
      <c r="A1038" t="s">
        <v>1105</v>
      </c>
      <c r="B1038" t="s">
        <v>35</v>
      </c>
      <c r="C1038" t="s">
        <v>45</v>
      </c>
      <c r="D1038" t="s">
        <v>37</v>
      </c>
      <c r="E1038">
        <v>32</v>
      </c>
      <c r="F1038" t="s">
        <v>27</v>
      </c>
      <c r="G1038" t="s">
        <v>28</v>
      </c>
      <c r="H1038" s="1">
        <v>44523</v>
      </c>
      <c r="I1038" s="2">
        <v>4.0999999999999996</v>
      </c>
      <c r="J1038" t="s">
        <v>50</v>
      </c>
      <c r="K1038" s="3">
        <v>5150</v>
      </c>
      <c r="L1038" t="s">
        <v>58</v>
      </c>
      <c r="M1038">
        <v>3</v>
      </c>
      <c r="N1038">
        <v>3</v>
      </c>
      <c r="O1038">
        <v>19</v>
      </c>
      <c r="P1038" t="s">
        <v>21</v>
      </c>
      <c r="Q1038" s="1"/>
      <c r="U1038">
        <v>1</v>
      </c>
      <c r="V1038">
        <v>1</v>
      </c>
      <c r="W1038">
        <v>0</v>
      </c>
    </row>
    <row r="1039" spans="1:23" ht="16.5" x14ac:dyDescent="0.3">
      <c r="A1039" t="s">
        <v>1106</v>
      </c>
      <c r="B1039" t="s">
        <v>35</v>
      </c>
      <c r="C1039" t="s">
        <v>36</v>
      </c>
      <c r="D1039" t="s">
        <v>26</v>
      </c>
      <c r="E1039">
        <v>31</v>
      </c>
      <c r="F1039" t="s">
        <v>27</v>
      </c>
      <c r="G1039" t="s">
        <v>28</v>
      </c>
      <c r="H1039" s="1">
        <v>45441</v>
      </c>
      <c r="I1039" s="2">
        <v>1.6</v>
      </c>
      <c r="J1039" t="s">
        <v>29</v>
      </c>
      <c r="K1039" s="3">
        <v>4250</v>
      </c>
      <c r="L1039" t="s">
        <v>30</v>
      </c>
      <c r="M1039">
        <v>4</v>
      </c>
      <c r="N1039">
        <v>3</v>
      </c>
      <c r="O1039">
        <v>15</v>
      </c>
      <c r="P1039" t="s">
        <v>21</v>
      </c>
      <c r="Q1039" s="1"/>
      <c r="U1039">
        <v>1</v>
      </c>
      <c r="V1039">
        <v>1</v>
      </c>
      <c r="W1039">
        <v>0</v>
      </c>
    </row>
    <row r="1040" spans="1:23" ht="16.5" x14ac:dyDescent="0.3">
      <c r="A1040" t="s">
        <v>1107</v>
      </c>
      <c r="B1040" t="s">
        <v>35</v>
      </c>
      <c r="C1040" t="s">
        <v>25</v>
      </c>
      <c r="D1040" t="s">
        <v>26</v>
      </c>
      <c r="E1040">
        <v>21</v>
      </c>
      <c r="F1040" t="s">
        <v>57</v>
      </c>
      <c r="G1040" t="s">
        <v>28</v>
      </c>
      <c r="H1040" s="1">
        <v>45948</v>
      </c>
      <c r="I1040" s="2">
        <v>0.2</v>
      </c>
      <c r="J1040" t="s">
        <v>64</v>
      </c>
      <c r="K1040" s="3">
        <v>2900</v>
      </c>
      <c r="L1040" t="s">
        <v>30</v>
      </c>
      <c r="M1040">
        <v>3</v>
      </c>
      <c r="N1040">
        <v>3</v>
      </c>
      <c r="O1040">
        <v>26</v>
      </c>
      <c r="P1040" t="s">
        <v>21</v>
      </c>
      <c r="Q1040" s="1"/>
      <c r="U1040">
        <v>1</v>
      </c>
      <c r="V1040">
        <v>1</v>
      </c>
      <c r="W1040">
        <v>0</v>
      </c>
    </row>
    <row r="1041" spans="1:23" ht="16.5" x14ac:dyDescent="0.3">
      <c r="A1041" t="s">
        <v>1108</v>
      </c>
      <c r="B1041" t="s">
        <v>24</v>
      </c>
      <c r="C1041" t="s">
        <v>36</v>
      </c>
      <c r="D1041" t="s">
        <v>26</v>
      </c>
      <c r="E1041">
        <v>42</v>
      </c>
      <c r="F1041" t="s">
        <v>46</v>
      </c>
      <c r="G1041" t="s">
        <v>38</v>
      </c>
      <c r="H1041" s="1">
        <v>43570</v>
      </c>
      <c r="I1041" s="2">
        <v>6.7</v>
      </c>
      <c r="J1041" t="s">
        <v>39</v>
      </c>
      <c r="K1041" s="3">
        <v>3250</v>
      </c>
      <c r="L1041" t="s">
        <v>30</v>
      </c>
      <c r="M1041">
        <v>5</v>
      </c>
      <c r="N1041">
        <v>5</v>
      </c>
      <c r="O1041">
        <v>26</v>
      </c>
      <c r="P1041" t="s">
        <v>21</v>
      </c>
      <c r="Q1041" s="1"/>
      <c r="U1041">
        <v>1</v>
      </c>
      <c r="V1041">
        <v>1</v>
      </c>
      <c r="W1041">
        <v>0</v>
      </c>
    </row>
    <row r="1042" spans="1:23" ht="16.5" x14ac:dyDescent="0.3">
      <c r="A1042" t="s">
        <v>1109</v>
      </c>
      <c r="B1042" t="s">
        <v>44</v>
      </c>
      <c r="C1042" t="s">
        <v>36</v>
      </c>
      <c r="D1042" t="s">
        <v>26</v>
      </c>
      <c r="E1042">
        <v>28</v>
      </c>
      <c r="F1042" t="s">
        <v>27</v>
      </c>
      <c r="G1042" t="s">
        <v>52</v>
      </c>
      <c r="H1042" s="1">
        <v>45288</v>
      </c>
      <c r="I1042" s="2">
        <v>2</v>
      </c>
      <c r="J1042" t="s">
        <v>29</v>
      </c>
      <c r="K1042" s="3">
        <v>5950</v>
      </c>
      <c r="L1042" t="s">
        <v>30</v>
      </c>
      <c r="M1042">
        <v>3</v>
      </c>
      <c r="N1042">
        <v>4</v>
      </c>
      <c r="O1042">
        <v>33</v>
      </c>
      <c r="P1042" t="s">
        <v>21</v>
      </c>
      <c r="Q1042" s="1"/>
      <c r="U1042">
        <v>1</v>
      </c>
      <c r="V1042">
        <v>1</v>
      </c>
      <c r="W1042">
        <v>0</v>
      </c>
    </row>
    <row r="1043" spans="1:23" ht="16.5" x14ac:dyDescent="0.3">
      <c r="A1043" t="s">
        <v>1110</v>
      </c>
      <c r="B1043" t="s">
        <v>24</v>
      </c>
      <c r="C1043" t="s">
        <v>45</v>
      </c>
      <c r="D1043" t="s">
        <v>37</v>
      </c>
      <c r="E1043">
        <v>34</v>
      </c>
      <c r="F1043" t="s">
        <v>27</v>
      </c>
      <c r="G1043" t="s">
        <v>28</v>
      </c>
      <c r="H1043" s="1">
        <v>43431</v>
      </c>
      <c r="I1043" s="2">
        <v>7.1</v>
      </c>
      <c r="J1043" t="s">
        <v>39</v>
      </c>
      <c r="K1043" s="3">
        <v>4250</v>
      </c>
      <c r="L1043" t="s">
        <v>30</v>
      </c>
      <c r="M1043">
        <v>4</v>
      </c>
      <c r="N1043">
        <v>3</v>
      </c>
      <c r="O1043">
        <v>29</v>
      </c>
      <c r="P1043" t="s">
        <v>21</v>
      </c>
      <c r="Q1043" s="1"/>
      <c r="U1043">
        <v>1</v>
      </c>
      <c r="V1043">
        <v>1</v>
      </c>
      <c r="W1043">
        <v>0</v>
      </c>
    </row>
    <row r="1044" spans="1:23" ht="16.5" x14ac:dyDescent="0.3">
      <c r="A1044" t="s">
        <v>1111</v>
      </c>
      <c r="B1044" t="s">
        <v>44</v>
      </c>
      <c r="C1044" t="s">
        <v>25</v>
      </c>
      <c r="D1044" t="s">
        <v>37</v>
      </c>
      <c r="E1044">
        <v>34</v>
      </c>
      <c r="F1044" t="s">
        <v>27</v>
      </c>
      <c r="G1044" t="s">
        <v>38</v>
      </c>
      <c r="H1044" s="1">
        <v>44702</v>
      </c>
      <c r="I1044" s="2">
        <v>3.6</v>
      </c>
      <c r="J1044" t="s">
        <v>50</v>
      </c>
      <c r="K1044" s="3">
        <v>5050</v>
      </c>
      <c r="L1044" t="s">
        <v>30</v>
      </c>
      <c r="M1044">
        <v>4</v>
      </c>
      <c r="N1044">
        <v>4</v>
      </c>
      <c r="O1044">
        <v>15</v>
      </c>
      <c r="P1044" t="s">
        <v>21</v>
      </c>
      <c r="Q1044" s="1"/>
      <c r="U1044">
        <v>1</v>
      </c>
      <c r="V1044">
        <v>1</v>
      </c>
      <c r="W1044">
        <v>0</v>
      </c>
    </row>
    <row r="1045" spans="1:23" ht="16.5" x14ac:dyDescent="0.3">
      <c r="A1045" t="s">
        <v>1112</v>
      </c>
      <c r="B1045" t="s">
        <v>70</v>
      </c>
      <c r="C1045" t="s">
        <v>45</v>
      </c>
      <c r="D1045" t="s">
        <v>37</v>
      </c>
      <c r="E1045">
        <v>34</v>
      </c>
      <c r="F1045" t="s">
        <v>27</v>
      </c>
      <c r="G1045" t="s">
        <v>38</v>
      </c>
      <c r="H1045" s="1">
        <v>42393</v>
      </c>
      <c r="I1045" s="2">
        <v>9.9</v>
      </c>
      <c r="J1045" t="s">
        <v>39</v>
      </c>
      <c r="K1045" s="3">
        <v>7100</v>
      </c>
      <c r="L1045" t="s">
        <v>30</v>
      </c>
      <c r="M1045">
        <v>4</v>
      </c>
      <c r="N1045">
        <v>3</v>
      </c>
      <c r="O1045">
        <v>20</v>
      </c>
      <c r="P1045" t="s">
        <v>21</v>
      </c>
      <c r="Q1045" s="1"/>
      <c r="U1045">
        <v>1</v>
      </c>
      <c r="V1045">
        <v>1</v>
      </c>
      <c r="W1045">
        <v>0</v>
      </c>
    </row>
    <row r="1046" spans="1:23" ht="16.5" x14ac:dyDescent="0.3">
      <c r="A1046" t="s">
        <v>1113</v>
      </c>
      <c r="B1046" t="s">
        <v>73</v>
      </c>
      <c r="C1046" t="s">
        <v>36</v>
      </c>
      <c r="D1046" t="s">
        <v>37</v>
      </c>
      <c r="E1046">
        <v>29</v>
      </c>
      <c r="F1046" t="s">
        <v>27</v>
      </c>
      <c r="G1046" t="s">
        <v>52</v>
      </c>
      <c r="H1046" s="1">
        <v>45361</v>
      </c>
      <c r="I1046" s="2">
        <v>1.8</v>
      </c>
      <c r="J1046" t="s">
        <v>29</v>
      </c>
      <c r="K1046" s="3">
        <v>4800</v>
      </c>
      <c r="L1046" t="s">
        <v>30</v>
      </c>
      <c r="M1046">
        <v>3</v>
      </c>
      <c r="N1046">
        <v>5</v>
      </c>
      <c r="O1046">
        <v>9</v>
      </c>
      <c r="P1046" t="s">
        <v>21</v>
      </c>
      <c r="Q1046" s="1"/>
      <c r="U1046">
        <v>1</v>
      </c>
      <c r="V1046">
        <v>1</v>
      </c>
      <c r="W1046">
        <v>0</v>
      </c>
    </row>
    <row r="1047" spans="1:23" ht="16.5" x14ac:dyDescent="0.3">
      <c r="A1047" t="s">
        <v>1114</v>
      </c>
      <c r="B1047" t="s">
        <v>73</v>
      </c>
      <c r="C1047" t="s">
        <v>36</v>
      </c>
      <c r="D1047" t="s">
        <v>37</v>
      </c>
      <c r="E1047">
        <v>28</v>
      </c>
      <c r="F1047" t="s">
        <v>27</v>
      </c>
      <c r="G1047" t="s">
        <v>28</v>
      </c>
      <c r="H1047" s="1">
        <v>44361</v>
      </c>
      <c r="I1047" s="2">
        <v>4.5</v>
      </c>
      <c r="J1047" t="s">
        <v>50</v>
      </c>
      <c r="K1047" s="3">
        <v>5150</v>
      </c>
      <c r="L1047" t="s">
        <v>30</v>
      </c>
      <c r="M1047">
        <v>3</v>
      </c>
      <c r="N1047">
        <v>3</v>
      </c>
      <c r="O1047">
        <v>27</v>
      </c>
      <c r="P1047" t="s">
        <v>21</v>
      </c>
      <c r="Q1047" s="1"/>
      <c r="U1047">
        <v>1</v>
      </c>
      <c r="V1047">
        <v>1</v>
      </c>
      <c r="W1047">
        <v>0</v>
      </c>
    </row>
    <row r="1048" spans="1:23" ht="16.5" x14ac:dyDescent="0.3">
      <c r="A1048" t="s">
        <v>1115</v>
      </c>
      <c r="B1048" t="s">
        <v>70</v>
      </c>
      <c r="C1048" t="s">
        <v>25</v>
      </c>
      <c r="D1048" t="s">
        <v>37</v>
      </c>
      <c r="E1048">
        <v>30</v>
      </c>
      <c r="F1048" t="s">
        <v>27</v>
      </c>
      <c r="G1048" t="s">
        <v>38</v>
      </c>
      <c r="H1048" s="1">
        <v>44434</v>
      </c>
      <c r="I1048" s="2">
        <v>3.9</v>
      </c>
      <c r="J1048" t="s">
        <v>50</v>
      </c>
      <c r="K1048" s="3">
        <v>4400</v>
      </c>
      <c r="L1048" t="s">
        <v>30</v>
      </c>
      <c r="M1048">
        <v>3</v>
      </c>
      <c r="N1048">
        <v>3</v>
      </c>
      <c r="O1048">
        <v>33</v>
      </c>
      <c r="P1048" t="s">
        <v>22</v>
      </c>
      <c r="Q1048" s="1">
        <v>45848</v>
      </c>
      <c r="R1048" t="s">
        <v>40</v>
      </c>
      <c r="S1048" t="s">
        <v>84</v>
      </c>
      <c r="T1048" t="s">
        <v>33</v>
      </c>
      <c r="U1048">
        <v>1</v>
      </c>
      <c r="V1048">
        <v>0</v>
      </c>
      <c r="W1048">
        <v>1</v>
      </c>
    </row>
    <row r="1049" spans="1:23" ht="16.5" x14ac:dyDescent="0.3">
      <c r="A1049" t="s">
        <v>1116</v>
      </c>
      <c r="B1049" t="s">
        <v>35</v>
      </c>
      <c r="C1049" t="s">
        <v>36</v>
      </c>
      <c r="D1049" t="s">
        <v>26</v>
      </c>
      <c r="E1049">
        <v>28</v>
      </c>
      <c r="F1049" t="s">
        <v>27</v>
      </c>
      <c r="G1049" t="s">
        <v>38</v>
      </c>
      <c r="H1049" s="1">
        <v>45104</v>
      </c>
      <c r="I1049" s="2">
        <v>2.5</v>
      </c>
      <c r="J1049" t="s">
        <v>29</v>
      </c>
      <c r="K1049" s="3">
        <v>4050</v>
      </c>
      <c r="L1049" t="s">
        <v>58</v>
      </c>
      <c r="M1049">
        <v>4</v>
      </c>
      <c r="N1049">
        <v>3</v>
      </c>
      <c r="O1049">
        <v>21</v>
      </c>
      <c r="P1049" t="s">
        <v>21</v>
      </c>
      <c r="Q1049" s="1"/>
      <c r="U1049">
        <v>1</v>
      </c>
      <c r="V1049">
        <v>1</v>
      </c>
      <c r="W1049">
        <v>0</v>
      </c>
    </row>
    <row r="1050" spans="1:23" ht="16.5" x14ac:dyDescent="0.3">
      <c r="A1050" t="s">
        <v>1117</v>
      </c>
      <c r="B1050" t="s">
        <v>44</v>
      </c>
      <c r="C1050" t="s">
        <v>36</v>
      </c>
      <c r="D1050" t="s">
        <v>26</v>
      </c>
      <c r="E1050">
        <v>36</v>
      </c>
      <c r="F1050" t="s">
        <v>46</v>
      </c>
      <c r="G1050" t="s">
        <v>38</v>
      </c>
      <c r="H1050" s="1">
        <v>43534</v>
      </c>
      <c r="I1050" s="2">
        <v>5.5</v>
      </c>
      <c r="J1050" t="s">
        <v>39</v>
      </c>
      <c r="K1050" s="3">
        <v>5750</v>
      </c>
      <c r="L1050" t="s">
        <v>30</v>
      </c>
      <c r="M1050">
        <v>5</v>
      </c>
      <c r="N1050">
        <v>4</v>
      </c>
      <c r="O1050">
        <v>22</v>
      </c>
      <c r="P1050" t="s">
        <v>22</v>
      </c>
      <c r="Q1050" s="1">
        <v>45543</v>
      </c>
      <c r="R1050" t="s">
        <v>31</v>
      </c>
      <c r="S1050" t="s">
        <v>259</v>
      </c>
      <c r="T1050" t="s">
        <v>33</v>
      </c>
      <c r="U1050">
        <v>1</v>
      </c>
      <c r="V1050">
        <v>0</v>
      </c>
      <c r="W1050">
        <v>1</v>
      </c>
    </row>
    <row r="1051" spans="1:23" ht="16.5" x14ac:dyDescent="0.3">
      <c r="A1051" t="s">
        <v>1118</v>
      </c>
      <c r="B1051" t="s">
        <v>35</v>
      </c>
      <c r="C1051" t="s">
        <v>87</v>
      </c>
      <c r="D1051" t="s">
        <v>26</v>
      </c>
      <c r="E1051">
        <v>44</v>
      </c>
      <c r="F1051" t="s">
        <v>46</v>
      </c>
      <c r="G1051" t="s">
        <v>28</v>
      </c>
      <c r="H1051" s="1">
        <v>44833</v>
      </c>
      <c r="I1051" s="2">
        <v>3.3</v>
      </c>
      <c r="J1051" t="s">
        <v>50</v>
      </c>
      <c r="K1051" s="3">
        <v>7500</v>
      </c>
      <c r="L1051" t="s">
        <v>30</v>
      </c>
      <c r="M1051">
        <v>4</v>
      </c>
      <c r="N1051">
        <v>3</v>
      </c>
      <c r="O1051">
        <v>32</v>
      </c>
      <c r="P1051" t="s">
        <v>21</v>
      </c>
      <c r="Q1051" s="1"/>
      <c r="U1051">
        <v>1</v>
      </c>
      <c r="V1051">
        <v>1</v>
      </c>
      <c r="W1051">
        <v>0</v>
      </c>
    </row>
    <row r="1052" spans="1:23" ht="16.5" x14ac:dyDescent="0.3">
      <c r="A1052" t="s">
        <v>1119</v>
      </c>
      <c r="B1052" t="s">
        <v>35</v>
      </c>
      <c r="C1052" t="s">
        <v>36</v>
      </c>
      <c r="D1052" t="s">
        <v>26</v>
      </c>
      <c r="E1052">
        <v>27</v>
      </c>
      <c r="F1052" t="s">
        <v>27</v>
      </c>
      <c r="G1052" t="s">
        <v>38</v>
      </c>
      <c r="H1052" s="1">
        <v>45554</v>
      </c>
      <c r="I1052" s="2">
        <v>1.3</v>
      </c>
      <c r="J1052" t="s">
        <v>29</v>
      </c>
      <c r="K1052" s="3">
        <v>4750</v>
      </c>
      <c r="L1052" t="s">
        <v>58</v>
      </c>
      <c r="M1052">
        <v>3</v>
      </c>
      <c r="N1052">
        <v>3</v>
      </c>
      <c r="O1052">
        <v>27</v>
      </c>
      <c r="P1052" t="s">
        <v>21</v>
      </c>
      <c r="Q1052" s="1"/>
      <c r="U1052">
        <v>1</v>
      </c>
      <c r="V1052">
        <v>1</v>
      </c>
      <c r="W1052">
        <v>0</v>
      </c>
    </row>
    <row r="1053" spans="1:23" ht="16.5" x14ac:dyDescent="0.3">
      <c r="A1053" t="s">
        <v>1120</v>
      </c>
      <c r="B1053" t="s">
        <v>70</v>
      </c>
      <c r="C1053" t="s">
        <v>25</v>
      </c>
      <c r="D1053" t="s">
        <v>37</v>
      </c>
      <c r="E1053">
        <v>24</v>
      </c>
      <c r="F1053" t="s">
        <v>57</v>
      </c>
      <c r="G1053" t="s">
        <v>38</v>
      </c>
      <c r="H1053" s="1">
        <v>45315</v>
      </c>
      <c r="I1053" s="2">
        <v>1.9</v>
      </c>
      <c r="J1053" t="s">
        <v>29</v>
      </c>
      <c r="K1053" s="3">
        <v>4350</v>
      </c>
      <c r="L1053" t="s">
        <v>30</v>
      </c>
      <c r="M1053">
        <v>3</v>
      </c>
      <c r="N1053">
        <v>3</v>
      </c>
      <c r="O1053">
        <v>16</v>
      </c>
      <c r="P1053" t="s">
        <v>21</v>
      </c>
      <c r="Q1053" s="1"/>
      <c r="U1053">
        <v>1</v>
      </c>
      <c r="V1053">
        <v>1</v>
      </c>
      <c r="W1053">
        <v>0</v>
      </c>
    </row>
    <row r="1054" spans="1:23" ht="16.5" x14ac:dyDescent="0.3">
      <c r="A1054" t="s">
        <v>1121</v>
      </c>
      <c r="B1054" t="s">
        <v>24</v>
      </c>
      <c r="C1054" t="s">
        <v>36</v>
      </c>
      <c r="D1054" t="s">
        <v>26</v>
      </c>
      <c r="E1054">
        <v>35</v>
      </c>
      <c r="F1054" t="s">
        <v>27</v>
      </c>
      <c r="G1054" t="s">
        <v>38</v>
      </c>
      <c r="H1054" s="1">
        <v>43143</v>
      </c>
      <c r="I1054" s="2">
        <v>7.9</v>
      </c>
      <c r="J1054" t="s">
        <v>39</v>
      </c>
      <c r="K1054" s="3">
        <v>3550</v>
      </c>
      <c r="L1054" t="s">
        <v>58</v>
      </c>
      <c r="M1054">
        <v>3</v>
      </c>
      <c r="N1054">
        <v>3</v>
      </c>
      <c r="O1054">
        <v>41</v>
      </c>
      <c r="P1054" t="s">
        <v>21</v>
      </c>
      <c r="Q1054" s="1"/>
      <c r="U1054">
        <v>1</v>
      </c>
      <c r="V1054">
        <v>1</v>
      </c>
      <c r="W1054">
        <v>0</v>
      </c>
    </row>
    <row r="1055" spans="1:23" ht="16.5" x14ac:dyDescent="0.3">
      <c r="A1055" t="s">
        <v>1122</v>
      </c>
      <c r="B1055" t="s">
        <v>48</v>
      </c>
      <c r="C1055" t="s">
        <v>36</v>
      </c>
      <c r="D1055" t="s">
        <v>37</v>
      </c>
      <c r="E1055">
        <v>36</v>
      </c>
      <c r="F1055" t="s">
        <v>46</v>
      </c>
      <c r="G1055" t="s">
        <v>38</v>
      </c>
      <c r="H1055" s="1">
        <v>43167</v>
      </c>
      <c r="I1055" s="2">
        <v>7.8</v>
      </c>
      <c r="J1055" t="s">
        <v>39</v>
      </c>
      <c r="K1055" s="3">
        <v>6900</v>
      </c>
      <c r="L1055" t="s">
        <v>30</v>
      </c>
      <c r="M1055">
        <v>3</v>
      </c>
      <c r="N1055">
        <v>3</v>
      </c>
      <c r="O1055">
        <v>21</v>
      </c>
      <c r="P1055" t="s">
        <v>21</v>
      </c>
      <c r="Q1055" s="1"/>
      <c r="U1055">
        <v>1</v>
      </c>
      <c r="V1055">
        <v>1</v>
      </c>
      <c r="W1055">
        <v>0</v>
      </c>
    </row>
    <row r="1056" spans="1:23" ht="16.5" x14ac:dyDescent="0.3">
      <c r="A1056" t="s">
        <v>1123</v>
      </c>
      <c r="B1056" t="s">
        <v>35</v>
      </c>
      <c r="C1056" t="s">
        <v>45</v>
      </c>
      <c r="D1056" t="s">
        <v>37</v>
      </c>
      <c r="E1056">
        <v>49</v>
      </c>
      <c r="F1056" t="s">
        <v>88</v>
      </c>
      <c r="G1056" t="s">
        <v>28</v>
      </c>
      <c r="H1056" s="1">
        <v>44103</v>
      </c>
      <c r="I1056" s="2">
        <v>5.3</v>
      </c>
      <c r="J1056" t="s">
        <v>39</v>
      </c>
      <c r="K1056" s="3">
        <v>5600</v>
      </c>
      <c r="L1056" t="s">
        <v>30</v>
      </c>
      <c r="M1056">
        <v>4</v>
      </c>
      <c r="N1056">
        <v>2</v>
      </c>
      <c r="O1056">
        <v>32</v>
      </c>
      <c r="P1056" t="s">
        <v>21</v>
      </c>
      <c r="Q1056" s="1"/>
      <c r="U1056">
        <v>1</v>
      </c>
      <c r="V1056">
        <v>1</v>
      </c>
      <c r="W1056">
        <v>0</v>
      </c>
    </row>
    <row r="1057" spans="1:23" ht="16.5" x14ac:dyDescent="0.3">
      <c r="A1057" t="s">
        <v>1124</v>
      </c>
      <c r="B1057" t="s">
        <v>48</v>
      </c>
      <c r="C1057" t="s">
        <v>36</v>
      </c>
      <c r="D1057" t="s">
        <v>26</v>
      </c>
      <c r="E1057">
        <v>32</v>
      </c>
      <c r="F1057" t="s">
        <v>27</v>
      </c>
      <c r="G1057" t="s">
        <v>38</v>
      </c>
      <c r="H1057" s="1">
        <v>45275</v>
      </c>
      <c r="I1057" s="2">
        <v>2</v>
      </c>
      <c r="J1057" t="s">
        <v>29</v>
      </c>
      <c r="K1057" s="3">
        <v>7000</v>
      </c>
      <c r="L1057" t="s">
        <v>30</v>
      </c>
      <c r="M1057">
        <v>4</v>
      </c>
      <c r="N1057">
        <v>2</v>
      </c>
      <c r="O1057">
        <v>19</v>
      </c>
      <c r="P1057" t="s">
        <v>21</v>
      </c>
      <c r="Q1057" s="1"/>
      <c r="U1057">
        <v>1</v>
      </c>
      <c r="V1057">
        <v>1</v>
      </c>
      <c r="W1057">
        <v>0</v>
      </c>
    </row>
    <row r="1058" spans="1:23" ht="16.5" x14ac:dyDescent="0.3">
      <c r="A1058" t="s">
        <v>1125</v>
      </c>
      <c r="B1058" t="s">
        <v>44</v>
      </c>
      <c r="C1058" t="s">
        <v>25</v>
      </c>
      <c r="D1058" t="s">
        <v>26</v>
      </c>
      <c r="E1058">
        <v>21</v>
      </c>
      <c r="F1058" t="s">
        <v>57</v>
      </c>
      <c r="G1058" t="s">
        <v>38</v>
      </c>
      <c r="H1058" s="1">
        <v>46001</v>
      </c>
      <c r="I1058" s="2">
        <v>0.1</v>
      </c>
      <c r="J1058" t="s">
        <v>64</v>
      </c>
      <c r="K1058" s="3">
        <v>5950</v>
      </c>
      <c r="L1058" t="s">
        <v>58</v>
      </c>
      <c r="M1058">
        <v>2</v>
      </c>
      <c r="N1058">
        <v>4</v>
      </c>
      <c r="O1058">
        <v>28</v>
      </c>
      <c r="P1058" t="s">
        <v>21</v>
      </c>
      <c r="Q1058" s="1"/>
      <c r="U1058">
        <v>1</v>
      </c>
      <c r="V1058">
        <v>1</v>
      </c>
      <c r="W1058">
        <v>0</v>
      </c>
    </row>
    <row r="1059" spans="1:23" ht="16.5" x14ac:dyDescent="0.3">
      <c r="A1059" t="s">
        <v>1126</v>
      </c>
      <c r="B1059" t="s">
        <v>55</v>
      </c>
      <c r="C1059" t="s">
        <v>25</v>
      </c>
      <c r="D1059" t="s">
        <v>37</v>
      </c>
      <c r="E1059">
        <v>29</v>
      </c>
      <c r="F1059" t="s">
        <v>27</v>
      </c>
      <c r="G1059" t="s">
        <v>52</v>
      </c>
      <c r="H1059" s="1">
        <v>43724</v>
      </c>
      <c r="I1059" s="2">
        <v>6.3</v>
      </c>
      <c r="J1059" t="s">
        <v>39</v>
      </c>
      <c r="K1059" s="3">
        <v>3900</v>
      </c>
      <c r="L1059" t="s">
        <v>30</v>
      </c>
      <c r="M1059">
        <v>2</v>
      </c>
      <c r="N1059">
        <v>4</v>
      </c>
      <c r="O1059">
        <v>28</v>
      </c>
      <c r="P1059" t="s">
        <v>21</v>
      </c>
      <c r="Q1059" s="1"/>
      <c r="U1059">
        <v>1</v>
      </c>
      <c r="V1059">
        <v>1</v>
      </c>
      <c r="W1059">
        <v>0</v>
      </c>
    </row>
    <row r="1060" spans="1:23" ht="16.5" x14ac:dyDescent="0.3">
      <c r="A1060" t="s">
        <v>1127</v>
      </c>
      <c r="B1060" t="s">
        <v>73</v>
      </c>
      <c r="C1060" t="s">
        <v>45</v>
      </c>
      <c r="D1060" t="s">
        <v>26</v>
      </c>
      <c r="E1060">
        <v>48</v>
      </c>
      <c r="F1060" t="s">
        <v>88</v>
      </c>
      <c r="G1060" t="s">
        <v>38</v>
      </c>
      <c r="H1060" s="1">
        <v>41169</v>
      </c>
      <c r="I1060" s="2">
        <v>13.3</v>
      </c>
      <c r="J1060" t="s">
        <v>39</v>
      </c>
      <c r="K1060" s="3">
        <v>6250</v>
      </c>
      <c r="L1060" t="s">
        <v>30</v>
      </c>
      <c r="M1060">
        <v>4</v>
      </c>
      <c r="N1060">
        <v>3</v>
      </c>
      <c r="O1060">
        <v>27</v>
      </c>
      <c r="P1060" t="s">
        <v>21</v>
      </c>
      <c r="Q1060" s="1"/>
      <c r="U1060">
        <v>1</v>
      </c>
      <c r="V1060">
        <v>1</v>
      </c>
      <c r="W1060">
        <v>0</v>
      </c>
    </row>
    <row r="1061" spans="1:23" ht="16.5" x14ac:dyDescent="0.3">
      <c r="A1061" t="s">
        <v>1128</v>
      </c>
      <c r="B1061" t="s">
        <v>35</v>
      </c>
      <c r="C1061" t="s">
        <v>45</v>
      </c>
      <c r="D1061" t="s">
        <v>37</v>
      </c>
      <c r="E1061">
        <v>33</v>
      </c>
      <c r="F1061" t="s">
        <v>27</v>
      </c>
      <c r="G1061" t="s">
        <v>28</v>
      </c>
      <c r="H1061" s="1">
        <v>45173</v>
      </c>
      <c r="I1061" s="2">
        <v>1.7</v>
      </c>
      <c r="J1061" t="s">
        <v>29</v>
      </c>
      <c r="K1061" s="3">
        <v>5700</v>
      </c>
      <c r="L1061" t="s">
        <v>58</v>
      </c>
      <c r="M1061">
        <v>2</v>
      </c>
      <c r="N1061">
        <v>4</v>
      </c>
      <c r="O1061">
        <v>29</v>
      </c>
      <c r="P1061" t="s">
        <v>22</v>
      </c>
      <c r="Q1061" s="1">
        <v>45797</v>
      </c>
      <c r="R1061" t="s">
        <v>40</v>
      </c>
      <c r="S1061" t="s">
        <v>169</v>
      </c>
      <c r="T1061" t="s">
        <v>33</v>
      </c>
      <c r="U1061">
        <v>1</v>
      </c>
      <c r="V1061">
        <v>0</v>
      </c>
      <c r="W1061">
        <v>1</v>
      </c>
    </row>
    <row r="1062" spans="1:23" ht="16.5" x14ac:dyDescent="0.3">
      <c r="A1062" t="s">
        <v>1129</v>
      </c>
      <c r="B1062" t="s">
        <v>55</v>
      </c>
      <c r="C1062" t="s">
        <v>36</v>
      </c>
      <c r="D1062" t="s">
        <v>37</v>
      </c>
      <c r="E1062">
        <v>31</v>
      </c>
      <c r="F1062" t="s">
        <v>27</v>
      </c>
      <c r="G1062" t="s">
        <v>28</v>
      </c>
      <c r="H1062" s="1">
        <v>43815</v>
      </c>
      <c r="I1062" s="2">
        <v>6</v>
      </c>
      <c r="J1062" t="s">
        <v>39</v>
      </c>
      <c r="K1062" s="3">
        <v>4650</v>
      </c>
      <c r="L1062" t="s">
        <v>30</v>
      </c>
      <c r="M1062">
        <v>2</v>
      </c>
      <c r="N1062">
        <v>3</v>
      </c>
      <c r="O1062">
        <v>47</v>
      </c>
      <c r="P1062" t="s">
        <v>21</v>
      </c>
      <c r="Q1062" s="1"/>
      <c r="U1062">
        <v>1</v>
      </c>
      <c r="V1062">
        <v>1</v>
      </c>
      <c r="W1062">
        <v>0</v>
      </c>
    </row>
    <row r="1063" spans="1:23" ht="16.5" x14ac:dyDescent="0.3">
      <c r="A1063" t="s">
        <v>1130</v>
      </c>
      <c r="B1063" t="s">
        <v>24</v>
      </c>
      <c r="C1063" t="s">
        <v>25</v>
      </c>
      <c r="D1063" t="s">
        <v>37</v>
      </c>
      <c r="E1063">
        <v>23</v>
      </c>
      <c r="F1063" t="s">
        <v>57</v>
      </c>
      <c r="G1063" t="s">
        <v>38</v>
      </c>
      <c r="H1063" s="1">
        <v>45512</v>
      </c>
      <c r="I1063" s="2">
        <v>1.4</v>
      </c>
      <c r="J1063" t="s">
        <v>29</v>
      </c>
      <c r="K1063" s="3">
        <v>2700</v>
      </c>
      <c r="L1063" t="s">
        <v>30</v>
      </c>
      <c r="M1063">
        <v>4</v>
      </c>
      <c r="N1063">
        <v>3</v>
      </c>
      <c r="O1063">
        <v>41</v>
      </c>
      <c r="P1063" t="s">
        <v>21</v>
      </c>
      <c r="Q1063" s="1"/>
      <c r="U1063">
        <v>1</v>
      </c>
      <c r="V1063">
        <v>1</v>
      </c>
      <c r="W1063">
        <v>0</v>
      </c>
    </row>
    <row r="1064" spans="1:23" ht="16.5" x14ac:dyDescent="0.3">
      <c r="A1064" t="s">
        <v>1131</v>
      </c>
      <c r="B1064" t="s">
        <v>73</v>
      </c>
      <c r="C1064" t="s">
        <v>25</v>
      </c>
      <c r="D1064" t="s">
        <v>37</v>
      </c>
      <c r="E1064">
        <v>26</v>
      </c>
      <c r="F1064" t="s">
        <v>27</v>
      </c>
      <c r="G1064" t="s">
        <v>38</v>
      </c>
      <c r="H1064" s="1">
        <v>45659</v>
      </c>
      <c r="I1064" s="2">
        <v>1</v>
      </c>
      <c r="J1064" t="s">
        <v>64</v>
      </c>
      <c r="K1064" s="3">
        <v>4200</v>
      </c>
      <c r="L1064" t="s">
        <v>30</v>
      </c>
      <c r="M1064">
        <v>3</v>
      </c>
      <c r="N1064">
        <v>3</v>
      </c>
      <c r="O1064">
        <v>9</v>
      </c>
      <c r="P1064" t="s">
        <v>21</v>
      </c>
      <c r="Q1064" s="1"/>
      <c r="U1064">
        <v>1</v>
      </c>
      <c r="V1064">
        <v>1</v>
      </c>
      <c r="W1064">
        <v>0</v>
      </c>
    </row>
    <row r="1065" spans="1:23" ht="16.5" x14ac:dyDescent="0.3">
      <c r="A1065" t="s">
        <v>1132</v>
      </c>
      <c r="B1065" t="s">
        <v>48</v>
      </c>
      <c r="C1065" t="s">
        <v>36</v>
      </c>
      <c r="D1065" t="s">
        <v>37</v>
      </c>
      <c r="E1065">
        <v>39</v>
      </c>
      <c r="F1065" t="s">
        <v>46</v>
      </c>
      <c r="G1065" t="s">
        <v>28</v>
      </c>
      <c r="H1065" s="1">
        <v>42665</v>
      </c>
      <c r="I1065" s="2">
        <v>9.1999999999999993</v>
      </c>
      <c r="J1065" t="s">
        <v>39</v>
      </c>
      <c r="K1065" s="3">
        <v>7350</v>
      </c>
      <c r="L1065" t="s">
        <v>30</v>
      </c>
      <c r="M1065">
        <v>3</v>
      </c>
      <c r="N1065">
        <v>3</v>
      </c>
      <c r="O1065">
        <v>16</v>
      </c>
      <c r="P1065" t="s">
        <v>21</v>
      </c>
      <c r="Q1065" s="1"/>
      <c r="U1065">
        <v>1</v>
      </c>
      <c r="V1065">
        <v>1</v>
      </c>
      <c r="W1065">
        <v>0</v>
      </c>
    </row>
    <row r="1066" spans="1:23" ht="16.5" x14ac:dyDescent="0.3">
      <c r="A1066" t="s">
        <v>1133</v>
      </c>
      <c r="B1066" t="s">
        <v>35</v>
      </c>
      <c r="C1066" t="s">
        <v>25</v>
      </c>
      <c r="D1066" t="s">
        <v>37</v>
      </c>
      <c r="E1066">
        <v>33</v>
      </c>
      <c r="F1066" t="s">
        <v>27</v>
      </c>
      <c r="G1066" t="s">
        <v>38</v>
      </c>
      <c r="H1066" s="1">
        <v>43362</v>
      </c>
      <c r="I1066" s="2">
        <v>7.3</v>
      </c>
      <c r="J1066" t="s">
        <v>39</v>
      </c>
      <c r="K1066" s="3">
        <v>3550</v>
      </c>
      <c r="L1066" t="s">
        <v>30</v>
      </c>
      <c r="M1066">
        <v>5</v>
      </c>
      <c r="N1066">
        <v>3</v>
      </c>
      <c r="O1066">
        <v>27</v>
      </c>
      <c r="P1066" t="s">
        <v>21</v>
      </c>
      <c r="Q1066" s="1"/>
      <c r="U1066">
        <v>1</v>
      </c>
      <c r="V1066">
        <v>1</v>
      </c>
      <c r="W1066">
        <v>0</v>
      </c>
    </row>
    <row r="1067" spans="1:23" ht="16.5" x14ac:dyDescent="0.3">
      <c r="A1067" t="s">
        <v>1134</v>
      </c>
      <c r="B1067" t="s">
        <v>55</v>
      </c>
      <c r="C1067" t="s">
        <v>36</v>
      </c>
      <c r="D1067" t="s">
        <v>37</v>
      </c>
      <c r="E1067">
        <v>33</v>
      </c>
      <c r="F1067" t="s">
        <v>27</v>
      </c>
      <c r="G1067" t="s">
        <v>28</v>
      </c>
      <c r="H1067" s="1">
        <v>44617</v>
      </c>
      <c r="I1067" s="2">
        <v>3.8</v>
      </c>
      <c r="J1067" t="s">
        <v>50</v>
      </c>
      <c r="K1067" s="3">
        <v>5050</v>
      </c>
      <c r="L1067" t="s">
        <v>30</v>
      </c>
      <c r="M1067">
        <v>3</v>
      </c>
      <c r="N1067">
        <v>4</v>
      </c>
      <c r="O1067">
        <v>25</v>
      </c>
      <c r="P1067" t="s">
        <v>21</v>
      </c>
      <c r="Q1067" s="1"/>
      <c r="U1067">
        <v>1</v>
      </c>
      <c r="V1067">
        <v>1</v>
      </c>
      <c r="W1067">
        <v>0</v>
      </c>
    </row>
    <row r="1068" spans="1:23" ht="16.5" x14ac:dyDescent="0.3">
      <c r="A1068" t="s">
        <v>1135</v>
      </c>
      <c r="B1068" t="s">
        <v>48</v>
      </c>
      <c r="C1068" t="s">
        <v>36</v>
      </c>
      <c r="D1068" t="s">
        <v>37</v>
      </c>
      <c r="E1068">
        <v>28</v>
      </c>
      <c r="F1068" t="s">
        <v>27</v>
      </c>
      <c r="G1068" t="s">
        <v>28</v>
      </c>
      <c r="H1068" s="1">
        <v>45365</v>
      </c>
      <c r="I1068" s="2">
        <v>1.8</v>
      </c>
      <c r="J1068" t="s">
        <v>29</v>
      </c>
      <c r="K1068" s="3">
        <v>7450</v>
      </c>
      <c r="L1068" t="s">
        <v>30</v>
      </c>
      <c r="M1068">
        <v>5</v>
      </c>
      <c r="N1068">
        <v>4</v>
      </c>
      <c r="O1068">
        <v>14</v>
      </c>
      <c r="P1068" t="s">
        <v>21</v>
      </c>
      <c r="Q1068" s="1"/>
      <c r="U1068">
        <v>1</v>
      </c>
      <c r="V1068">
        <v>1</v>
      </c>
      <c r="W1068">
        <v>0</v>
      </c>
    </row>
    <row r="1069" spans="1:23" ht="16.5" x14ac:dyDescent="0.3">
      <c r="A1069" t="s">
        <v>1136</v>
      </c>
      <c r="B1069" t="s">
        <v>55</v>
      </c>
      <c r="C1069" t="s">
        <v>45</v>
      </c>
      <c r="D1069" t="s">
        <v>37</v>
      </c>
      <c r="E1069">
        <v>43</v>
      </c>
      <c r="F1069" t="s">
        <v>46</v>
      </c>
      <c r="G1069" t="s">
        <v>38</v>
      </c>
      <c r="H1069" s="1">
        <v>41732</v>
      </c>
      <c r="I1069" s="2">
        <v>11.7</v>
      </c>
      <c r="J1069" t="s">
        <v>39</v>
      </c>
      <c r="K1069" s="3">
        <v>8450</v>
      </c>
      <c r="L1069" t="s">
        <v>30</v>
      </c>
      <c r="M1069">
        <v>4</v>
      </c>
      <c r="N1069">
        <v>3</v>
      </c>
      <c r="O1069">
        <v>7</v>
      </c>
      <c r="P1069" t="s">
        <v>21</v>
      </c>
      <c r="Q1069" s="1"/>
      <c r="U1069">
        <v>1</v>
      </c>
      <c r="V1069">
        <v>1</v>
      </c>
      <c r="W1069">
        <v>0</v>
      </c>
    </row>
    <row r="1070" spans="1:23" ht="16.5" x14ac:dyDescent="0.3">
      <c r="A1070" t="s">
        <v>1137</v>
      </c>
      <c r="B1070" t="s">
        <v>55</v>
      </c>
      <c r="C1070" t="s">
        <v>45</v>
      </c>
      <c r="D1070" t="s">
        <v>26</v>
      </c>
      <c r="E1070">
        <v>46</v>
      </c>
      <c r="F1070" t="s">
        <v>88</v>
      </c>
      <c r="G1070" t="s">
        <v>28</v>
      </c>
      <c r="H1070" s="1">
        <v>42351</v>
      </c>
      <c r="I1070" s="2">
        <v>10.1</v>
      </c>
      <c r="J1070" t="s">
        <v>39</v>
      </c>
      <c r="K1070" s="3">
        <v>8200</v>
      </c>
      <c r="L1070" t="s">
        <v>30</v>
      </c>
      <c r="M1070">
        <v>4</v>
      </c>
      <c r="N1070">
        <v>3</v>
      </c>
      <c r="O1070">
        <v>22</v>
      </c>
      <c r="P1070" t="s">
        <v>21</v>
      </c>
      <c r="Q1070" s="1"/>
      <c r="U1070">
        <v>1</v>
      </c>
      <c r="V1070">
        <v>1</v>
      </c>
      <c r="W1070">
        <v>0</v>
      </c>
    </row>
    <row r="1071" spans="1:23" ht="16.5" x14ac:dyDescent="0.3">
      <c r="A1071" t="s">
        <v>1138</v>
      </c>
      <c r="B1071" t="s">
        <v>35</v>
      </c>
      <c r="C1071" t="s">
        <v>36</v>
      </c>
      <c r="D1071" t="s">
        <v>37</v>
      </c>
      <c r="E1071">
        <v>37</v>
      </c>
      <c r="F1071" t="s">
        <v>46</v>
      </c>
      <c r="G1071" t="s">
        <v>38</v>
      </c>
      <c r="H1071" s="1">
        <v>42949</v>
      </c>
      <c r="I1071" s="2">
        <v>8.4</v>
      </c>
      <c r="J1071" t="s">
        <v>39</v>
      </c>
      <c r="K1071" s="3">
        <v>4100</v>
      </c>
      <c r="L1071" t="s">
        <v>58</v>
      </c>
      <c r="M1071">
        <v>3</v>
      </c>
      <c r="N1071">
        <v>4</v>
      </c>
      <c r="O1071">
        <v>27</v>
      </c>
      <c r="P1071" t="s">
        <v>21</v>
      </c>
      <c r="Q1071" s="1"/>
      <c r="U1071">
        <v>1</v>
      </c>
      <c r="V1071">
        <v>1</v>
      </c>
      <c r="W1071">
        <v>0</v>
      </c>
    </row>
    <row r="1072" spans="1:23" ht="16.5" x14ac:dyDescent="0.3">
      <c r="A1072" t="s">
        <v>1139</v>
      </c>
      <c r="B1072" t="s">
        <v>73</v>
      </c>
      <c r="C1072" t="s">
        <v>25</v>
      </c>
      <c r="D1072" t="s">
        <v>26</v>
      </c>
      <c r="E1072">
        <v>26</v>
      </c>
      <c r="F1072" t="s">
        <v>27</v>
      </c>
      <c r="G1072" t="s">
        <v>28</v>
      </c>
      <c r="H1072" s="1">
        <v>44844</v>
      </c>
      <c r="I1072" s="2">
        <v>3.2</v>
      </c>
      <c r="J1072" t="s">
        <v>50</v>
      </c>
      <c r="K1072" s="3">
        <v>3750</v>
      </c>
      <c r="L1072" t="s">
        <v>30</v>
      </c>
      <c r="M1072">
        <v>4</v>
      </c>
      <c r="N1072">
        <v>4</v>
      </c>
      <c r="O1072">
        <v>31</v>
      </c>
      <c r="P1072" t="s">
        <v>21</v>
      </c>
      <c r="Q1072" s="1"/>
      <c r="U1072">
        <v>1</v>
      </c>
      <c r="V1072">
        <v>1</v>
      </c>
      <c r="W1072">
        <v>0</v>
      </c>
    </row>
    <row r="1073" spans="1:23" ht="16.5" x14ac:dyDescent="0.3">
      <c r="A1073" t="s">
        <v>1140</v>
      </c>
      <c r="B1073" t="s">
        <v>70</v>
      </c>
      <c r="C1073" t="s">
        <v>25</v>
      </c>
      <c r="D1073" t="s">
        <v>37</v>
      </c>
      <c r="E1073">
        <v>32</v>
      </c>
      <c r="F1073" t="s">
        <v>27</v>
      </c>
      <c r="G1073" t="s">
        <v>38</v>
      </c>
      <c r="H1073" s="1">
        <v>43969</v>
      </c>
      <c r="I1073" s="2">
        <v>5.6</v>
      </c>
      <c r="J1073" t="s">
        <v>39</v>
      </c>
      <c r="K1073" s="3">
        <v>3700</v>
      </c>
      <c r="L1073" t="s">
        <v>30</v>
      </c>
      <c r="M1073">
        <v>3</v>
      </c>
      <c r="N1073">
        <v>4</v>
      </c>
      <c r="O1073">
        <v>27</v>
      </c>
      <c r="P1073" t="s">
        <v>21</v>
      </c>
      <c r="Q1073" s="1"/>
      <c r="U1073">
        <v>1</v>
      </c>
      <c r="V1073">
        <v>1</v>
      </c>
      <c r="W1073">
        <v>0</v>
      </c>
    </row>
    <row r="1074" spans="1:23" ht="16.5" x14ac:dyDescent="0.3">
      <c r="A1074" t="s">
        <v>1141</v>
      </c>
      <c r="B1074" t="s">
        <v>73</v>
      </c>
      <c r="C1074" t="s">
        <v>25</v>
      </c>
      <c r="D1074" t="s">
        <v>37</v>
      </c>
      <c r="E1074">
        <v>30</v>
      </c>
      <c r="F1074" t="s">
        <v>27</v>
      </c>
      <c r="G1074" t="s">
        <v>38</v>
      </c>
      <c r="H1074" s="1">
        <v>45242</v>
      </c>
      <c r="I1074" s="2">
        <v>2.1</v>
      </c>
      <c r="J1074" t="s">
        <v>29</v>
      </c>
      <c r="K1074" s="3">
        <v>3500</v>
      </c>
      <c r="L1074" t="s">
        <v>30</v>
      </c>
      <c r="M1074">
        <v>4</v>
      </c>
      <c r="N1074">
        <v>3</v>
      </c>
      <c r="O1074">
        <v>25</v>
      </c>
      <c r="P1074" t="s">
        <v>21</v>
      </c>
      <c r="Q1074" s="1"/>
      <c r="U1074">
        <v>1</v>
      </c>
      <c r="V1074">
        <v>1</v>
      </c>
      <c r="W1074">
        <v>0</v>
      </c>
    </row>
    <row r="1075" spans="1:23" ht="16.5" x14ac:dyDescent="0.3">
      <c r="A1075" t="s">
        <v>1142</v>
      </c>
      <c r="B1075" t="s">
        <v>70</v>
      </c>
      <c r="C1075" t="s">
        <v>25</v>
      </c>
      <c r="D1075" t="s">
        <v>37</v>
      </c>
      <c r="E1075">
        <v>21</v>
      </c>
      <c r="F1075" t="s">
        <v>57</v>
      </c>
      <c r="G1075" t="s">
        <v>52</v>
      </c>
      <c r="H1075" s="1">
        <v>45961</v>
      </c>
      <c r="I1075" s="2">
        <v>0.2</v>
      </c>
      <c r="J1075" t="s">
        <v>64</v>
      </c>
      <c r="K1075" s="3">
        <v>3650</v>
      </c>
      <c r="L1075" t="s">
        <v>58</v>
      </c>
      <c r="M1075">
        <v>5</v>
      </c>
      <c r="N1075">
        <v>5</v>
      </c>
      <c r="O1075">
        <v>30</v>
      </c>
      <c r="P1075" t="s">
        <v>21</v>
      </c>
      <c r="Q1075" s="1"/>
      <c r="U1075">
        <v>1</v>
      </c>
      <c r="V1075">
        <v>1</v>
      </c>
      <c r="W1075">
        <v>0</v>
      </c>
    </row>
    <row r="1076" spans="1:23" ht="16.5" x14ac:dyDescent="0.3">
      <c r="A1076" t="s">
        <v>1143</v>
      </c>
      <c r="B1076" t="s">
        <v>35</v>
      </c>
      <c r="C1076" t="s">
        <v>45</v>
      </c>
      <c r="D1076" t="s">
        <v>26</v>
      </c>
      <c r="E1076">
        <v>48</v>
      </c>
      <c r="F1076" t="s">
        <v>88</v>
      </c>
      <c r="G1076" t="s">
        <v>38</v>
      </c>
      <c r="H1076" s="1">
        <v>42972</v>
      </c>
      <c r="I1076" s="2">
        <v>8.4</v>
      </c>
      <c r="J1076" t="s">
        <v>39</v>
      </c>
      <c r="K1076" s="3">
        <v>5650</v>
      </c>
      <c r="L1076" t="s">
        <v>58</v>
      </c>
      <c r="M1076">
        <v>3</v>
      </c>
      <c r="N1076">
        <v>3</v>
      </c>
      <c r="O1076">
        <v>18</v>
      </c>
      <c r="P1076" t="s">
        <v>21</v>
      </c>
      <c r="Q1076" s="1"/>
      <c r="U1076">
        <v>1</v>
      </c>
      <c r="V1076">
        <v>1</v>
      </c>
      <c r="W1076">
        <v>0</v>
      </c>
    </row>
    <row r="1077" spans="1:23" ht="16.5" x14ac:dyDescent="0.3">
      <c r="A1077" t="s">
        <v>1144</v>
      </c>
      <c r="B1077" t="s">
        <v>55</v>
      </c>
      <c r="C1077" t="s">
        <v>36</v>
      </c>
      <c r="D1077" t="s">
        <v>26</v>
      </c>
      <c r="E1077">
        <v>38</v>
      </c>
      <c r="F1077" t="s">
        <v>46</v>
      </c>
      <c r="G1077" t="s">
        <v>28</v>
      </c>
      <c r="H1077" s="1">
        <v>42072</v>
      </c>
      <c r="I1077" s="2">
        <v>10.8</v>
      </c>
      <c r="J1077" t="s">
        <v>39</v>
      </c>
      <c r="K1077" s="3">
        <v>6300</v>
      </c>
      <c r="L1077" t="s">
        <v>30</v>
      </c>
      <c r="M1077">
        <v>3</v>
      </c>
      <c r="N1077">
        <v>4</v>
      </c>
      <c r="O1077">
        <v>27</v>
      </c>
      <c r="P1077" t="s">
        <v>21</v>
      </c>
      <c r="Q1077" s="1"/>
      <c r="U1077">
        <v>1</v>
      </c>
      <c r="V1077">
        <v>1</v>
      </c>
      <c r="W1077">
        <v>0</v>
      </c>
    </row>
    <row r="1078" spans="1:23" ht="16.5" x14ac:dyDescent="0.3">
      <c r="A1078" t="s">
        <v>1145</v>
      </c>
      <c r="B1078" t="s">
        <v>70</v>
      </c>
      <c r="C1078" t="s">
        <v>25</v>
      </c>
      <c r="D1078" t="s">
        <v>37</v>
      </c>
      <c r="E1078">
        <v>37</v>
      </c>
      <c r="F1078" t="s">
        <v>46</v>
      </c>
      <c r="G1078" t="s">
        <v>38</v>
      </c>
      <c r="H1078" s="1">
        <v>45134</v>
      </c>
      <c r="I1078" s="2">
        <v>2.4</v>
      </c>
      <c r="J1078" t="s">
        <v>29</v>
      </c>
      <c r="K1078" s="3">
        <v>4300</v>
      </c>
      <c r="L1078" t="s">
        <v>30</v>
      </c>
      <c r="M1078">
        <v>2</v>
      </c>
      <c r="N1078">
        <v>4</v>
      </c>
      <c r="O1078">
        <v>30</v>
      </c>
      <c r="P1078" t="s">
        <v>21</v>
      </c>
      <c r="Q1078" s="1"/>
      <c r="U1078">
        <v>1</v>
      </c>
      <c r="V1078">
        <v>1</v>
      </c>
      <c r="W1078">
        <v>0</v>
      </c>
    </row>
    <row r="1079" spans="1:23" ht="16.5" x14ac:dyDescent="0.3">
      <c r="A1079" t="s">
        <v>1146</v>
      </c>
      <c r="B1079" t="s">
        <v>70</v>
      </c>
      <c r="C1079" t="s">
        <v>25</v>
      </c>
      <c r="D1079" t="s">
        <v>26</v>
      </c>
      <c r="E1079">
        <v>27</v>
      </c>
      <c r="F1079" t="s">
        <v>27</v>
      </c>
      <c r="G1079" t="s">
        <v>38</v>
      </c>
      <c r="H1079" s="1">
        <v>45490</v>
      </c>
      <c r="I1079" s="2">
        <v>0.8</v>
      </c>
      <c r="J1079" t="s">
        <v>64</v>
      </c>
      <c r="K1079" s="3">
        <v>4600</v>
      </c>
      <c r="L1079" t="s">
        <v>58</v>
      </c>
      <c r="M1079">
        <v>3</v>
      </c>
      <c r="N1079">
        <v>5</v>
      </c>
      <c r="O1079">
        <v>24</v>
      </c>
      <c r="P1079" t="s">
        <v>22</v>
      </c>
      <c r="Q1079" s="1">
        <v>45796</v>
      </c>
      <c r="R1079" t="s">
        <v>40</v>
      </c>
      <c r="S1079" t="s">
        <v>169</v>
      </c>
      <c r="T1079" t="s">
        <v>33</v>
      </c>
      <c r="U1079">
        <v>1</v>
      </c>
      <c r="V1079">
        <v>0</v>
      </c>
      <c r="W1079">
        <v>1</v>
      </c>
    </row>
    <row r="1080" spans="1:23" ht="16.5" x14ac:dyDescent="0.3">
      <c r="A1080" t="s">
        <v>1147</v>
      </c>
      <c r="B1080" t="s">
        <v>48</v>
      </c>
      <c r="C1080" t="s">
        <v>45</v>
      </c>
      <c r="D1080" t="s">
        <v>26</v>
      </c>
      <c r="E1080">
        <v>41</v>
      </c>
      <c r="F1080" t="s">
        <v>46</v>
      </c>
      <c r="G1080" t="s">
        <v>38</v>
      </c>
      <c r="H1080" s="1">
        <v>41657</v>
      </c>
      <c r="I1080" s="2">
        <v>12</v>
      </c>
      <c r="J1080" t="s">
        <v>39</v>
      </c>
      <c r="K1080" s="3">
        <v>11600</v>
      </c>
      <c r="L1080" t="s">
        <v>30</v>
      </c>
      <c r="M1080">
        <v>4</v>
      </c>
      <c r="N1080">
        <v>3</v>
      </c>
      <c r="O1080">
        <v>11</v>
      </c>
      <c r="P1080" t="s">
        <v>21</v>
      </c>
      <c r="Q1080" s="1"/>
      <c r="U1080">
        <v>1</v>
      </c>
      <c r="V1080">
        <v>1</v>
      </c>
      <c r="W1080">
        <v>0</v>
      </c>
    </row>
    <row r="1081" spans="1:23" ht="16.5" x14ac:dyDescent="0.3">
      <c r="A1081" t="s">
        <v>1148</v>
      </c>
      <c r="B1081" t="s">
        <v>24</v>
      </c>
      <c r="C1081" t="s">
        <v>45</v>
      </c>
      <c r="D1081" t="s">
        <v>26</v>
      </c>
      <c r="E1081">
        <v>34</v>
      </c>
      <c r="F1081" t="s">
        <v>27</v>
      </c>
      <c r="G1081" t="s">
        <v>52</v>
      </c>
      <c r="H1081" s="1">
        <v>43485</v>
      </c>
      <c r="I1081" s="2">
        <v>6.9</v>
      </c>
      <c r="J1081" t="s">
        <v>39</v>
      </c>
      <c r="K1081" s="3">
        <v>5850</v>
      </c>
      <c r="L1081" t="s">
        <v>30</v>
      </c>
      <c r="M1081">
        <v>3</v>
      </c>
      <c r="N1081">
        <v>3</v>
      </c>
      <c r="O1081">
        <v>16</v>
      </c>
      <c r="P1081" t="s">
        <v>21</v>
      </c>
      <c r="Q1081" s="1"/>
      <c r="U1081">
        <v>1</v>
      </c>
      <c r="V1081">
        <v>1</v>
      </c>
      <c r="W1081">
        <v>0</v>
      </c>
    </row>
    <row r="1082" spans="1:23" ht="16.5" x14ac:dyDescent="0.3">
      <c r="A1082" t="s">
        <v>1149</v>
      </c>
      <c r="B1082" t="s">
        <v>70</v>
      </c>
      <c r="C1082" t="s">
        <v>45</v>
      </c>
      <c r="D1082" t="s">
        <v>37</v>
      </c>
      <c r="E1082">
        <v>39</v>
      </c>
      <c r="F1082" t="s">
        <v>46</v>
      </c>
      <c r="G1082" t="s">
        <v>38</v>
      </c>
      <c r="H1082" s="1">
        <v>44002</v>
      </c>
      <c r="I1082" s="2">
        <v>5.5</v>
      </c>
      <c r="J1082" t="s">
        <v>39</v>
      </c>
      <c r="K1082" s="3">
        <v>9250</v>
      </c>
      <c r="L1082" t="s">
        <v>30</v>
      </c>
      <c r="M1082">
        <v>4</v>
      </c>
      <c r="N1082">
        <v>3</v>
      </c>
      <c r="O1082">
        <v>26</v>
      </c>
      <c r="P1082" t="s">
        <v>21</v>
      </c>
      <c r="Q1082" s="1"/>
      <c r="U1082">
        <v>1</v>
      </c>
      <c r="V1082">
        <v>1</v>
      </c>
      <c r="W1082">
        <v>0</v>
      </c>
    </row>
    <row r="1083" spans="1:23" ht="16.5" x14ac:dyDescent="0.3">
      <c r="A1083" t="s">
        <v>1150</v>
      </c>
      <c r="B1083" t="s">
        <v>35</v>
      </c>
      <c r="C1083" t="s">
        <v>36</v>
      </c>
      <c r="D1083" t="s">
        <v>37</v>
      </c>
      <c r="E1083">
        <v>39</v>
      </c>
      <c r="F1083" t="s">
        <v>46</v>
      </c>
      <c r="G1083" t="s">
        <v>38</v>
      </c>
      <c r="H1083" s="1">
        <v>44127</v>
      </c>
      <c r="I1083" s="2">
        <v>4.2</v>
      </c>
      <c r="J1083" t="s">
        <v>50</v>
      </c>
      <c r="K1083" s="3">
        <v>4750</v>
      </c>
      <c r="L1083" t="s">
        <v>58</v>
      </c>
      <c r="M1083">
        <v>2</v>
      </c>
      <c r="N1083">
        <v>3</v>
      </c>
      <c r="O1083">
        <v>40</v>
      </c>
      <c r="P1083" t="s">
        <v>22</v>
      </c>
      <c r="Q1083" s="1">
        <v>45653</v>
      </c>
      <c r="R1083" t="s">
        <v>31</v>
      </c>
      <c r="S1083" t="s">
        <v>92</v>
      </c>
      <c r="T1083" t="s">
        <v>42</v>
      </c>
      <c r="U1083">
        <v>1</v>
      </c>
      <c r="V1083">
        <v>0</v>
      </c>
      <c r="W1083">
        <v>1</v>
      </c>
    </row>
    <row r="1084" spans="1:23" ht="16.5" x14ac:dyDescent="0.3">
      <c r="A1084" t="s">
        <v>1151</v>
      </c>
      <c r="B1084" t="s">
        <v>55</v>
      </c>
      <c r="C1084" t="s">
        <v>25</v>
      </c>
      <c r="D1084" t="s">
        <v>37</v>
      </c>
      <c r="E1084">
        <v>35</v>
      </c>
      <c r="F1084" t="s">
        <v>27</v>
      </c>
      <c r="G1084" t="s">
        <v>52</v>
      </c>
      <c r="H1084" s="1">
        <v>45359</v>
      </c>
      <c r="I1084" s="2">
        <v>1.5</v>
      </c>
      <c r="J1084" t="s">
        <v>29</v>
      </c>
      <c r="K1084" s="3">
        <v>5200</v>
      </c>
      <c r="L1084" t="s">
        <v>58</v>
      </c>
      <c r="M1084">
        <v>3</v>
      </c>
      <c r="N1084">
        <v>2</v>
      </c>
      <c r="O1084">
        <v>32</v>
      </c>
      <c r="P1084" t="s">
        <v>22</v>
      </c>
      <c r="Q1084" s="1">
        <v>45908</v>
      </c>
      <c r="R1084" t="s">
        <v>40</v>
      </c>
      <c r="S1084" t="s">
        <v>259</v>
      </c>
      <c r="T1084" t="s">
        <v>42</v>
      </c>
      <c r="U1084">
        <v>1</v>
      </c>
      <c r="V1084">
        <v>0</v>
      </c>
      <c r="W1084">
        <v>1</v>
      </c>
    </row>
    <row r="1085" spans="1:23" ht="16.5" x14ac:dyDescent="0.3">
      <c r="A1085" t="s">
        <v>1152</v>
      </c>
      <c r="B1085" t="s">
        <v>44</v>
      </c>
      <c r="C1085" t="s">
        <v>25</v>
      </c>
      <c r="D1085" t="s">
        <v>37</v>
      </c>
      <c r="E1085">
        <v>36</v>
      </c>
      <c r="F1085" t="s">
        <v>46</v>
      </c>
      <c r="G1085" t="s">
        <v>28</v>
      </c>
      <c r="H1085" s="1">
        <v>44714</v>
      </c>
      <c r="I1085" s="2">
        <v>2.4</v>
      </c>
      <c r="J1085" t="s">
        <v>29</v>
      </c>
      <c r="K1085" s="3">
        <v>5400</v>
      </c>
      <c r="L1085" t="s">
        <v>30</v>
      </c>
      <c r="M1085">
        <v>3</v>
      </c>
      <c r="N1085">
        <v>4</v>
      </c>
      <c r="O1085">
        <v>22</v>
      </c>
      <c r="P1085" t="s">
        <v>22</v>
      </c>
      <c r="Q1085" s="1">
        <v>45575</v>
      </c>
      <c r="R1085" t="s">
        <v>31</v>
      </c>
      <c r="S1085" t="s">
        <v>206</v>
      </c>
      <c r="T1085" t="s">
        <v>85</v>
      </c>
      <c r="U1085">
        <v>1</v>
      </c>
      <c r="V1085">
        <v>0</v>
      </c>
      <c r="W1085">
        <v>1</v>
      </c>
    </row>
    <row r="1086" spans="1:23" ht="16.5" x14ac:dyDescent="0.3">
      <c r="A1086" t="s">
        <v>1153</v>
      </c>
      <c r="B1086" t="s">
        <v>24</v>
      </c>
      <c r="C1086" t="s">
        <v>25</v>
      </c>
      <c r="D1086" t="s">
        <v>26</v>
      </c>
      <c r="E1086">
        <v>22</v>
      </c>
      <c r="F1086" t="s">
        <v>57</v>
      </c>
      <c r="G1086" t="s">
        <v>28</v>
      </c>
      <c r="H1086" s="1">
        <v>45895</v>
      </c>
      <c r="I1086" s="2">
        <v>0.3</v>
      </c>
      <c r="J1086" t="s">
        <v>64</v>
      </c>
      <c r="K1086" s="3">
        <v>2650</v>
      </c>
      <c r="L1086" t="s">
        <v>30</v>
      </c>
      <c r="M1086">
        <v>3</v>
      </c>
      <c r="N1086">
        <v>3</v>
      </c>
      <c r="O1086">
        <v>32</v>
      </c>
      <c r="P1086" t="s">
        <v>21</v>
      </c>
      <c r="Q1086" s="1"/>
      <c r="U1086">
        <v>1</v>
      </c>
      <c r="V1086">
        <v>1</v>
      </c>
      <c r="W1086">
        <v>0</v>
      </c>
    </row>
    <row r="1087" spans="1:23" ht="16.5" x14ac:dyDescent="0.3">
      <c r="A1087" t="s">
        <v>1154</v>
      </c>
      <c r="B1087" t="s">
        <v>70</v>
      </c>
      <c r="C1087" t="s">
        <v>25</v>
      </c>
      <c r="D1087" t="s">
        <v>37</v>
      </c>
      <c r="E1087">
        <v>21</v>
      </c>
      <c r="F1087" t="s">
        <v>57</v>
      </c>
      <c r="G1087" t="s">
        <v>38</v>
      </c>
      <c r="H1087" s="1">
        <v>45995</v>
      </c>
      <c r="I1087" s="2">
        <v>0.1</v>
      </c>
      <c r="J1087" t="s">
        <v>64</v>
      </c>
      <c r="K1087" s="3">
        <v>3800</v>
      </c>
      <c r="L1087" t="s">
        <v>58</v>
      </c>
      <c r="M1087">
        <v>4</v>
      </c>
      <c r="N1087">
        <v>3</v>
      </c>
      <c r="O1087">
        <v>31</v>
      </c>
      <c r="P1087" t="s">
        <v>21</v>
      </c>
      <c r="Q1087" s="1"/>
      <c r="U1087">
        <v>1</v>
      </c>
      <c r="V1087">
        <v>1</v>
      </c>
      <c r="W1087">
        <v>0</v>
      </c>
    </row>
    <row r="1088" spans="1:23" ht="16.5" x14ac:dyDescent="0.3">
      <c r="A1088" t="s">
        <v>1155</v>
      </c>
      <c r="B1088" t="s">
        <v>44</v>
      </c>
      <c r="C1088" t="s">
        <v>36</v>
      </c>
      <c r="D1088" t="s">
        <v>26</v>
      </c>
      <c r="E1088">
        <v>36</v>
      </c>
      <c r="F1088" t="s">
        <v>46</v>
      </c>
      <c r="G1088" t="s">
        <v>28</v>
      </c>
      <c r="H1088" s="1">
        <v>43784</v>
      </c>
      <c r="I1088" s="2">
        <v>5.4</v>
      </c>
      <c r="J1088" t="s">
        <v>39</v>
      </c>
      <c r="K1088" s="3">
        <v>7150</v>
      </c>
      <c r="L1088" t="s">
        <v>58</v>
      </c>
      <c r="M1088">
        <v>3</v>
      </c>
      <c r="N1088">
        <v>5</v>
      </c>
      <c r="O1088">
        <v>26</v>
      </c>
      <c r="P1088" t="s">
        <v>22</v>
      </c>
      <c r="Q1088" s="1">
        <v>45769</v>
      </c>
      <c r="R1088" t="s">
        <v>40</v>
      </c>
      <c r="S1088" t="s">
        <v>153</v>
      </c>
      <c r="T1088" t="s">
        <v>60</v>
      </c>
      <c r="U1088">
        <v>1</v>
      </c>
      <c r="V1088">
        <v>0</v>
      </c>
      <c r="W1088">
        <v>1</v>
      </c>
    </row>
    <row r="1089" spans="1:23" ht="16.5" x14ac:dyDescent="0.3">
      <c r="A1089" t="s">
        <v>1156</v>
      </c>
      <c r="B1089" t="s">
        <v>24</v>
      </c>
      <c r="C1089" t="s">
        <v>25</v>
      </c>
      <c r="D1089" t="s">
        <v>37</v>
      </c>
      <c r="E1089">
        <v>21</v>
      </c>
      <c r="F1089" t="s">
        <v>57</v>
      </c>
      <c r="G1089" t="s">
        <v>38</v>
      </c>
      <c r="H1089" s="1">
        <v>45959</v>
      </c>
      <c r="I1089" s="2">
        <v>0</v>
      </c>
      <c r="J1089" t="s">
        <v>64</v>
      </c>
      <c r="K1089" s="3">
        <v>3350</v>
      </c>
      <c r="L1089" t="s">
        <v>58</v>
      </c>
      <c r="M1089">
        <v>4</v>
      </c>
      <c r="N1089">
        <v>5</v>
      </c>
      <c r="O1089">
        <v>5</v>
      </c>
      <c r="P1089" t="s">
        <v>22</v>
      </c>
      <c r="Q1089" s="1">
        <v>45970</v>
      </c>
      <c r="R1089" t="s">
        <v>40</v>
      </c>
      <c r="S1089" t="s">
        <v>182</v>
      </c>
      <c r="T1089" t="s">
        <v>60</v>
      </c>
      <c r="U1089">
        <v>1</v>
      </c>
      <c r="V1089">
        <v>0</v>
      </c>
      <c r="W1089">
        <v>1</v>
      </c>
    </row>
    <row r="1090" spans="1:23" ht="16.5" x14ac:dyDescent="0.3">
      <c r="A1090" t="s">
        <v>1157</v>
      </c>
      <c r="B1090" t="s">
        <v>55</v>
      </c>
      <c r="C1090" t="s">
        <v>45</v>
      </c>
      <c r="D1090" t="s">
        <v>26</v>
      </c>
      <c r="E1090">
        <v>40</v>
      </c>
      <c r="F1090" t="s">
        <v>46</v>
      </c>
      <c r="G1090" t="s">
        <v>38</v>
      </c>
      <c r="H1090" s="1">
        <v>41083</v>
      </c>
      <c r="I1090" s="2">
        <v>13.5</v>
      </c>
      <c r="J1090" t="s">
        <v>39</v>
      </c>
      <c r="K1090" s="3">
        <v>6900</v>
      </c>
      <c r="L1090" t="s">
        <v>58</v>
      </c>
      <c r="M1090">
        <v>2</v>
      </c>
      <c r="N1090">
        <v>5</v>
      </c>
      <c r="O1090">
        <v>37</v>
      </c>
      <c r="P1090" t="s">
        <v>21</v>
      </c>
      <c r="Q1090" s="1"/>
      <c r="U1090">
        <v>1</v>
      </c>
      <c r="V1090">
        <v>1</v>
      </c>
      <c r="W1090">
        <v>0</v>
      </c>
    </row>
    <row r="1091" spans="1:23" ht="16.5" x14ac:dyDescent="0.3">
      <c r="A1091" t="s">
        <v>1158</v>
      </c>
      <c r="B1091" t="s">
        <v>24</v>
      </c>
      <c r="C1091" t="s">
        <v>25</v>
      </c>
      <c r="D1091" t="s">
        <v>26</v>
      </c>
      <c r="E1091">
        <v>34</v>
      </c>
      <c r="F1091" t="s">
        <v>27</v>
      </c>
      <c r="G1091" t="s">
        <v>28</v>
      </c>
      <c r="H1091" s="1">
        <v>42301</v>
      </c>
      <c r="I1091" s="2">
        <v>10.199999999999999</v>
      </c>
      <c r="J1091" t="s">
        <v>39</v>
      </c>
      <c r="K1091" s="3">
        <v>2400</v>
      </c>
      <c r="L1091" t="s">
        <v>30</v>
      </c>
      <c r="M1091">
        <v>4</v>
      </c>
      <c r="N1091">
        <v>4</v>
      </c>
      <c r="O1091">
        <v>31</v>
      </c>
      <c r="P1091" t="s">
        <v>21</v>
      </c>
      <c r="Q1091" s="1"/>
      <c r="U1091">
        <v>1</v>
      </c>
      <c r="V1091">
        <v>1</v>
      </c>
      <c r="W1091">
        <v>0</v>
      </c>
    </row>
    <row r="1092" spans="1:23" ht="16.5" x14ac:dyDescent="0.3">
      <c r="A1092" t="s">
        <v>1159</v>
      </c>
      <c r="B1092" t="s">
        <v>24</v>
      </c>
      <c r="C1092" t="s">
        <v>25</v>
      </c>
      <c r="D1092" t="s">
        <v>37</v>
      </c>
      <c r="E1092">
        <v>28</v>
      </c>
      <c r="F1092" t="s">
        <v>27</v>
      </c>
      <c r="G1092" t="s">
        <v>28</v>
      </c>
      <c r="H1092" s="1">
        <v>45438</v>
      </c>
      <c r="I1092" s="2">
        <v>1.6</v>
      </c>
      <c r="J1092" t="s">
        <v>29</v>
      </c>
      <c r="K1092" s="3">
        <v>2900</v>
      </c>
      <c r="L1092" t="s">
        <v>30</v>
      </c>
      <c r="M1092">
        <v>4</v>
      </c>
      <c r="N1092">
        <v>3</v>
      </c>
      <c r="O1092">
        <v>16</v>
      </c>
      <c r="P1092" t="s">
        <v>21</v>
      </c>
      <c r="Q1092" s="1"/>
      <c r="U1092">
        <v>1</v>
      </c>
      <c r="V1092">
        <v>1</v>
      </c>
      <c r="W1092">
        <v>0</v>
      </c>
    </row>
    <row r="1093" spans="1:23" ht="16.5" x14ac:dyDescent="0.3">
      <c r="A1093" t="s">
        <v>1160</v>
      </c>
      <c r="B1093" t="s">
        <v>55</v>
      </c>
      <c r="C1093" t="s">
        <v>36</v>
      </c>
      <c r="D1093" t="s">
        <v>37</v>
      </c>
      <c r="E1093">
        <v>33</v>
      </c>
      <c r="F1093" t="s">
        <v>27</v>
      </c>
      <c r="G1093" t="s">
        <v>28</v>
      </c>
      <c r="H1093" s="1">
        <v>44157</v>
      </c>
      <c r="I1093" s="2">
        <v>5.0999999999999996</v>
      </c>
      <c r="J1093" t="s">
        <v>39</v>
      </c>
      <c r="K1093" s="3">
        <v>5900</v>
      </c>
      <c r="L1093" t="s">
        <v>30</v>
      </c>
      <c r="M1093">
        <v>3</v>
      </c>
      <c r="N1093">
        <v>2</v>
      </c>
      <c r="O1093">
        <v>21</v>
      </c>
      <c r="P1093" t="s">
        <v>21</v>
      </c>
      <c r="Q1093" s="1"/>
      <c r="U1093">
        <v>1</v>
      </c>
      <c r="V1093">
        <v>1</v>
      </c>
      <c r="W1093">
        <v>0</v>
      </c>
    </row>
    <row r="1094" spans="1:23" ht="16.5" x14ac:dyDescent="0.3">
      <c r="A1094" t="s">
        <v>1161</v>
      </c>
      <c r="B1094" t="s">
        <v>70</v>
      </c>
      <c r="C1094" t="s">
        <v>25</v>
      </c>
      <c r="D1094" t="s">
        <v>37</v>
      </c>
      <c r="E1094">
        <v>21</v>
      </c>
      <c r="F1094" t="s">
        <v>57</v>
      </c>
      <c r="G1094" t="s">
        <v>38</v>
      </c>
      <c r="H1094" s="1">
        <v>45970</v>
      </c>
      <c r="I1094" s="2">
        <v>0.1</v>
      </c>
      <c r="J1094" t="s">
        <v>64</v>
      </c>
      <c r="K1094" s="3">
        <v>4500</v>
      </c>
      <c r="L1094" t="s">
        <v>58</v>
      </c>
      <c r="M1094">
        <v>4</v>
      </c>
      <c r="N1094">
        <v>5</v>
      </c>
      <c r="O1094">
        <v>31</v>
      </c>
      <c r="P1094" t="s">
        <v>21</v>
      </c>
      <c r="Q1094" s="1"/>
      <c r="U1094">
        <v>1</v>
      </c>
      <c r="V1094">
        <v>1</v>
      </c>
      <c r="W1094">
        <v>0</v>
      </c>
    </row>
    <row r="1095" spans="1:23" ht="16.5" x14ac:dyDescent="0.3">
      <c r="A1095" t="s">
        <v>1162</v>
      </c>
      <c r="B1095" t="s">
        <v>70</v>
      </c>
      <c r="C1095" t="s">
        <v>36</v>
      </c>
      <c r="D1095" t="s">
        <v>26</v>
      </c>
      <c r="E1095">
        <v>29</v>
      </c>
      <c r="F1095" t="s">
        <v>27</v>
      </c>
      <c r="G1095" t="s">
        <v>38</v>
      </c>
      <c r="H1095" s="1">
        <v>43844</v>
      </c>
      <c r="I1095" s="2">
        <v>6</v>
      </c>
      <c r="J1095" t="s">
        <v>39</v>
      </c>
      <c r="K1095" s="3">
        <v>5000</v>
      </c>
      <c r="L1095" t="s">
        <v>30</v>
      </c>
      <c r="M1095">
        <v>5</v>
      </c>
      <c r="N1095">
        <v>4</v>
      </c>
      <c r="O1095">
        <v>32</v>
      </c>
      <c r="P1095" t="s">
        <v>21</v>
      </c>
      <c r="Q1095" s="1"/>
      <c r="U1095">
        <v>1</v>
      </c>
      <c r="V1095">
        <v>1</v>
      </c>
      <c r="W1095">
        <v>0</v>
      </c>
    </row>
    <row r="1096" spans="1:23" ht="16.5" x14ac:dyDescent="0.3">
      <c r="A1096" t="s">
        <v>1163</v>
      </c>
      <c r="B1096" t="s">
        <v>70</v>
      </c>
      <c r="C1096" t="s">
        <v>87</v>
      </c>
      <c r="D1096" t="s">
        <v>37</v>
      </c>
      <c r="E1096">
        <v>44</v>
      </c>
      <c r="F1096" t="s">
        <v>46</v>
      </c>
      <c r="G1096" t="s">
        <v>38</v>
      </c>
      <c r="H1096" s="1">
        <v>42312</v>
      </c>
      <c r="I1096" s="2">
        <v>10.199999999999999</v>
      </c>
      <c r="J1096" t="s">
        <v>39</v>
      </c>
      <c r="K1096" s="3">
        <v>8300</v>
      </c>
      <c r="L1096" t="s">
        <v>30</v>
      </c>
      <c r="M1096">
        <v>4</v>
      </c>
      <c r="N1096">
        <v>3</v>
      </c>
      <c r="O1096">
        <v>13</v>
      </c>
      <c r="P1096" t="s">
        <v>21</v>
      </c>
      <c r="Q1096" s="1"/>
      <c r="U1096">
        <v>1</v>
      </c>
      <c r="V1096">
        <v>1</v>
      </c>
      <c r="W1096">
        <v>0</v>
      </c>
    </row>
    <row r="1097" spans="1:23" ht="16.5" x14ac:dyDescent="0.3">
      <c r="A1097" t="s">
        <v>1164</v>
      </c>
      <c r="B1097" t="s">
        <v>44</v>
      </c>
      <c r="C1097" t="s">
        <v>36</v>
      </c>
      <c r="D1097" t="s">
        <v>37</v>
      </c>
      <c r="E1097">
        <v>32</v>
      </c>
      <c r="F1097" t="s">
        <v>27</v>
      </c>
      <c r="G1097" t="s">
        <v>28</v>
      </c>
      <c r="H1097" s="1">
        <v>42908</v>
      </c>
      <c r="I1097" s="2">
        <v>8.5</v>
      </c>
      <c r="J1097" t="s">
        <v>39</v>
      </c>
      <c r="K1097" s="3">
        <v>6600</v>
      </c>
      <c r="L1097" t="s">
        <v>30</v>
      </c>
      <c r="M1097">
        <v>5</v>
      </c>
      <c r="N1097">
        <v>3</v>
      </c>
      <c r="O1097">
        <v>14</v>
      </c>
      <c r="P1097" t="s">
        <v>21</v>
      </c>
      <c r="Q1097" s="1"/>
      <c r="U1097">
        <v>1</v>
      </c>
      <c r="V1097">
        <v>1</v>
      </c>
      <c r="W1097">
        <v>0</v>
      </c>
    </row>
    <row r="1098" spans="1:23" ht="16.5" x14ac:dyDescent="0.3">
      <c r="A1098" t="s">
        <v>1165</v>
      </c>
      <c r="B1098" t="s">
        <v>48</v>
      </c>
      <c r="C1098" t="s">
        <v>36</v>
      </c>
      <c r="D1098" t="s">
        <v>26</v>
      </c>
      <c r="E1098">
        <v>25</v>
      </c>
      <c r="F1098" t="s">
        <v>57</v>
      </c>
      <c r="G1098" t="s">
        <v>28</v>
      </c>
      <c r="H1098" s="1">
        <v>45421</v>
      </c>
      <c r="I1098" s="2">
        <v>1.6</v>
      </c>
      <c r="J1098" t="s">
        <v>29</v>
      </c>
      <c r="K1098" s="3">
        <v>7650</v>
      </c>
      <c r="L1098" t="s">
        <v>30</v>
      </c>
      <c r="M1098">
        <v>5</v>
      </c>
      <c r="N1098">
        <v>4</v>
      </c>
      <c r="O1098">
        <v>19</v>
      </c>
      <c r="P1098" t="s">
        <v>21</v>
      </c>
      <c r="Q1098" s="1"/>
      <c r="U1098">
        <v>1</v>
      </c>
      <c r="V1098">
        <v>1</v>
      </c>
      <c r="W1098">
        <v>0</v>
      </c>
    </row>
    <row r="1099" spans="1:23" ht="16.5" x14ac:dyDescent="0.3">
      <c r="A1099" t="s">
        <v>1166</v>
      </c>
      <c r="B1099" t="s">
        <v>55</v>
      </c>
      <c r="C1099" t="s">
        <v>25</v>
      </c>
      <c r="D1099" t="s">
        <v>37</v>
      </c>
      <c r="E1099">
        <v>21</v>
      </c>
      <c r="F1099" t="s">
        <v>57</v>
      </c>
      <c r="G1099" t="s">
        <v>28</v>
      </c>
      <c r="H1099" s="1">
        <v>46004</v>
      </c>
      <c r="I1099" s="2">
        <v>0</v>
      </c>
      <c r="J1099" t="s">
        <v>64</v>
      </c>
      <c r="K1099" s="3">
        <v>4600</v>
      </c>
      <c r="L1099" t="s">
        <v>30</v>
      </c>
      <c r="M1099">
        <v>3</v>
      </c>
      <c r="N1099">
        <v>3</v>
      </c>
      <c r="O1099">
        <v>27</v>
      </c>
      <c r="P1099" t="s">
        <v>22</v>
      </c>
      <c r="Q1099" s="1">
        <v>46017</v>
      </c>
      <c r="R1099" t="s">
        <v>40</v>
      </c>
      <c r="S1099" t="s">
        <v>92</v>
      </c>
      <c r="T1099" t="s">
        <v>42</v>
      </c>
      <c r="U1099">
        <v>1</v>
      </c>
      <c r="V1099">
        <v>0</v>
      </c>
      <c r="W1099">
        <v>1</v>
      </c>
    </row>
    <row r="1100" spans="1:23" ht="16.5" x14ac:dyDescent="0.3">
      <c r="A1100" t="s">
        <v>1167</v>
      </c>
      <c r="B1100" t="s">
        <v>24</v>
      </c>
      <c r="C1100" t="s">
        <v>36</v>
      </c>
      <c r="D1100" t="s">
        <v>37</v>
      </c>
      <c r="E1100">
        <v>32</v>
      </c>
      <c r="F1100" t="s">
        <v>27</v>
      </c>
      <c r="G1100" t="s">
        <v>28</v>
      </c>
      <c r="H1100" s="1">
        <v>43669</v>
      </c>
      <c r="I1100" s="2">
        <v>6.4</v>
      </c>
      <c r="J1100" t="s">
        <v>39</v>
      </c>
      <c r="K1100" s="3">
        <v>3450</v>
      </c>
      <c r="L1100" t="s">
        <v>30</v>
      </c>
      <c r="M1100">
        <v>5</v>
      </c>
      <c r="N1100">
        <v>5</v>
      </c>
      <c r="O1100">
        <v>19</v>
      </c>
      <c r="P1100" t="s">
        <v>21</v>
      </c>
      <c r="Q1100" s="1"/>
      <c r="U1100">
        <v>1</v>
      </c>
      <c r="V1100">
        <v>1</v>
      </c>
      <c r="W1100">
        <v>0</v>
      </c>
    </row>
    <row r="1101" spans="1:23" ht="16.5" x14ac:dyDescent="0.3">
      <c r="A1101" t="s">
        <v>1168</v>
      </c>
      <c r="B1101" t="s">
        <v>35</v>
      </c>
      <c r="C1101" t="s">
        <v>25</v>
      </c>
      <c r="D1101" t="s">
        <v>37</v>
      </c>
      <c r="E1101">
        <v>37</v>
      </c>
      <c r="F1101" t="s">
        <v>46</v>
      </c>
      <c r="G1101" t="s">
        <v>38</v>
      </c>
      <c r="H1101" s="1">
        <v>41822</v>
      </c>
      <c r="I1101" s="2">
        <v>10</v>
      </c>
      <c r="J1101" t="s">
        <v>39</v>
      </c>
      <c r="K1101" s="3">
        <v>2650</v>
      </c>
      <c r="L1101" t="s">
        <v>58</v>
      </c>
      <c r="M1101">
        <v>3</v>
      </c>
      <c r="N1101">
        <v>4</v>
      </c>
      <c r="O1101">
        <v>27</v>
      </c>
      <c r="P1101" t="s">
        <v>22</v>
      </c>
      <c r="Q1101" s="1">
        <v>45473</v>
      </c>
      <c r="R1101" t="s">
        <v>31</v>
      </c>
      <c r="S1101" t="s">
        <v>32</v>
      </c>
      <c r="T1101" t="s">
        <v>60</v>
      </c>
      <c r="U1101">
        <v>1</v>
      </c>
      <c r="V1101">
        <v>0</v>
      </c>
      <c r="W1101">
        <v>1</v>
      </c>
    </row>
    <row r="1102" spans="1:23" ht="16.5" x14ac:dyDescent="0.3">
      <c r="A1102" t="s">
        <v>1169</v>
      </c>
      <c r="B1102" t="s">
        <v>73</v>
      </c>
      <c r="C1102" t="s">
        <v>25</v>
      </c>
      <c r="D1102" t="s">
        <v>26</v>
      </c>
      <c r="E1102">
        <v>33</v>
      </c>
      <c r="F1102" t="s">
        <v>27</v>
      </c>
      <c r="G1102" t="s">
        <v>38</v>
      </c>
      <c r="H1102" s="1">
        <v>45329</v>
      </c>
      <c r="I1102" s="2">
        <v>1.9</v>
      </c>
      <c r="J1102" t="s">
        <v>29</v>
      </c>
      <c r="K1102" s="3">
        <v>3850</v>
      </c>
      <c r="L1102" t="s">
        <v>30</v>
      </c>
      <c r="M1102">
        <v>4</v>
      </c>
      <c r="N1102">
        <v>2</v>
      </c>
      <c r="O1102">
        <v>21</v>
      </c>
      <c r="P1102" t="s">
        <v>21</v>
      </c>
      <c r="Q1102" s="1"/>
      <c r="U1102">
        <v>1</v>
      </c>
      <c r="V1102">
        <v>1</v>
      </c>
      <c r="W1102">
        <v>0</v>
      </c>
    </row>
    <row r="1103" spans="1:23" ht="16.5" x14ac:dyDescent="0.3">
      <c r="A1103" t="s">
        <v>1170</v>
      </c>
      <c r="B1103" t="s">
        <v>44</v>
      </c>
      <c r="C1103" t="s">
        <v>87</v>
      </c>
      <c r="D1103" t="s">
        <v>37</v>
      </c>
      <c r="E1103">
        <v>44</v>
      </c>
      <c r="F1103" t="s">
        <v>46</v>
      </c>
      <c r="G1103" t="s">
        <v>52</v>
      </c>
      <c r="H1103" s="1">
        <v>42606</v>
      </c>
      <c r="I1103" s="2">
        <v>9.4</v>
      </c>
      <c r="J1103" t="s">
        <v>39</v>
      </c>
      <c r="K1103" s="3">
        <v>12850</v>
      </c>
      <c r="L1103" t="s">
        <v>30</v>
      </c>
      <c r="M1103">
        <v>4</v>
      </c>
      <c r="N1103">
        <v>4</v>
      </c>
      <c r="O1103">
        <v>24</v>
      </c>
      <c r="P1103" t="s">
        <v>21</v>
      </c>
      <c r="Q1103" s="1"/>
      <c r="U1103">
        <v>1</v>
      </c>
      <c r="V1103">
        <v>1</v>
      </c>
      <c r="W1103">
        <v>0</v>
      </c>
    </row>
    <row r="1104" spans="1:23" ht="16.5" x14ac:dyDescent="0.3">
      <c r="A1104" t="s">
        <v>1171</v>
      </c>
      <c r="B1104" t="s">
        <v>35</v>
      </c>
      <c r="C1104" t="s">
        <v>36</v>
      </c>
      <c r="D1104" t="s">
        <v>37</v>
      </c>
      <c r="E1104">
        <v>40</v>
      </c>
      <c r="F1104" t="s">
        <v>46</v>
      </c>
      <c r="G1104" t="s">
        <v>38</v>
      </c>
      <c r="H1104" s="1">
        <v>41102</v>
      </c>
      <c r="I1104" s="2">
        <v>13.5</v>
      </c>
      <c r="J1104" t="s">
        <v>39</v>
      </c>
      <c r="K1104" s="3">
        <v>4900</v>
      </c>
      <c r="L1104" t="s">
        <v>58</v>
      </c>
      <c r="M1104">
        <v>4</v>
      </c>
      <c r="N1104">
        <v>3</v>
      </c>
      <c r="O1104">
        <v>47</v>
      </c>
      <c r="P1104" t="s">
        <v>21</v>
      </c>
      <c r="Q1104" s="1"/>
      <c r="U1104">
        <v>1</v>
      </c>
      <c r="V1104">
        <v>1</v>
      </c>
      <c r="W1104">
        <v>0</v>
      </c>
    </row>
    <row r="1105" spans="1:23" ht="16.5" x14ac:dyDescent="0.3">
      <c r="A1105" t="s">
        <v>1172</v>
      </c>
      <c r="B1105" t="s">
        <v>24</v>
      </c>
      <c r="C1105" t="s">
        <v>25</v>
      </c>
      <c r="D1105" t="s">
        <v>37</v>
      </c>
      <c r="E1105">
        <v>21</v>
      </c>
      <c r="F1105" t="s">
        <v>57</v>
      </c>
      <c r="G1105" t="s">
        <v>38</v>
      </c>
      <c r="H1105" s="1">
        <v>45992</v>
      </c>
      <c r="I1105" s="2">
        <v>0.1</v>
      </c>
      <c r="J1105" t="s">
        <v>64</v>
      </c>
      <c r="K1105" s="3">
        <v>2600</v>
      </c>
      <c r="L1105" t="s">
        <v>30</v>
      </c>
      <c r="M1105">
        <v>3</v>
      </c>
      <c r="N1105">
        <v>3</v>
      </c>
      <c r="O1105">
        <v>28</v>
      </c>
      <c r="P1105" t="s">
        <v>21</v>
      </c>
      <c r="Q1105" s="1"/>
      <c r="U1105">
        <v>1</v>
      </c>
      <c r="V1105">
        <v>1</v>
      </c>
      <c r="W1105">
        <v>0</v>
      </c>
    </row>
    <row r="1106" spans="1:23" ht="16.5" x14ac:dyDescent="0.3">
      <c r="A1106" t="s">
        <v>1173</v>
      </c>
      <c r="B1106" t="s">
        <v>48</v>
      </c>
      <c r="C1106" t="s">
        <v>25</v>
      </c>
      <c r="D1106" t="s">
        <v>26</v>
      </c>
      <c r="E1106">
        <v>33</v>
      </c>
      <c r="F1106" t="s">
        <v>27</v>
      </c>
      <c r="G1106" t="s">
        <v>52</v>
      </c>
      <c r="H1106" s="1">
        <v>43277</v>
      </c>
      <c r="I1106" s="2">
        <v>7.5</v>
      </c>
      <c r="J1106" t="s">
        <v>39</v>
      </c>
      <c r="K1106" s="3">
        <v>6100</v>
      </c>
      <c r="L1106" t="s">
        <v>58</v>
      </c>
      <c r="M1106">
        <v>3</v>
      </c>
      <c r="N1106">
        <v>3</v>
      </c>
      <c r="O1106">
        <v>27</v>
      </c>
      <c r="P1106" t="s">
        <v>21</v>
      </c>
      <c r="Q1106" s="1"/>
      <c r="U1106">
        <v>1</v>
      </c>
      <c r="V1106">
        <v>1</v>
      </c>
      <c r="W1106">
        <v>0</v>
      </c>
    </row>
    <row r="1107" spans="1:23" ht="16.5" x14ac:dyDescent="0.3">
      <c r="A1107" t="s">
        <v>1174</v>
      </c>
      <c r="B1107" t="s">
        <v>48</v>
      </c>
      <c r="C1107" t="s">
        <v>25</v>
      </c>
      <c r="D1107" t="s">
        <v>37</v>
      </c>
      <c r="E1107">
        <v>27</v>
      </c>
      <c r="F1107" t="s">
        <v>27</v>
      </c>
      <c r="G1107" t="s">
        <v>38</v>
      </c>
      <c r="H1107" s="1">
        <v>44961</v>
      </c>
      <c r="I1107" s="2">
        <v>2.9</v>
      </c>
      <c r="J1107" t="s">
        <v>29</v>
      </c>
      <c r="K1107" s="3">
        <v>6150</v>
      </c>
      <c r="L1107" t="s">
        <v>30</v>
      </c>
      <c r="M1107">
        <v>2</v>
      </c>
      <c r="N1107">
        <v>3</v>
      </c>
      <c r="O1107">
        <v>29</v>
      </c>
      <c r="P1107" t="s">
        <v>21</v>
      </c>
      <c r="Q1107" s="1"/>
      <c r="U1107">
        <v>1</v>
      </c>
      <c r="V1107">
        <v>1</v>
      </c>
      <c r="W1107">
        <v>0</v>
      </c>
    </row>
    <row r="1108" spans="1:23" ht="16.5" x14ac:dyDescent="0.3">
      <c r="A1108" t="s">
        <v>1175</v>
      </c>
      <c r="B1108" t="s">
        <v>48</v>
      </c>
      <c r="C1108" t="s">
        <v>25</v>
      </c>
      <c r="D1108" t="s">
        <v>26</v>
      </c>
      <c r="E1108">
        <v>28</v>
      </c>
      <c r="F1108" t="s">
        <v>27</v>
      </c>
      <c r="G1108" t="s">
        <v>28</v>
      </c>
      <c r="H1108" s="1">
        <v>44704</v>
      </c>
      <c r="I1108" s="2">
        <v>3.6</v>
      </c>
      <c r="J1108" t="s">
        <v>50</v>
      </c>
      <c r="K1108" s="3">
        <v>4750</v>
      </c>
      <c r="L1108" t="s">
        <v>30</v>
      </c>
      <c r="M1108">
        <v>3</v>
      </c>
      <c r="N1108">
        <v>4</v>
      </c>
      <c r="O1108">
        <v>10</v>
      </c>
      <c r="P1108" t="s">
        <v>21</v>
      </c>
      <c r="Q1108" s="1"/>
      <c r="U1108">
        <v>1</v>
      </c>
      <c r="V1108">
        <v>1</v>
      </c>
      <c r="W1108">
        <v>0</v>
      </c>
    </row>
    <row r="1109" spans="1:23" ht="16.5" x14ac:dyDescent="0.3">
      <c r="A1109" t="s">
        <v>1176</v>
      </c>
      <c r="B1109" t="s">
        <v>70</v>
      </c>
      <c r="C1109" t="s">
        <v>36</v>
      </c>
      <c r="D1109" t="s">
        <v>26</v>
      </c>
      <c r="E1109">
        <v>27</v>
      </c>
      <c r="F1109" t="s">
        <v>27</v>
      </c>
      <c r="G1109" t="s">
        <v>38</v>
      </c>
      <c r="H1109" s="1">
        <v>44720</v>
      </c>
      <c r="I1109" s="2">
        <v>2.5</v>
      </c>
      <c r="J1109" t="s">
        <v>29</v>
      </c>
      <c r="K1109" s="3">
        <v>6450</v>
      </c>
      <c r="L1109" t="s">
        <v>30</v>
      </c>
      <c r="M1109">
        <v>2</v>
      </c>
      <c r="N1109">
        <v>5</v>
      </c>
      <c r="O1109">
        <v>32</v>
      </c>
      <c r="P1109" t="s">
        <v>22</v>
      </c>
      <c r="Q1109" s="1">
        <v>45650</v>
      </c>
      <c r="R1109" t="s">
        <v>31</v>
      </c>
      <c r="S1109" t="s">
        <v>92</v>
      </c>
      <c r="T1109" t="s">
        <v>473</v>
      </c>
      <c r="U1109">
        <v>1</v>
      </c>
      <c r="V1109">
        <v>0</v>
      </c>
      <c r="W1109">
        <v>1</v>
      </c>
    </row>
    <row r="1110" spans="1:23" ht="16.5" x14ac:dyDescent="0.3">
      <c r="A1110" t="s">
        <v>1177</v>
      </c>
      <c r="B1110" t="s">
        <v>35</v>
      </c>
      <c r="C1110" t="s">
        <v>45</v>
      </c>
      <c r="D1110" t="s">
        <v>37</v>
      </c>
      <c r="E1110">
        <v>46</v>
      </c>
      <c r="F1110" t="s">
        <v>88</v>
      </c>
      <c r="G1110" t="s">
        <v>28</v>
      </c>
      <c r="H1110" s="1">
        <v>41351</v>
      </c>
      <c r="I1110" s="2">
        <v>12.2</v>
      </c>
      <c r="J1110" t="s">
        <v>39</v>
      </c>
      <c r="K1110" s="3">
        <v>5450</v>
      </c>
      <c r="L1110" t="s">
        <v>58</v>
      </c>
      <c r="M1110">
        <v>1</v>
      </c>
      <c r="N1110">
        <v>3</v>
      </c>
      <c r="O1110">
        <v>6</v>
      </c>
      <c r="P1110" t="s">
        <v>22</v>
      </c>
      <c r="Q1110" s="1">
        <v>45795</v>
      </c>
      <c r="R1110" t="s">
        <v>40</v>
      </c>
      <c r="S1110" t="s">
        <v>169</v>
      </c>
      <c r="T1110" t="s">
        <v>33</v>
      </c>
      <c r="U1110">
        <v>1</v>
      </c>
      <c r="V1110">
        <v>0</v>
      </c>
      <c r="W1110">
        <v>1</v>
      </c>
    </row>
    <row r="1111" spans="1:23" ht="16.5" x14ac:dyDescent="0.3">
      <c r="A1111" t="s">
        <v>1178</v>
      </c>
      <c r="B1111" t="s">
        <v>55</v>
      </c>
      <c r="C1111" t="s">
        <v>25</v>
      </c>
      <c r="D1111" t="s">
        <v>26</v>
      </c>
      <c r="E1111">
        <v>27</v>
      </c>
      <c r="F1111" t="s">
        <v>27</v>
      </c>
      <c r="G1111" t="s">
        <v>28</v>
      </c>
      <c r="H1111" s="1">
        <v>45680</v>
      </c>
      <c r="I1111" s="2">
        <v>0.9</v>
      </c>
      <c r="J1111" t="s">
        <v>64</v>
      </c>
      <c r="K1111" s="3">
        <v>4000</v>
      </c>
      <c r="L1111" t="s">
        <v>58</v>
      </c>
      <c r="M1111">
        <v>3</v>
      </c>
      <c r="N1111">
        <v>4</v>
      </c>
      <c r="O1111">
        <v>28</v>
      </c>
      <c r="P1111" t="s">
        <v>21</v>
      </c>
      <c r="Q1111" s="1"/>
      <c r="U1111">
        <v>1</v>
      </c>
      <c r="V1111">
        <v>1</v>
      </c>
      <c r="W1111">
        <v>0</v>
      </c>
    </row>
    <row r="1112" spans="1:23" ht="16.5" x14ac:dyDescent="0.3">
      <c r="A1112" t="s">
        <v>1179</v>
      </c>
      <c r="B1112" t="s">
        <v>55</v>
      </c>
      <c r="C1112" t="s">
        <v>36</v>
      </c>
      <c r="D1112" t="s">
        <v>37</v>
      </c>
      <c r="E1112">
        <v>27</v>
      </c>
      <c r="F1112" t="s">
        <v>27</v>
      </c>
      <c r="G1112" t="s">
        <v>52</v>
      </c>
      <c r="H1112" s="1">
        <v>44961</v>
      </c>
      <c r="I1112" s="2">
        <v>2.9</v>
      </c>
      <c r="J1112" t="s">
        <v>29</v>
      </c>
      <c r="K1112" s="3">
        <v>4900</v>
      </c>
      <c r="L1112" t="s">
        <v>58</v>
      </c>
      <c r="M1112">
        <v>3</v>
      </c>
      <c r="N1112">
        <v>4</v>
      </c>
      <c r="O1112">
        <v>30</v>
      </c>
      <c r="P1112" t="s">
        <v>21</v>
      </c>
      <c r="Q1112" s="1"/>
      <c r="U1112">
        <v>1</v>
      </c>
      <c r="V1112">
        <v>1</v>
      </c>
      <c r="W1112">
        <v>0</v>
      </c>
    </row>
    <row r="1113" spans="1:23" ht="16.5" x14ac:dyDescent="0.3">
      <c r="A1113" t="s">
        <v>1180</v>
      </c>
      <c r="B1113" t="s">
        <v>73</v>
      </c>
      <c r="C1113" t="s">
        <v>25</v>
      </c>
      <c r="D1113" t="s">
        <v>26</v>
      </c>
      <c r="E1113">
        <v>26</v>
      </c>
      <c r="F1113" t="s">
        <v>27</v>
      </c>
      <c r="G1113" t="s">
        <v>38</v>
      </c>
      <c r="H1113" s="1">
        <v>45057</v>
      </c>
      <c r="I1113" s="2">
        <v>2.6</v>
      </c>
      <c r="J1113" t="s">
        <v>29</v>
      </c>
      <c r="K1113" s="3">
        <v>4250</v>
      </c>
      <c r="L1113" t="s">
        <v>30</v>
      </c>
      <c r="M1113">
        <v>3</v>
      </c>
      <c r="N1113">
        <v>3</v>
      </c>
      <c r="O1113">
        <v>29</v>
      </c>
      <c r="P1113" t="s">
        <v>21</v>
      </c>
      <c r="Q1113" s="1"/>
      <c r="U1113">
        <v>1</v>
      </c>
      <c r="V1113">
        <v>1</v>
      </c>
      <c r="W1113">
        <v>0</v>
      </c>
    </row>
    <row r="1114" spans="1:23" ht="16.5" x14ac:dyDescent="0.3">
      <c r="A1114" t="s">
        <v>1181</v>
      </c>
      <c r="B1114" t="s">
        <v>35</v>
      </c>
      <c r="C1114" t="s">
        <v>25</v>
      </c>
      <c r="D1114" t="s">
        <v>26</v>
      </c>
      <c r="E1114">
        <v>21</v>
      </c>
      <c r="F1114" t="s">
        <v>57</v>
      </c>
      <c r="G1114" t="s">
        <v>38</v>
      </c>
      <c r="H1114" s="1">
        <v>45995</v>
      </c>
      <c r="I1114" s="2">
        <v>0.1</v>
      </c>
      <c r="J1114" t="s">
        <v>64</v>
      </c>
      <c r="K1114" s="3">
        <v>3500</v>
      </c>
      <c r="L1114" t="s">
        <v>30</v>
      </c>
      <c r="M1114">
        <v>3</v>
      </c>
      <c r="N1114">
        <v>5</v>
      </c>
      <c r="O1114">
        <v>11</v>
      </c>
      <c r="P1114" t="s">
        <v>21</v>
      </c>
      <c r="Q1114" s="1"/>
      <c r="U1114">
        <v>1</v>
      </c>
      <c r="V1114">
        <v>1</v>
      </c>
      <c r="W1114">
        <v>0</v>
      </c>
    </row>
    <row r="1115" spans="1:23" ht="16.5" x14ac:dyDescent="0.3">
      <c r="A1115" t="s">
        <v>1182</v>
      </c>
      <c r="B1115" t="s">
        <v>35</v>
      </c>
      <c r="C1115" t="s">
        <v>87</v>
      </c>
      <c r="D1115" t="s">
        <v>37</v>
      </c>
      <c r="E1115">
        <v>46</v>
      </c>
      <c r="F1115" t="s">
        <v>88</v>
      </c>
      <c r="G1115" t="s">
        <v>28</v>
      </c>
      <c r="H1115" s="1">
        <v>43891</v>
      </c>
      <c r="I1115" s="2">
        <v>5.8</v>
      </c>
      <c r="J1115" t="s">
        <v>39</v>
      </c>
      <c r="K1115" s="3">
        <v>7750</v>
      </c>
      <c r="L1115" t="s">
        <v>30</v>
      </c>
      <c r="M1115">
        <v>4</v>
      </c>
      <c r="N1115">
        <v>3</v>
      </c>
      <c r="O1115">
        <v>14</v>
      </c>
      <c r="P1115" t="s">
        <v>21</v>
      </c>
      <c r="Q1115" s="1"/>
      <c r="U1115">
        <v>1</v>
      </c>
      <c r="V1115">
        <v>1</v>
      </c>
      <c r="W1115">
        <v>0</v>
      </c>
    </row>
    <row r="1116" spans="1:23" ht="16.5" x14ac:dyDescent="0.3">
      <c r="A1116" t="s">
        <v>1183</v>
      </c>
      <c r="B1116" t="s">
        <v>44</v>
      </c>
      <c r="C1116" t="s">
        <v>36</v>
      </c>
      <c r="D1116" t="s">
        <v>26</v>
      </c>
      <c r="E1116">
        <v>34</v>
      </c>
      <c r="F1116" t="s">
        <v>27</v>
      </c>
      <c r="G1116" t="s">
        <v>28</v>
      </c>
      <c r="H1116" s="1">
        <v>43370</v>
      </c>
      <c r="I1116" s="2">
        <v>7.3</v>
      </c>
      <c r="J1116" t="s">
        <v>39</v>
      </c>
      <c r="K1116" s="3">
        <v>5850</v>
      </c>
      <c r="L1116" t="s">
        <v>30</v>
      </c>
      <c r="M1116">
        <v>5</v>
      </c>
      <c r="N1116">
        <v>2</v>
      </c>
      <c r="O1116">
        <v>41</v>
      </c>
      <c r="P1116" t="s">
        <v>21</v>
      </c>
      <c r="Q1116" s="1"/>
      <c r="U1116">
        <v>1</v>
      </c>
      <c r="V1116">
        <v>1</v>
      </c>
      <c r="W1116">
        <v>0</v>
      </c>
    </row>
    <row r="1117" spans="1:23" ht="16.5" x14ac:dyDescent="0.3">
      <c r="A1117" t="s">
        <v>1184</v>
      </c>
      <c r="B1117" t="s">
        <v>35</v>
      </c>
      <c r="C1117" t="s">
        <v>36</v>
      </c>
      <c r="D1117" t="s">
        <v>37</v>
      </c>
      <c r="E1117">
        <v>33</v>
      </c>
      <c r="F1117" t="s">
        <v>27</v>
      </c>
      <c r="G1117" t="s">
        <v>38</v>
      </c>
      <c r="H1117" s="1">
        <v>43543</v>
      </c>
      <c r="I1117" s="2">
        <v>6.8</v>
      </c>
      <c r="J1117" t="s">
        <v>39</v>
      </c>
      <c r="K1117" s="3">
        <v>3600</v>
      </c>
      <c r="L1117" t="s">
        <v>30</v>
      </c>
      <c r="M1117">
        <v>3</v>
      </c>
      <c r="N1117">
        <v>3</v>
      </c>
      <c r="O1117">
        <v>23</v>
      </c>
      <c r="P1117" t="s">
        <v>21</v>
      </c>
      <c r="Q1117" s="1"/>
      <c r="U1117">
        <v>1</v>
      </c>
      <c r="V1117">
        <v>1</v>
      </c>
      <c r="W1117">
        <v>0</v>
      </c>
    </row>
    <row r="1118" spans="1:23" ht="16.5" x14ac:dyDescent="0.3">
      <c r="A1118" t="s">
        <v>1185</v>
      </c>
      <c r="B1118" t="s">
        <v>35</v>
      </c>
      <c r="C1118" t="s">
        <v>25</v>
      </c>
      <c r="D1118" t="s">
        <v>37</v>
      </c>
      <c r="E1118">
        <v>26</v>
      </c>
      <c r="F1118" t="s">
        <v>27</v>
      </c>
      <c r="G1118" t="s">
        <v>28</v>
      </c>
      <c r="H1118" s="1">
        <v>45681</v>
      </c>
      <c r="I1118" s="2">
        <v>0.9</v>
      </c>
      <c r="J1118" t="s">
        <v>64</v>
      </c>
      <c r="K1118" s="3">
        <v>3600</v>
      </c>
      <c r="L1118" t="s">
        <v>30</v>
      </c>
      <c r="M1118">
        <v>3</v>
      </c>
      <c r="N1118">
        <v>4</v>
      </c>
      <c r="O1118">
        <v>32</v>
      </c>
      <c r="P1118" t="s">
        <v>21</v>
      </c>
      <c r="Q1118" s="1"/>
      <c r="U1118">
        <v>1</v>
      </c>
      <c r="V1118">
        <v>1</v>
      </c>
      <c r="W1118">
        <v>0</v>
      </c>
    </row>
    <row r="1119" spans="1:23" ht="16.5" x14ac:dyDescent="0.3">
      <c r="A1119" t="s">
        <v>1186</v>
      </c>
      <c r="B1119" t="s">
        <v>48</v>
      </c>
      <c r="C1119" t="s">
        <v>25</v>
      </c>
      <c r="D1119" t="s">
        <v>37</v>
      </c>
      <c r="E1119">
        <v>25</v>
      </c>
      <c r="F1119" t="s">
        <v>57</v>
      </c>
      <c r="G1119" t="s">
        <v>52</v>
      </c>
      <c r="H1119" s="1">
        <v>45543</v>
      </c>
      <c r="I1119" s="2">
        <v>1.3</v>
      </c>
      <c r="J1119" t="s">
        <v>29</v>
      </c>
      <c r="K1119" s="3">
        <v>6750</v>
      </c>
      <c r="L1119" t="s">
        <v>30</v>
      </c>
      <c r="M1119">
        <v>3</v>
      </c>
      <c r="N1119">
        <v>4</v>
      </c>
      <c r="O1119">
        <v>24</v>
      </c>
      <c r="P1119" t="s">
        <v>21</v>
      </c>
      <c r="Q1119" s="1"/>
      <c r="U1119">
        <v>1</v>
      </c>
      <c r="V1119">
        <v>1</v>
      </c>
      <c r="W1119">
        <v>0</v>
      </c>
    </row>
    <row r="1120" spans="1:23" ht="16.5" x14ac:dyDescent="0.3">
      <c r="A1120" t="s">
        <v>1187</v>
      </c>
      <c r="B1120" t="s">
        <v>70</v>
      </c>
      <c r="C1120" t="s">
        <v>36</v>
      </c>
      <c r="D1120" t="s">
        <v>37</v>
      </c>
      <c r="E1120">
        <v>35</v>
      </c>
      <c r="F1120" t="s">
        <v>27</v>
      </c>
      <c r="G1120" t="s">
        <v>28</v>
      </c>
      <c r="H1120" s="1">
        <v>42823</v>
      </c>
      <c r="I1120" s="2">
        <v>8.8000000000000007</v>
      </c>
      <c r="J1120" t="s">
        <v>39</v>
      </c>
      <c r="K1120" s="3">
        <v>5150</v>
      </c>
      <c r="L1120" t="s">
        <v>30</v>
      </c>
      <c r="M1120">
        <v>4</v>
      </c>
      <c r="N1120">
        <v>3</v>
      </c>
      <c r="O1120">
        <v>32</v>
      </c>
      <c r="P1120" t="s">
        <v>21</v>
      </c>
      <c r="Q1120" s="1"/>
      <c r="U1120">
        <v>1</v>
      </c>
      <c r="V1120">
        <v>1</v>
      </c>
      <c r="W1120">
        <v>0</v>
      </c>
    </row>
    <row r="1121" spans="1:23" ht="16.5" x14ac:dyDescent="0.3">
      <c r="A1121" t="s">
        <v>1188</v>
      </c>
      <c r="B1121" t="s">
        <v>24</v>
      </c>
      <c r="C1121" t="s">
        <v>25</v>
      </c>
      <c r="D1121" t="s">
        <v>37</v>
      </c>
      <c r="E1121">
        <v>32</v>
      </c>
      <c r="F1121" t="s">
        <v>27</v>
      </c>
      <c r="G1121" t="s">
        <v>28</v>
      </c>
      <c r="H1121" s="1">
        <v>43192</v>
      </c>
      <c r="I1121" s="2">
        <v>6.3</v>
      </c>
      <c r="J1121" t="s">
        <v>39</v>
      </c>
      <c r="K1121" s="3">
        <v>2350</v>
      </c>
      <c r="L1121" t="s">
        <v>58</v>
      </c>
      <c r="M1121">
        <v>2</v>
      </c>
      <c r="N1121">
        <v>3</v>
      </c>
      <c r="O1121">
        <v>18</v>
      </c>
      <c r="P1121" t="s">
        <v>22</v>
      </c>
      <c r="Q1121" s="1">
        <v>45483</v>
      </c>
      <c r="R1121" t="s">
        <v>31</v>
      </c>
      <c r="S1121" t="s">
        <v>84</v>
      </c>
      <c r="T1121" t="s">
        <v>33</v>
      </c>
      <c r="U1121">
        <v>1</v>
      </c>
      <c r="V1121">
        <v>0</v>
      </c>
      <c r="W1121">
        <v>1</v>
      </c>
    </row>
    <row r="1122" spans="1:23" ht="16.5" x14ac:dyDescent="0.3">
      <c r="A1122" t="s">
        <v>1189</v>
      </c>
      <c r="B1122" t="s">
        <v>48</v>
      </c>
      <c r="C1122" t="s">
        <v>25</v>
      </c>
      <c r="D1122" t="s">
        <v>26</v>
      </c>
      <c r="E1122">
        <v>21</v>
      </c>
      <c r="F1122" t="s">
        <v>57</v>
      </c>
      <c r="G1122" t="s">
        <v>28</v>
      </c>
      <c r="H1122" s="1">
        <v>45981</v>
      </c>
      <c r="I1122" s="2">
        <v>0.1</v>
      </c>
      <c r="J1122" t="s">
        <v>64</v>
      </c>
      <c r="K1122" s="3">
        <v>5650</v>
      </c>
      <c r="L1122" t="s">
        <v>30</v>
      </c>
      <c r="M1122">
        <v>5</v>
      </c>
      <c r="N1122">
        <v>5</v>
      </c>
      <c r="O1122">
        <v>24</v>
      </c>
      <c r="P1122" t="s">
        <v>21</v>
      </c>
      <c r="Q1122" s="1"/>
      <c r="U1122">
        <v>1</v>
      </c>
      <c r="V1122">
        <v>1</v>
      </c>
      <c r="W1122">
        <v>0</v>
      </c>
    </row>
    <row r="1123" spans="1:23" ht="16.5" x14ac:dyDescent="0.3">
      <c r="A1123" t="s">
        <v>1190</v>
      </c>
      <c r="B1123" t="s">
        <v>48</v>
      </c>
      <c r="C1123" t="s">
        <v>45</v>
      </c>
      <c r="D1123" t="s">
        <v>37</v>
      </c>
      <c r="E1123">
        <v>46</v>
      </c>
      <c r="F1123" t="s">
        <v>88</v>
      </c>
      <c r="G1123" t="s">
        <v>52</v>
      </c>
      <c r="H1123" s="1">
        <v>42929</v>
      </c>
      <c r="I1123" s="2">
        <v>8.5</v>
      </c>
      <c r="J1123" t="s">
        <v>39</v>
      </c>
      <c r="K1123" s="3">
        <v>9950</v>
      </c>
      <c r="L1123" t="s">
        <v>30</v>
      </c>
      <c r="M1123">
        <v>4</v>
      </c>
      <c r="N1123">
        <v>4</v>
      </c>
      <c r="O1123">
        <v>28</v>
      </c>
      <c r="P1123" t="s">
        <v>21</v>
      </c>
      <c r="Q1123" s="1"/>
      <c r="U1123">
        <v>1</v>
      </c>
      <c r="V1123">
        <v>1</v>
      </c>
      <c r="W1123">
        <v>0</v>
      </c>
    </row>
    <row r="1124" spans="1:23" ht="16.5" x14ac:dyDescent="0.3">
      <c r="A1124" t="s">
        <v>1191</v>
      </c>
      <c r="B1124" t="s">
        <v>48</v>
      </c>
      <c r="C1124" t="s">
        <v>25</v>
      </c>
      <c r="D1124" t="s">
        <v>26</v>
      </c>
      <c r="E1124">
        <v>23</v>
      </c>
      <c r="F1124" t="s">
        <v>57</v>
      </c>
      <c r="G1124" t="s">
        <v>38</v>
      </c>
      <c r="H1124" s="1">
        <v>45763</v>
      </c>
      <c r="I1124" s="2">
        <v>0.7</v>
      </c>
      <c r="J1124" t="s">
        <v>64</v>
      </c>
      <c r="K1124" s="3">
        <v>5400</v>
      </c>
      <c r="L1124" t="s">
        <v>30</v>
      </c>
      <c r="M1124">
        <v>3</v>
      </c>
      <c r="N1124">
        <v>3</v>
      </c>
      <c r="O1124">
        <v>27</v>
      </c>
      <c r="P1124" t="s">
        <v>21</v>
      </c>
      <c r="Q1124" s="1"/>
      <c r="U1124">
        <v>1</v>
      </c>
      <c r="V1124">
        <v>1</v>
      </c>
      <c r="W1124">
        <v>0</v>
      </c>
    </row>
    <row r="1125" spans="1:23" ht="16.5" x14ac:dyDescent="0.3">
      <c r="A1125" t="s">
        <v>1192</v>
      </c>
      <c r="B1125" t="s">
        <v>24</v>
      </c>
      <c r="C1125" t="s">
        <v>45</v>
      </c>
      <c r="D1125" t="s">
        <v>26</v>
      </c>
      <c r="E1125">
        <v>29</v>
      </c>
      <c r="F1125" t="s">
        <v>27</v>
      </c>
      <c r="G1125" t="s">
        <v>38</v>
      </c>
      <c r="H1125" s="1">
        <v>45003</v>
      </c>
      <c r="I1125" s="2">
        <v>2.8</v>
      </c>
      <c r="J1125" t="s">
        <v>29</v>
      </c>
      <c r="K1125" s="3">
        <v>5850</v>
      </c>
      <c r="L1125" t="s">
        <v>58</v>
      </c>
      <c r="M1125">
        <v>3</v>
      </c>
      <c r="N1125">
        <v>2</v>
      </c>
      <c r="O1125">
        <v>21</v>
      </c>
      <c r="P1125" t="s">
        <v>21</v>
      </c>
      <c r="Q1125" s="1"/>
      <c r="U1125">
        <v>1</v>
      </c>
      <c r="V1125">
        <v>1</v>
      </c>
      <c r="W1125">
        <v>0</v>
      </c>
    </row>
    <row r="1126" spans="1:23" ht="16.5" x14ac:dyDescent="0.3">
      <c r="A1126" t="s">
        <v>1193</v>
      </c>
      <c r="B1126" t="s">
        <v>70</v>
      </c>
      <c r="C1126" t="s">
        <v>36</v>
      </c>
      <c r="D1126" t="s">
        <v>37</v>
      </c>
      <c r="E1126">
        <v>37</v>
      </c>
      <c r="F1126" t="s">
        <v>46</v>
      </c>
      <c r="G1126" t="s">
        <v>28</v>
      </c>
      <c r="H1126" s="1">
        <v>42239</v>
      </c>
      <c r="I1126" s="2">
        <v>10.4</v>
      </c>
      <c r="J1126" t="s">
        <v>39</v>
      </c>
      <c r="K1126" s="3">
        <v>5050</v>
      </c>
      <c r="L1126" t="s">
        <v>30</v>
      </c>
      <c r="M1126">
        <v>3</v>
      </c>
      <c r="N1126">
        <v>3</v>
      </c>
      <c r="O1126">
        <v>39</v>
      </c>
      <c r="P1126" t="s">
        <v>21</v>
      </c>
      <c r="Q1126" s="1"/>
      <c r="U1126">
        <v>1</v>
      </c>
      <c r="V1126">
        <v>1</v>
      </c>
      <c r="W1126">
        <v>0</v>
      </c>
    </row>
    <row r="1127" spans="1:23" ht="16.5" x14ac:dyDescent="0.3">
      <c r="A1127" t="s">
        <v>1194</v>
      </c>
      <c r="B1127" t="s">
        <v>48</v>
      </c>
      <c r="C1127" t="s">
        <v>25</v>
      </c>
      <c r="D1127" t="s">
        <v>37</v>
      </c>
      <c r="E1127">
        <v>21</v>
      </c>
      <c r="F1127" t="s">
        <v>57</v>
      </c>
      <c r="G1127" t="s">
        <v>38</v>
      </c>
      <c r="H1127" s="1">
        <v>46005</v>
      </c>
      <c r="I1127" s="2">
        <v>0</v>
      </c>
      <c r="J1127" t="s">
        <v>64</v>
      </c>
      <c r="K1127" s="3">
        <v>5200</v>
      </c>
      <c r="L1127" t="s">
        <v>58</v>
      </c>
      <c r="M1127">
        <v>3</v>
      </c>
      <c r="N1127">
        <v>4</v>
      </c>
      <c r="O1127">
        <v>30</v>
      </c>
      <c r="P1127" t="s">
        <v>21</v>
      </c>
      <c r="Q1127" s="1"/>
      <c r="U1127">
        <v>1</v>
      </c>
      <c r="V1127">
        <v>1</v>
      </c>
      <c r="W1127">
        <v>0</v>
      </c>
    </row>
    <row r="1128" spans="1:23" ht="16.5" x14ac:dyDescent="0.3">
      <c r="A1128" t="s">
        <v>1195</v>
      </c>
      <c r="B1128" t="s">
        <v>55</v>
      </c>
      <c r="C1128" t="s">
        <v>36</v>
      </c>
      <c r="D1128" t="s">
        <v>37</v>
      </c>
      <c r="E1128">
        <v>34</v>
      </c>
      <c r="F1128" t="s">
        <v>27</v>
      </c>
      <c r="G1128" t="s">
        <v>52</v>
      </c>
      <c r="H1128" s="1">
        <v>43136</v>
      </c>
      <c r="I1128" s="2">
        <v>7.9</v>
      </c>
      <c r="J1128" t="s">
        <v>39</v>
      </c>
      <c r="K1128" s="3">
        <v>4800</v>
      </c>
      <c r="L1128" t="s">
        <v>30</v>
      </c>
      <c r="M1128">
        <v>2</v>
      </c>
      <c r="N1128">
        <v>4</v>
      </c>
      <c r="O1128">
        <v>25</v>
      </c>
      <c r="P1128" t="s">
        <v>21</v>
      </c>
      <c r="Q1128" s="1"/>
      <c r="U1128">
        <v>1</v>
      </c>
      <c r="V1128">
        <v>1</v>
      </c>
      <c r="W1128">
        <v>0</v>
      </c>
    </row>
    <row r="1129" spans="1:23" ht="16.5" x14ac:dyDescent="0.3">
      <c r="A1129" t="s">
        <v>1196</v>
      </c>
      <c r="B1129" t="s">
        <v>24</v>
      </c>
      <c r="C1129" t="s">
        <v>25</v>
      </c>
      <c r="D1129" t="s">
        <v>26</v>
      </c>
      <c r="E1129">
        <v>25</v>
      </c>
      <c r="F1129" t="s">
        <v>57</v>
      </c>
      <c r="G1129" t="s">
        <v>38</v>
      </c>
      <c r="H1129" s="1">
        <v>45217</v>
      </c>
      <c r="I1129" s="2">
        <v>2.2000000000000002</v>
      </c>
      <c r="J1129" t="s">
        <v>29</v>
      </c>
      <c r="K1129" s="3">
        <v>3600</v>
      </c>
      <c r="L1129" t="s">
        <v>30</v>
      </c>
      <c r="M1129">
        <v>3</v>
      </c>
      <c r="N1129">
        <v>3</v>
      </c>
      <c r="O1129">
        <v>17</v>
      </c>
      <c r="P1129" t="s">
        <v>21</v>
      </c>
      <c r="Q1129" s="1"/>
      <c r="U1129">
        <v>1</v>
      </c>
      <c r="V1129">
        <v>1</v>
      </c>
      <c r="W1129">
        <v>0</v>
      </c>
    </row>
    <row r="1130" spans="1:23" ht="16.5" x14ac:dyDescent="0.3">
      <c r="A1130" t="s">
        <v>1197</v>
      </c>
      <c r="B1130" t="s">
        <v>24</v>
      </c>
      <c r="C1130" t="s">
        <v>36</v>
      </c>
      <c r="D1130" t="s">
        <v>37</v>
      </c>
      <c r="E1130">
        <v>32</v>
      </c>
      <c r="F1130" t="s">
        <v>27</v>
      </c>
      <c r="G1130" t="s">
        <v>28</v>
      </c>
      <c r="H1130" s="1">
        <v>45336</v>
      </c>
      <c r="I1130" s="2">
        <v>1.9</v>
      </c>
      <c r="J1130" t="s">
        <v>29</v>
      </c>
      <c r="K1130" s="3">
        <v>3700</v>
      </c>
      <c r="L1130" t="s">
        <v>30</v>
      </c>
      <c r="M1130">
        <v>3</v>
      </c>
      <c r="N1130">
        <v>5</v>
      </c>
      <c r="O1130">
        <v>35</v>
      </c>
      <c r="P1130" t="s">
        <v>21</v>
      </c>
      <c r="Q1130" s="1"/>
      <c r="U1130">
        <v>1</v>
      </c>
      <c r="V1130">
        <v>1</v>
      </c>
      <c r="W1130">
        <v>0</v>
      </c>
    </row>
    <row r="1131" spans="1:23" ht="16.5" x14ac:dyDescent="0.3">
      <c r="A1131" t="s">
        <v>1198</v>
      </c>
      <c r="B1131" t="s">
        <v>44</v>
      </c>
      <c r="C1131" t="s">
        <v>45</v>
      </c>
      <c r="D1131" t="s">
        <v>37</v>
      </c>
      <c r="E1131">
        <v>37</v>
      </c>
      <c r="F1131" t="s">
        <v>46</v>
      </c>
      <c r="G1131" t="s">
        <v>28</v>
      </c>
      <c r="H1131" s="1">
        <v>44872</v>
      </c>
      <c r="I1131" s="2">
        <v>3.1</v>
      </c>
      <c r="J1131" t="s">
        <v>50</v>
      </c>
      <c r="K1131" s="3">
        <v>9250</v>
      </c>
      <c r="L1131" t="s">
        <v>30</v>
      </c>
      <c r="M1131">
        <v>4</v>
      </c>
      <c r="N1131">
        <v>3</v>
      </c>
      <c r="O1131">
        <v>12</v>
      </c>
      <c r="P1131" t="s">
        <v>21</v>
      </c>
      <c r="Q1131" s="1"/>
      <c r="U1131">
        <v>1</v>
      </c>
      <c r="V1131">
        <v>1</v>
      </c>
      <c r="W1131">
        <v>0</v>
      </c>
    </row>
    <row r="1132" spans="1:23" ht="16.5" x14ac:dyDescent="0.3">
      <c r="A1132" t="s">
        <v>1199</v>
      </c>
      <c r="B1132" t="s">
        <v>70</v>
      </c>
      <c r="C1132" t="s">
        <v>36</v>
      </c>
      <c r="D1132" t="s">
        <v>37</v>
      </c>
      <c r="E1132">
        <v>32</v>
      </c>
      <c r="F1132" t="s">
        <v>27</v>
      </c>
      <c r="G1132" t="s">
        <v>28</v>
      </c>
      <c r="H1132" s="1">
        <v>43468</v>
      </c>
      <c r="I1132" s="2">
        <v>7</v>
      </c>
      <c r="J1132" t="s">
        <v>39</v>
      </c>
      <c r="K1132" s="3">
        <v>5400</v>
      </c>
      <c r="L1132" t="s">
        <v>58</v>
      </c>
      <c r="M1132">
        <v>3</v>
      </c>
      <c r="N1132">
        <v>4</v>
      </c>
      <c r="O1132">
        <v>34</v>
      </c>
      <c r="P1132" t="s">
        <v>21</v>
      </c>
      <c r="Q1132" s="1"/>
      <c r="U1132">
        <v>1</v>
      </c>
      <c r="V1132">
        <v>1</v>
      </c>
      <c r="W1132">
        <v>0</v>
      </c>
    </row>
    <row r="1133" spans="1:23" ht="16.5" x14ac:dyDescent="0.3">
      <c r="A1133" t="s">
        <v>1200</v>
      </c>
      <c r="B1133" t="s">
        <v>73</v>
      </c>
      <c r="C1133" t="s">
        <v>36</v>
      </c>
      <c r="D1133" t="s">
        <v>37</v>
      </c>
      <c r="E1133">
        <v>36</v>
      </c>
      <c r="F1133" t="s">
        <v>46</v>
      </c>
      <c r="G1133" t="s">
        <v>38</v>
      </c>
      <c r="H1133" s="1">
        <v>45267</v>
      </c>
      <c r="I1133" s="2">
        <v>2.1</v>
      </c>
      <c r="J1133" t="s">
        <v>29</v>
      </c>
      <c r="K1133" s="3">
        <v>4550</v>
      </c>
      <c r="L1133" t="s">
        <v>58</v>
      </c>
      <c r="M1133">
        <v>2</v>
      </c>
      <c r="N1133">
        <v>3</v>
      </c>
      <c r="O1133">
        <v>41</v>
      </c>
      <c r="P1133" t="s">
        <v>21</v>
      </c>
      <c r="Q1133" s="1"/>
      <c r="U1133">
        <v>1</v>
      </c>
      <c r="V1133">
        <v>1</v>
      </c>
      <c r="W1133">
        <v>0</v>
      </c>
    </row>
    <row r="1134" spans="1:23" ht="16.5" x14ac:dyDescent="0.3">
      <c r="A1134" t="s">
        <v>1201</v>
      </c>
      <c r="B1134" t="s">
        <v>55</v>
      </c>
      <c r="C1134" t="s">
        <v>25</v>
      </c>
      <c r="D1134" t="s">
        <v>37</v>
      </c>
      <c r="E1134">
        <v>32</v>
      </c>
      <c r="F1134" t="s">
        <v>27</v>
      </c>
      <c r="G1134" t="s">
        <v>38</v>
      </c>
      <c r="H1134" s="1">
        <v>43689</v>
      </c>
      <c r="I1134" s="2">
        <v>6.4</v>
      </c>
      <c r="J1134" t="s">
        <v>39</v>
      </c>
      <c r="K1134" s="3">
        <v>3900</v>
      </c>
      <c r="L1134" t="s">
        <v>30</v>
      </c>
      <c r="M1134">
        <v>3</v>
      </c>
      <c r="N1134">
        <v>3</v>
      </c>
      <c r="O1134">
        <v>10</v>
      </c>
      <c r="P1134" t="s">
        <v>21</v>
      </c>
      <c r="Q1134" s="1"/>
      <c r="U1134">
        <v>1</v>
      </c>
      <c r="V1134">
        <v>1</v>
      </c>
      <c r="W1134">
        <v>0</v>
      </c>
    </row>
    <row r="1135" spans="1:23" ht="16.5" x14ac:dyDescent="0.3">
      <c r="A1135" t="s">
        <v>1202</v>
      </c>
      <c r="B1135" t="s">
        <v>55</v>
      </c>
      <c r="C1135" t="s">
        <v>25</v>
      </c>
      <c r="D1135" t="s">
        <v>37</v>
      </c>
      <c r="E1135">
        <v>32</v>
      </c>
      <c r="F1135" t="s">
        <v>27</v>
      </c>
      <c r="G1135" t="s">
        <v>28</v>
      </c>
      <c r="H1135" s="1">
        <v>43163</v>
      </c>
      <c r="I1135" s="2">
        <v>7.8</v>
      </c>
      <c r="J1135" t="s">
        <v>39</v>
      </c>
      <c r="K1135" s="3">
        <v>5100</v>
      </c>
      <c r="L1135" t="s">
        <v>30</v>
      </c>
      <c r="M1135">
        <v>3</v>
      </c>
      <c r="N1135">
        <v>5</v>
      </c>
      <c r="O1135">
        <v>28</v>
      </c>
      <c r="P1135" t="s">
        <v>21</v>
      </c>
      <c r="Q1135" s="1"/>
      <c r="U1135">
        <v>1</v>
      </c>
      <c r="V1135">
        <v>1</v>
      </c>
      <c r="W1135">
        <v>0</v>
      </c>
    </row>
    <row r="1136" spans="1:23" ht="16.5" x14ac:dyDescent="0.3">
      <c r="A1136" t="s">
        <v>1203</v>
      </c>
      <c r="B1136" t="s">
        <v>35</v>
      </c>
      <c r="C1136" t="s">
        <v>36</v>
      </c>
      <c r="D1136" t="s">
        <v>26</v>
      </c>
      <c r="E1136">
        <v>30</v>
      </c>
      <c r="F1136" t="s">
        <v>27</v>
      </c>
      <c r="G1136" t="s">
        <v>28</v>
      </c>
      <c r="H1136" s="1">
        <v>44786</v>
      </c>
      <c r="I1136" s="2">
        <v>3.4</v>
      </c>
      <c r="J1136" t="s">
        <v>50</v>
      </c>
      <c r="K1136" s="3">
        <v>3550</v>
      </c>
      <c r="L1136" t="s">
        <v>58</v>
      </c>
      <c r="M1136">
        <v>3</v>
      </c>
      <c r="N1136">
        <v>3</v>
      </c>
      <c r="O1136">
        <v>25</v>
      </c>
      <c r="P1136" t="s">
        <v>21</v>
      </c>
      <c r="Q1136" s="1"/>
      <c r="U1136">
        <v>1</v>
      </c>
      <c r="V1136">
        <v>1</v>
      </c>
      <c r="W1136">
        <v>0</v>
      </c>
    </row>
    <row r="1137" spans="1:23" ht="16.5" x14ac:dyDescent="0.3">
      <c r="A1137" t="s">
        <v>1204</v>
      </c>
      <c r="B1137" t="s">
        <v>24</v>
      </c>
      <c r="C1137" t="s">
        <v>45</v>
      </c>
      <c r="D1137" t="s">
        <v>26</v>
      </c>
      <c r="E1137">
        <v>39</v>
      </c>
      <c r="F1137" t="s">
        <v>46</v>
      </c>
      <c r="G1137" t="s">
        <v>38</v>
      </c>
      <c r="H1137" s="1">
        <v>41897</v>
      </c>
      <c r="I1137" s="2">
        <v>11.3</v>
      </c>
      <c r="J1137" t="s">
        <v>39</v>
      </c>
      <c r="K1137" s="3">
        <v>6900</v>
      </c>
      <c r="L1137" t="s">
        <v>30</v>
      </c>
      <c r="M1137">
        <v>4</v>
      </c>
      <c r="N1137">
        <v>4</v>
      </c>
      <c r="O1137">
        <v>14</v>
      </c>
      <c r="P1137" t="s">
        <v>21</v>
      </c>
      <c r="Q1137" s="1"/>
      <c r="U1137">
        <v>1</v>
      </c>
      <c r="V1137">
        <v>1</v>
      </c>
      <c r="W1137">
        <v>0</v>
      </c>
    </row>
    <row r="1138" spans="1:23" ht="16.5" x14ac:dyDescent="0.3">
      <c r="A1138" t="s">
        <v>1205</v>
      </c>
      <c r="B1138" t="s">
        <v>48</v>
      </c>
      <c r="C1138" t="s">
        <v>25</v>
      </c>
      <c r="D1138" t="s">
        <v>37</v>
      </c>
      <c r="E1138">
        <v>21</v>
      </c>
      <c r="F1138" t="s">
        <v>57</v>
      </c>
      <c r="G1138" t="s">
        <v>38</v>
      </c>
      <c r="H1138" s="1">
        <v>45933</v>
      </c>
      <c r="I1138" s="2">
        <v>0.2</v>
      </c>
      <c r="J1138" t="s">
        <v>64</v>
      </c>
      <c r="K1138" s="3">
        <v>5450</v>
      </c>
      <c r="L1138" t="s">
        <v>30</v>
      </c>
      <c r="M1138">
        <v>3</v>
      </c>
      <c r="N1138">
        <v>3</v>
      </c>
      <c r="O1138">
        <v>23</v>
      </c>
      <c r="P1138" t="s">
        <v>21</v>
      </c>
      <c r="Q1138" s="1"/>
      <c r="U1138">
        <v>1</v>
      </c>
      <c r="V1138">
        <v>1</v>
      </c>
      <c r="W1138">
        <v>0</v>
      </c>
    </row>
    <row r="1139" spans="1:23" ht="16.5" x14ac:dyDescent="0.3">
      <c r="A1139" t="s">
        <v>1206</v>
      </c>
      <c r="B1139" t="s">
        <v>70</v>
      </c>
      <c r="C1139" t="s">
        <v>25</v>
      </c>
      <c r="D1139" t="s">
        <v>37</v>
      </c>
      <c r="E1139">
        <v>35</v>
      </c>
      <c r="F1139" t="s">
        <v>27</v>
      </c>
      <c r="G1139" t="s">
        <v>52</v>
      </c>
      <c r="H1139" s="1">
        <v>44227</v>
      </c>
      <c r="I1139" s="2">
        <v>4.9000000000000004</v>
      </c>
      <c r="J1139" t="s">
        <v>50</v>
      </c>
      <c r="K1139" s="3">
        <v>3850</v>
      </c>
      <c r="L1139" t="s">
        <v>30</v>
      </c>
      <c r="M1139">
        <v>3</v>
      </c>
      <c r="N1139">
        <v>3</v>
      </c>
      <c r="O1139">
        <v>33</v>
      </c>
      <c r="P1139" t="s">
        <v>21</v>
      </c>
      <c r="Q1139" s="1"/>
      <c r="U1139">
        <v>1</v>
      </c>
      <c r="V1139">
        <v>1</v>
      </c>
      <c r="W1139">
        <v>0</v>
      </c>
    </row>
    <row r="1140" spans="1:23" ht="16.5" x14ac:dyDescent="0.3">
      <c r="A1140" t="s">
        <v>1207</v>
      </c>
      <c r="B1140" t="s">
        <v>70</v>
      </c>
      <c r="C1140" t="s">
        <v>36</v>
      </c>
      <c r="D1140" t="s">
        <v>37</v>
      </c>
      <c r="E1140">
        <v>24</v>
      </c>
      <c r="F1140" t="s">
        <v>57</v>
      </c>
      <c r="G1140" t="s">
        <v>38</v>
      </c>
      <c r="H1140" s="1">
        <v>45721</v>
      </c>
      <c r="I1140" s="2">
        <v>0.8</v>
      </c>
      <c r="J1140" t="s">
        <v>64</v>
      </c>
      <c r="K1140" s="3">
        <v>5200</v>
      </c>
      <c r="L1140" t="s">
        <v>58</v>
      </c>
      <c r="M1140">
        <v>4</v>
      </c>
      <c r="N1140">
        <v>3</v>
      </c>
      <c r="O1140">
        <v>31</v>
      </c>
      <c r="P1140" t="s">
        <v>21</v>
      </c>
      <c r="Q1140" s="1"/>
      <c r="U1140">
        <v>1</v>
      </c>
      <c r="V1140">
        <v>1</v>
      </c>
      <c r="W1140">
        <v>0</v>
      </c>
    </row>
    <row r="1141" spans="1:23" ht="16.5" x14ac:dyDescent="0.3">
      <c r="A1141" t="s">
        <v>1208</v>
      </c>
      <c r="B1141" t="s">
        <v>24</v>
      </c>
      <c r="C1141" t="s">
        <v>25</v>
      </c>
      <c r="D1141" t="s">
        <v>26</v>
      </c>
      <c r="E1141">
        <v>21</v>
      </c>
      <c r="F1141" t="s">
        <v>57</v>
      </c>
      <c r="G1141" t="s">
        <v>38</v>
      </c>
      <c r="H1141" s="1">
        <v>45963</v>
      </c>
      <c r="I1141" s="2">
        <v>0.1</v>
      </c>
      <c r="J1141" t="s">
        <v>64</v>
      </c>
      <c r="K1141" s="3">
        <v>2050</v>
      </c>
      <c r="L1141" t="s">
        <v>58</v>
      </c>
      <c r="M1141">
        <v>3</v>
      </c>
      <c r="N1141">
        <v>3</v>
      </c>
      <c r="O1141">
        <v>0</v>
      </c>
      <c r="P1141" t="s">
        <v>22</v>
      </c>
      <c r="Q1141" s="1">
        <v>46016</v>
      </c>
      <c r="R1141" t="s">
        <v>40</v>
      </c>
      <c r="S1141" t="s">
        <v>92</v>
      </c>
      <c r="T1141" t="s">
        <v>60</v>
      </c>
      <c r="U1141">
        <v>1</v>
      </c>
      <c r="V1141">
        <v>0</v>
      </c>
      <c r="W1141">
        <v>1</v>
      </c>
    </row>
    <row r="1142" spans="1:23" ht="16.5" x14ac:dyDescent="0.3">
      <c r="A1142" t="s">
        <v>1209</v>
      </c>
      <c r="B1142" t="s">
        <v>44</v>
      </c>
      <c r="C1142" t="s">
        <v>45</v>
      </c>
      <c r="D1142" t="s">
        <v>37</v>
      </c>
      <c r="E1142">
        <v>37</v>
      </c>
      <c r="F1142" t="s">
        <v>46</v>
      </c>
      <c r="G1142" t="s">
        <v>52</v>
      </c>
      <c r="H1142" s="1">
        <v>44189</v>
      </c>
      <c r="I1142" s="2">
        <v>5</v>
      </c>
      <c r="J1142" t="s">
        <v>50</v>
      </c>
      <c r="K1142" s="3">
        <v>10600</v>
      </c>
      <c r="L1142" t="s">
        <v>30</v>
      </c>
      <c r="M1142">
        <v>3</v>
      </c>
      <c r="N1142">
        <v>4</v>
      </c>
      <c r="O1142">
        <v>11</v>
      </c>
      <c r="P1142" t="s">
        <v>21</v>
      </c>
      <c r="Q1142" s="1"/>
      <c r="U1142">
        <v>1</v>
      </c>
      <c r="V1142">
        <v>1</v>
      </c>
      <c r="W1142">
        <v>0</v>
      </c>
    </row>
    <row r="1143" spans="1:23" ht="16.5" x14ac:dyDescent="0.3">
      <c r="A1143" t="s">
        <v>1210</v>
      </c>
      <c r="B1143" t="s">
        <v>24</v>
      </c>
      <c r="C1143" t="s">
        <v>36</v>
      </c>
      <c r="D1143" t="s">
        <v>26</v>
      </c>
      <c r="E1143">
        <v>31</v>
      </c>
      <c r="F1143" t="s">
        <v>27</v>
      </c>
      <c r="G1143" t="s">
        <v>28</v>
      </c>
      <c r="H1143" s="1">
        <v>43764</v>
      </c>
      <c r="I1143" s="2">
        <v>6.2</v>
      </c>
      <c r="J1143" t="s">
        <v>39</v>
      </c>
      <c r="K1143" s="3">
        <v>4050</v>
      </c>
      <c r="L1143" t="s">
        <v>30</v>
      </c>
      <c r="M1143">
        <v>3</v>
      </c>
      <c r="N1143">
        <v>4</v>
      </c>
      <c r="O1143">
        <v>30</v>
      </c>
      <c r="P1143" t="s">
        <v>21</v>
      </c>
      <c r="Q1143" s="1"/>
      <c r="U1143">
        <v>1</v>
      </c>
      <c r="V1143">
        <v>1</v>
      </c>
      <c r="W1143">
        <v>0</v>
      </c>
    </row>
    <row r="1144" spans="1:23" ht="16.5" x14ac:dyDescent="0.3">
      <c r="A1144" t="s">
        <v>1211</v>
      </c>
      <c r="B1144" t="s">
        <v>24</v>
      </c>
      <c r="C1144" t="s">
        <v>45</v>
      </c>
      <c r="D1144" t="s">
        <v>26</v>
      </c>
      <c r="E1144">
        <v>49</v>
      </c>
      <c r="F1144" t="s">
        <v>88</v>
      </c>
      <c r="G1144" t="s">
        <v>28</v>
      </c>
      <c r="H1144" s="1">
        <v>42324</v>
      </c>
      <c r="I1144" s="2">
        <v>10.1</v>
      </c>
      <c r="J1144" t="s">
        <v>39</v>
      </c>
      <c r="K1144" s="3">
        <v>5300</v>
      </c>
      <c r="L1144" t="s">
        <v>58</v>
      </c>
      <c r="M1144">
        <v>3</v>
      </c>
      <c r="N1144">
        <v>4</v>
      </c>
      <c r="O1144">
        <v>17</v>
      </c>
      <c r="P1144" t="s">
        <v>21</v>
      </c>
      <c r="Q1144" s="1"/>
      <c r="U1144">
        <v>1</v>
      </c>
      <c r="V1144">
        <v>1</v>
      </c>
      <c r="W1144">
        <v>0</v>
      </c>
    </row>
    <row r="1145" spans="1:23" ht="16.5" x14ac:dyDescent="0.3">
      <c r="A1145" t="s">
        <v>1212</v>
      </c>
      <c r="B1145" t="s">
        <v>48</v>
      </c>
      <c r="C1145" t="s">
        <v>45</v>
      </c>
      <c r="D1145" t="s">
        <v>26</v>
      </c>
      <c r="E1145">
        <v>41</v>
      </c>
      <c r="F1145" t="s">
        <v>46</v>
      </c>
      <c r="G1145" t="s">
        <v>52</v>
      </c>
      <c r="H1145" s="1">
        <v>42778</v>
      </c>
      <c r="I1145" s="2">
        <v>8.9</v>
      </c>
      <c r="J1145" t="s">
        <v>39</v>
      </c>
      <c r="K1145" s="3">
        <v>10700</v>
      </c>
      <c r="L1145" t="s">
        <v>30</v>
      </c>
      <c r="M1145">
        <v>3</v>
      </c>
      <c r="N1145">
        <v>3</v>
      </c>
      <c r="O1145">
        <v>18</v>
      </c>
      <c r="P1145" t="s">
        <v>21</v>
      </c>
      <c r="Q1145" s="1"/>
      <c r="U1145">
        <v>1</v>
      </c>
      <c r="V1145">
        <v>1</v>
      </c>
      <c r="W1145">
        <v>0</v>
      </c>
    </row>
    <row r="1146" spans="1:23" ht="16.5" x14ac:dyDescent="0.3">
      <c r="A1146" t="s">
        <v>1213</v>
      </c>
      <c r="B1146" t="s">
        <v>48</v>
      </c>
      <c r="C1146" t="s">
        <v>25</v>
      </c>
      <c r="D1146" t="s">
        <v>26</v>
      </c>
      <c r="E1146">
        <v>23</v>
      </c>
      <c r="F1146" t="s">
        <v>57</v>
      </c>
      <c r="G1146" t="s">
        <v>28</v>
      </c>
      <c r="H1146" s="1">
        <v>45737</v>
      </c>
      <c r="I1146" s="2">
        <v>0.8</v>
      </c>
      <c r="J1146" t="s">
        <v>64</v>
      </c>
      <c r="K1146" s="3">
        <v>6200</v>
      </c>
      <c r="L1146" t="s">
        <v>30</v>
      </c>
      <c r="M1146">
        <v>4</v>
      </c>
      <c r="N1146">
        <v>3</v>
      </c>
      <c r="O1146">
        <v>17</v>
      </c>
      <c r="P1146" t="s">
        <v>21</v>
      </c>
      <c r="Q1146" s="1"/>
      <c r="U1146">
        <v>1</v>
      </c>
      <c r="V1146">
        <v>1</v>
      </c>
      <c r="W1146">
        <v>0</v>
      </c>
    </row>
    <row r="1147" spans="1:23" ht="16.5" x14ac:dyDescent="0.3">
      <c r="A1147" t="s">
        <v>1214</v>
      </c>
      <c r="B1147" t="s">
        <v>24</v>
      </c>
      <c r="C1147" t="s">
        <v>36</v>
      </c>
      <c r="D1147" t="s">
        <v>37</v>
      </c>
      <c r="E1147">
        <v>28</v>
      </c>
      <c r="F1147" t="s">
        <v>27</v>
      </c>
      <c r="G1147" t="s">
        <v>38</v>
      </c>
      <c r="H1147" s="1">
        <v>45421</v>
      </c>
      <c r="I1147" s="2">
        <v>1.6</v>
      </c>
      <c r="J1147" t="s">
        <v>29</v>
      </c>
      <c r="K1147" s="3">
        <v>3200</v>
      </c>
      <c r="L1147" t="s">
        <v>30</v>
      </c>
      <c r="M1147">
        <v>4</v>
      </c>
      <c r="N1147">
        <v>4</v>
      </c>
      <c r="O1147">
        <v>15</v>
      </c>
      <c r="P1147" t="s">
        <v>21</v>
      </c>
      <c r="Q1147" s="1"/>
      <c r="U1147">
        <v>1</v>
      </c>
      <c r="V1147">
        <v>1</v>
      </c>
      <c r="W1147">
        <v>0</v>
      </c>
    </row>
    <row r="1148" spans="1:23" ht="16.5" x14ac:dyDescent="0.3">
      <c r="A1148" t="s">
        <v>1215</v>
      </c>
      <c r="B1148" t="s">
        <v>48</v>
      </c>
      <c r="C1148" t="s">
        <v>25</v>
      </c>
      <c r="D1148" t="s">
        <v>37</v>
      </c>
      <c r="E1148">
        <v>27</v>
      </c>
      <c r="F1148" t="s">
        <v>27</v>
      </c>
      <c r="G1148" t="s">
        <v>52</v>
      </c>
      <c r="H1148" s="1">
        <v>44764</v>
      </c>
      <c r="I1148" s="2">
        <v>3.4</v>
      </c>
      <c r="J1148" t="s">
        <v>50</v>
      </c>
      <c r="K1148" s="3">
        <v>4300</v>
      </c>
      <c r="L1148" t="s">
        <v>30</v>
      </c>
      <c r="M1148">
        <v>5</v>
      </c>
      <c r="N1148">
        <v>4</v>
      </c>
      <c r="O1148">
        <v>19</v>
      </c>
      <c r="P1148" t="s">
        <v>21</v>
      </c>
      <c r="Q1148" s="1"/>
      <c r="U1148">
        <v>1</v>
      </c>
      <c r="V1148">
        <v>1</v>
      </c>
      <c r="W1148">
        <v>0</v>
      </c>
    </row>
    <row r="1149" spans="1:23" ht="16.5" x14ac:dyDescent="0.3">
      <c r="A1149" t="s">
        <v>1216</v>
      </c>
      <c r="B1149" t="s">
        <v>70</v>
      </c>
      <c r="C1149" t="s">
        <v>36</v>
      </c>
      <c r="D1149" t="s">
        <v>37</v>
      </c>
      <c r="E1149">
        <v>32</v>
      </c>
      <c r="F1149" t="s">
        <v>27</v>
      </c>
      <c r="G1149" t="s">
        <v>38</v>
      </c>
      <c r="H1149" s="1">
        <v>44488</v>
      </c>
      <c r="I1149" s="2">
        <v>4.2</v>
      </c>
      <c r="J1149" t="s">
        <v>50</v>
      </c>
      <c r="K1149" s="3">
        <v>5250</v>
      </c>
      <c r="L1149" t="s">
        <v>30</v>
      </c>
      <c r="M1149">
        <v>3</v>
      </c>
      <c r="N1149">
        <v>5</v>
      </c>
      <c r="O1149">
        <v>42</v>
      </c>
      <c r="P1149" t="s">
        <v>21</v>
      </c>
      <c r="Q1149" s="1"/>
      <c r="U1149">
        <v>1</v>
      </c>
      <c r="V1149">
        <v>1</v>
      </c>
      <c r="W1149">
        <v>0</v>
      </c>
    </row>
    <row r="1150" spans="1:23" ht="16.5" x14ac:dyDescent="0.3">
      <c r="A1150" t="s">
        <v>1217</v>
      </c>
      <c r="B1150" t="s">
        <v>55</v>
      </c>
      <c r="C1150" t="s">
        <v>45</v>
      </c>
      <c r="D1150" t="s">
        <v>26</v>
      </c>
      <c r="E1150">
        <v>41</v>
      </c>
      <c r="F1150" t="s">
        <v>46</v>
      </c>
      <c r="G1150" t="s">
        <v>38</v>
      </c>
      <c r="H1150" s="1">
        <v>41265</v>
      </c>
      <c r="I1150" s="2">
        <v>13</v>
      </c>
      <c r="J1150" t="s">
        <v>39</v>
      </c>
      <c r="K1150" s="3">
        <v>8250</v>
      </c>
      <c r="L1150" t="s">
        <v>30</v>
      </c>
      <c r="M1150">
        <v>4</v>
      </c>
      <c r="N1150">
        <v>3</v>
      </c>
      <c r="O1150">
        <v>32</v>
      </c>
      <c r="P1150" t="s">
        <v>21</v>
      </c>
      <c r="Q1150" s="1"/>
      <c r="U1150">
        <v>1</v>
      </c>
      <c r="V1150">
        <v>1</v>
      </c>
      <c r="W1150">
        <v>0</v>
      </c>
    </row>
    <row r="1151" spans="1:23" ht="16.5" x14ac:dyDescent="0.3">
      <c r="A1151" t="s">
        <v>1218</v>
      </c>
      <c r="B1151" t="s">
        <v>24</v>
      </c>
      <c r="C1151" t="s">
        <v>25</v>
      </c>
      <c r="D1151" t="s">
        <v>26</v>
      </c>
      <c r="E1151">
        <v>26</v>
      </c>
      <c r="F1151" t="s">
        <v>27</v>
      </c>
      <c r="G1151" t="s">
        <v>38</v>
      </c>
      <c r="H1151" s="1">
        <v>44890</v>
      </c>
      <c r="I1151" s="2">
        <v>3.1</v>
      </c>
      <c r="J1151" t="s">
        <v>50</v>
      </c>
      <c r="K1151" s="3">
        <v>3150</v>
      </c>
      <c r="L1151" t="s">
        <v>30</v>
      </c>
      <c r="M1151">
        <v>5</v>
      </c>
      <c r="N1151">
        <v>3</v>
      </c>
      <c r="O1151">
        <v>17</v>
      </c>
      <c r="P1151" t="s">
        <v>21</v>
      </c>
      <c r="Q1151" s="1"/>
      <c r="U1151">
        <v>1</v>
      </c>
      <c r="V1151">
        <v>1</v>
      </c>
      <c r="W1151">
        <v>0</v>
      </c>
    </row>
    <row r="1152" spans="1:23" ht="16.5" x14ac:dyDescent="0.3">
      <c r="A1152" t="s">
        <v>1219</v>
      </c>
      <c r="B1152" t="s">
        <v>44</v>
      </c>
      <c r="C1152" t="s">
        <v>87</v>
      </c>
      <c r="D1152" t="s">
        <v>26</v>
      </c>
      <c r="E1152">
        <v>46</v>
      </c>
      <c r="F1152" t="s">
        <v>88</v>
      </c>
      <c r="G1152" t="s">
        <v>38</v>
      </c>
      <c r="H1152" s="1">
        <v>40815</v>
      </c>
      <c r="I1152" s="2">
        <v>14.3</v>
      </c>
      <c r="J1152" t="s">
        <v>39</v>
      </c>
      <c r="K1152" s="3">
        <v>14050</v>
      </c>
      <c r="L1152" t="s">
        <v>30</v>
      </c>
      <c r="M1152">
        <v>3</v>
      </c>
      <c r="N1152">
        <v>3</v>
      </c>
      <c r="O1152">
        <v>16</v>
      </c>
      <c r="P1152" t="s">
        <v>21</v>
      </c>
      <c r="Q1152" s="1"/>
      <c r="U1152">
        <v>1</v>
      </c>
      <c r="V1152">
        <v>1</v>
      </c>
      <c r="W1152">
        <v>0</v>
      </c>
    </row>
    <row r="1153" spans="1:23" ht="16.5" x14ac:dyDescent="0.3">
      <c r="A1153" t="s">
        <v>1220</v>
      </c>
      <c r="B1153" t="s">
        <v>48</v>
      </c>
      <c r="C1153" t="s">
        <v>25</v>
      </c>
      <c r="D1153" t="s">
        <v>37</v>
      </c>
      <c r="E1153">
        <v>25</v>
      </c>
      <c r="F1153" t="s">
        <v>57</v>
      </c>
      <c r="G1153" t="s">
        <v>38</v>
      </c>
      <c r="H1153" s="1">
        <v>45118</v>
      </c>
      <c r="I1153" s="2">
        <v>2.1</v>
      </c>
      <c r="J1153" t="s">
        <v>29</v>
      </c>
      <c r="K1153" s="3">
        <v>5750</v>
      </c>
      <c r="L1153" t="s">
        <v>30</v>
      </c>
      <c r="M1153">
        <v>3</v>
      </c>
      <c r="N1153">
        <v>3</v>
      </c>
      <c r="O1153">
        <v>20</v>
      </c>
      <c r="P1153" t="s">
        <v>22</v>
      </c>
      <c r="Q1153" s="1">
        <v>45890</v>
      </c>
      <c r="R1153" t="s">
        <v>40</v>
      </c>
      <c r="S1153" t="s">
        <v>41</v>
      </c>
      <c r="T1153" t="s">
        <v>42</v>
      </c>
      <c r="U1153">
        <v>1</v>
      </c>
      <c r="V1153">
        <v>0</v>
      </c>
      <c r="W1153">
        <v>1</v>
      </c>
    </row>
    <row r="1154" spans="1:23" ht="16.5" x14ac:dyDescent="0.3">
      <c r="A1154" t="s">
        <v>1221</v>
      </c>
      <c r="B1154" t="s">
        <v>35</v>
      </c>
      <c r="C1154" t="s">
        <v>87</v>
      </c>
      <c r="D1154" t="s">
        <v>26</v>
      </c>
      <c r="E1154">
        <v>39</v>
      </c>
      <c r="F1154" t="s">
        <v>46</v>
      </c>
      <c r="G1154" t="s">
        <v>38</v>
      </c>
      <c r="H1154" s="1">
        <v>45210</v>
      </c>
      <c r="I1154" s="2">
        <v>2.2000000000000002</v>
      </c>
      <c r="J1154" t="s">
        <v>29</v>
      </c>
      <c r="K1154" s="3">
        <v>9200</v>
      </c>
      <c r="L1154" t="s">
        <v>58</v>
      </c>
      <c r="M1154">
        <v>4</v>
      </c>
      <c r="N1154">
        <v>4</v>
      </c>
      <c r="O1154">
        <v>26</v>
      </c>
      <c r="P1154" t="s">
        <v>21</v>
      </c>
      <c r="Q1154" s="1"/>
      <c r="U1154">
        <v>1</v>
      </c>
      <c r="V1154">
        <v>1</v>
      </c>
      <c r="W1154">
        <v>0</v>
      </c>
    </row>
    <row r="1155" spans="1:23" ht="16.5" x14ac:dyDescent="0.3">
      <c r="A1155" t="s">
        <v>1222</v>
      </c>
      <c r="B1155" t="s">
        <v>24</v>
      </c>
      <c r="C1155" t="s">
        <v>25</v>
      </c>
      <c r="D1155" t="s">
        <v>26</v>
      </c>
      <c r="E1155">
        <v>25</v>
      </c>
      <c r="F1155" t="s">
        <v>57</v>
      </c>
      <c r="G1155" t="s">
        <v>38</v>
      </c>
      <c r="H1155" s="1">
        <v>45190</v>
      </c>
      <c r="I1155" s="2">
        <v>1.3</v>
      </c>
      <c r="J1155" t="s">
        <v>29</v>
      </c>
      <c r="K1155" s="3">
        <v>2200</v>
      </c>
      <c r="L1155" t="s">
        <v>58</v>
      </c>
      <c r="M1155">
        <v>3</v>
      </c>
      <c r="N1155">
        <v>3</v>
      </c>
      <c r="O1155">
        <v>17</v>
      </c>
      <c r="P1155" t="s">
        <v>22</v>
      </c>
      <c r="Q1155" s="1">
        <v>45674</v>
      </c>
      <c r="R1155" t="s">
        <v>40</v>
      </c>
      <c r="S1155" t="s">
        <v>107</v>
      </c>
      <c r="T1155" t="s">
        <v>60</v>
      </c>
      <c r="U1155">
        <v>1</v>
      </c>
      <c r="V1155">
        <v>0</v>
      </c>
      <c r="W1155">
        <v>1</v>
      </c>
    </row>
    <row r="1156" spans="1:23" ht="16.5" x14ac:dyDescent="0.3">
      <c r="A1156" t="s">
        <v>1223</v>
      </c>
      <c r="B1156" t="s">
        <v>35</v>
      </c>
      <c r="C1156" t="s">
        <v>25</v>
      </c>
      <c r="D1156" t="s">
        <v>37</v>
      </c>
      <c r="E1156">
        <v>29</v>
      </c>
      <c r="F1156" t="s">
        <v>27</v>
      </c>
      <c r="G1156" t="s">
        <v>38</v>
      </c>
      <c r="H1156" s="1">
        <v>43840</v>
      </c>
      <c r="I1156" s="2">
        <v>6</v>
      </c>
      <c r="J1156" t="s">
        <v>39</v>
      </c>
      <c r="K1156" s="3">
        <v>3750</v>
      </c>
      <c r="L1156" t="s">
        <v>58</v>
      </c>
      <c r="M1156">
        <v>3</v>
      </c>
      <c r="N1156">
        <v>4</v>
      </c>
      <c r="O1156">
        <v>14</v>
      </c>
      <c r="P1156" t="s">
        <v>21</v>
      </c>
      <c r="Q1156" s="1"/>
      <c r="U1156">
        <v>1</v>
      </c>
      <c r="V1156">
        <v>1</v>
      </c>
      <c r="W1156">
        <v>0</v>
      </c>
    </row>
    <row r="1157" spans="1:23" ht="16.5" x14ac:dyDescent="0.3">
      <c r="A1157" t="s">
        <v>1224</v>
      </c>
      <c r="B1157" t="s">
        <v>24</v>
      </c>
      <c r="C1157" t="s">
        <v>87</v>
      </c>
      <c r="D1157" t="s">
        <v>26</v>
      </c>
      <c r="E1157">
        <v>42</v>
      </c>
      <c r="F1157" t="s">
        <v>46</v>
      </c>
      <c r="G1157" t="s">
        <v>28</v>
      </c>
      <c r="H1157" s="1">
        <v>40783</v>
      </c>
      <c r="I1157" s="2">
        <v>14.3</v>
      </c>
      <c r="J1157" t="s">
        <v>39</v>
      </c>
      <c r="K1157" s="3">
        <v>7450</v>
      </c>
      <c r="L1157" t="s">
        <v>30</v>
      </c>
      <c r="M1157">
        <v>5</v>
      </c>
      <c r="N1157">
        <v>3</v>
      </c>
      <c r="O1157">
        <v>43</v>
      </c>
      <c r="P1157" t="s">
        <v>21</v>
      </c>
      <c r="Q1157" s="1"/>
      <c r="U1157">
        <v>1</v>
      </c>
      <c r="V1157">
        <v>1</v>
      </c>
      <c r="W1157">
        <v>0</v>
      </c>
    </row>
    <row r="1158" spans="1:23" ht="16.5" x14ac:dyDescent="0.3">
      <c r="A1158" t="s">
        <v>1225</v>
      </c>
      <c r="B1158" t="s">
        <v>44</v>
      </c>
      <c r="C1158" t="s">
        <v>45</v>
      </c>
      <c r="D1158" t="s">
        <v>37</v>
      </c>
      <c r="E1158">
        <v>29</v>
      </c>
      <c r="F1158" t="s">
        <v>27</v>
      </c>
      <c r="G1158" t="s">
        <v>38</v>
      </c>
      <c r="H1158" s="1">
        <v>44088</v>
      </c>
      <c r="I1158" s="2">
        <v>5.3</v>
      </c>
      <c r="J1158" t="s">
        <v>39</v>
      </c>
      <c r="K1158" s="3">
        <v>9950</v>
      </c>
      <c r="L1158" t="s">
        <v>30</v>
      </c>
      <c r="M1158">
        <v>5</v>
      </c>
      <c r="N1158">
        <v>4</v>
      </c>
      <c r="O1158">
        <v>29</v>
      </c>
      <c r="P1158" t="s">
        <v>21</v>
      </c>
      <c r="Q1158" s="1"/>
      <c r="U1158">
        <v>1</v>
      </c>
      <c r="V1158">
        <v>1</v>
      </c>
      <c r="W1158">
        <v>0</v>
      </c>
    </row>
    <row r="1159" spans="1:23" ht="16.5" x14ac:dyDescent="0.3">
      <c r="A1159" t="s">
        <v>1226</v>
      </c>
      <c r="B1159" t="s">
        <v>55</v>
      </c>
      <c r="C1159" t="s">
        <v>45</v>
      </c>
      <c r="D1159" t="s">
        <v>26</v>
      </c>
      <c r="E1159">
        <v>28</v>
      </c>
      <c r="F1159" t="s">
        <v>27</v>
      </c>
      <c r="G1159" t="s">
        <v>38</v>
      </c>
      <c r="H1159" s="1">
        <v>45607</v>
      </c>
      <c r="I1159" s="2">
        <v>0.5</v>
      </c>
      <c r="J1159" t="s">
        <v>64</v>
      </c>
      <c r="K1159" s="3">
        <v>8550</v>
      </c>
      <c r="L1159" t="s">
        <v>30</v>
      </c>
      <c r="M1159">
        <v>3</v>
      </c>
      <c r="N1159">
        <v>3</v>
      </c>
      <c r="O1159">
        <v>18</v>
      </c>
      <c r="P1159" t="s">
        <v>22</v>
      </c>
      <c r="Q1159" s="1">
        <v>45784</v>
      </c>
      <c r="R1159" t="s">
        <v>40</v>
      </c>
      <c r="S1159" t="s">
        <v>169</v>
      </c>
      <c r="T1159" t="s">
        <v>151</v>
      </c>
      <c r="U1159">
        <v>1</v>
      </c>
      <c r="V1159">
        <v>0</v>
      </c>
      <c r="W1159">
        <v>1</v>
      </c>
    </row>
    <row r="1160" spans="1:23" ht="16.5" x14ac:dyDescent="0.3">
      <c r="A1160" t="s">
        <v>1227</v>
      </c>
      <c r="B1160" t="s">
        <v>73</v>
      </c>
      <c r="C1160" t="s">
        <v>36</v>
      </c>
      <c r="D1160" t="s">
        <v>26</v>
      </c>
      <c r="E1160">
        <v>28</v>
      </c>
      <c r="F1160" t="s">
        <v>27</v>
      </c>
      <c r="G1160" t="s">
        <v>38</v>
      </c>
      <c r="H1160" s="1">
        <v>44038</v>
      </c>
      <c r="I1160" s="2">
        <v>5.4</v>
      </c>
      <c r="J1160" t="s">
        <v>39</v>
      </c>
      <c r="K1160" s="3">
        <v>4600</v>
      </c>
      <c r="L1160" t="s">
        <v>30</v>
      </c>
      <c r="M1160">
        <v>4</v>
      </c>
      <c r="N1160">
        <v>3</v>
      </c>
      <c r="O1160">
        <v>33</v>
      </c>
      <c r="P1160" t="s">
        <v>21</v>
      </c>
      <c r="Q1160" s="1"/>
      <c r="U1160">
        <v>1</v>
      </c>
      <c r="V1160">
        <v>1</v>
      </c>
      <c r="W1160">
        <v>0</v>
      </c>
    </row>
    <row r="1161" spans="1:23" ht="16.5" x14ac:dyDescent="0.3">
      <c r="A1161" t="s">
        <v>1228</v>
      </c>
      <c r="B1161" t="s">
        <v>55</v>
      </c>
      <c r="C1161" t="s">
        <v>87</v>
      </c>
      <c r="D1161" t="s">
        <v>26</v>
      </c>
      <c r="E1161">
        <v>41</v>
      </c>
      <c r="F1161" t="s">
        <v>46</v>
      </c>
      <c r="G1161" t="s">
        <v>38</v>
      </c>
      <c r="H1161" s="1">
        <v>45183</v>
      </c>
      <c r="I1161" s="2">
        <v>2.2999999999999998</v>
      </c>
      <c r="J1161" t="s">
        <v>29</v>
      </c>
      <c r="K1161" s="3">
        <v>13200</v>
      </c>
      <c r="L1161" t="s">
        <v>30</v>
      </c>
      <c r="M1161">
        <v>4</v>
      </c>
      <c r="N1161">
        <v>3</v>
      </c>
      <c r="O1161">
        <v>34</v>
      </c>
      <c r="P1161" t="s">
        <v>21</v>
      </c>
      <c r="Q1161" s="1"/>
      <c r="U1161">
        <v>1</v>
      </c>
      <c r="V1161">
        <v>1</v>
      </c>
      <c r="W1161">
        <v>0</v>
      </c>
    </row>
    <row r="1162" spans="1:23" ht="16.5" x14ac:dyDescent="0.3">
      <c r="A1162" t="s">
        <v>1229</v>
      </c>
      <c r="B1162" t="s">
        <v>73</v>
      </c>
      <c r="C1162" t="s">
        <v>45</v>
      </c>
      <c r="D1162" t="s">
        <v>26</v>
      </c>
      <c r="E1162">
        <v>44</v>
      </c>
      <c r="F1162" t="s">
        <v>46</v>
      </c>
      <c r="G1162" t="s">
        <v>38</v>
      </c>
      <c r="H1162" s="1">
        <v>43336</v>
      </c>
      <c r="I1162" s="2">
        <v>7.4</v>
      </c>
      <c r="J1162" t="s">
        <v>39</v>
      </c>
      <c r="K1162" s="3">
        <v>7850</v>
      </c>
      <c r="L1162" t="s">
        <v>30</v>
      </c>
      <c r="M1162">
        <v>4</v>
      </c>
      <c r="N1162">
        <v>3</v>
      </c>
      <c r="O1162">
        <v>17</v>
      </c>
      <c r="P1162" t="s">
        <v>21</v>
      </c>
      <c r="Q1162" s="1"/>
      <c r="U1162">
        <v>1</v>
      </c>
      <c r="V1162">
        <v>1</v>
      </c>
      <c r="W1162">
        <v>0</v>
      </c>
    </row>
    <row r="1163" spans="1:23" ht="16.5" x14ac:dyDescent="0.3">
      <c r="A1163" t="s">
        <v>1230</v>
      </c>
      <c r="B1163" t="s">
        <v>70</v>
      </c>
      <c r="C1163" t="s">
        <v>25</v>
      </c>
      <c r="D1163" t="s">
        <v>37</v>
      </c>
      <c r="E1163">
        <v>27</v>
      </c>
      <c r="F1163" t="s">
        <v>27</v>
      </c>
      <c r="G1163" t="s">
        <v>28</v>
      </c>
      <c r="H1163" s="1">
        <v>45457</v>
      </c>
      <c r="I1163" s="2">
        <v>1.5</v>
      </c>
      <c r="J1163" t="s">
        <v>29</v>
      </c>
      <c r="K1163" s="3">
        <v>4200</v>
      </c>
      <c r="L1163" t="s">
        <v>58</v>
      </c>
      <c r="M1163">
        <v>3</v>
      </c>
      <c r="N1163">
        <v>2</v>
      </c>
      <c r="O1163">
        <v>26</v>
      </c>
      <c r="P1163" t="s">
        <v>21</v>
      </c>
      <c r="Q1163" s="1"/>
      <c r="U1163">
        <v>1</v>
      </c>
      <c r="V1163">
        <v>1</v>
      </c>
      <c r="W1163">
        <v>0</v>
      </c>
    </row>
    <row r="1164" spans="1:23" ht="16.5" x14ac:dyDescent="0.3">
      <c r="A1164" t="s">
        <v>1231</v>
      </c>
      <c r="B1164" t="s">
        <v>35</v>
      </c>
      <c r="C1164" t="s">
        <v>87</v>
      </c>
      <c r="D1164" t="s">
        <v>37</v>
      </c>
      <c r="E1164">
        <v>42</v>
      </c>
      <c r="F1164" t="s">
        <v>46</v>
      </c>
      <c r="G1164" t="s">
        <v>38</v>
      </c>
      <c r="H1164" s="1">
        <v>42571</v>
      </c>
      <c r="I1164" s="2">
        <v>9.4</v>
      </c>
      <c r="J1164" t="s">
        <v>39</v>
      </c>
      <c r="K1164" s="3">
        <v>9100</v>
      </c>
      <c r="L1164" t="s">
        <v>58</v>
      </c>
      <c r="M1164">
        <v>3</v>
      </c>
      <c r="N1164">
        <v>4</v>
      </c>
      <c r="O1164">
        <v>17</v>
      </c>
      <c r="P1164" t="s">
        <v>21</v>
      </c>
      <c r="Q1164" s="1"/>
      <c r="U1164">
        <v>1</v>
      </c>
      <c r="V1164">
        <v>1</v>
      </c>
      <c r="W1164">
        <v>0</v>
      </c>
    </row>
    <row r="1165" spans="1:23" ht="16.5" x14ac:dyDescent="0.3">
      <c r="A1165" t="s">
        <v>1232</v>
      </c>
      <c r="B1165" t="s">
        <v>24</v>
      </c>
      <c r="C1165" t="s">
        <v>45</v>
      </c>
      <c r="D1165" t="s">
        <v>37</v>
      </c>
      <c r="E1165">
        <v>37</v>
      </c>
      <c r="F1165" t="s">
        <v>46</v>
      </c>
      <c r="G1165" t="s">
        <v>38</v>
      </c>
      <c r="H1165" s="1">
        <v>44131</v>
      </c>
      <c r="I1165" s="2">
        <v>5.2</v>
      </c>
      <c r="J1165" t="s">
        <v>39</v>
      </c>
      <c r="K1165" s="3">
        <v>4600</v>
      </c>
      <c r="L1165" t="s">
        <v>30</v>
      </c>
      <c r="M1165">
        <v>1</v>
      </c>
      <c r="N1165">
        <v>3</v>
      </c>
      <c r="O1165">
        <v>22</v>
      </c>
      <c r="P1165" t="s">
        <v>21</v>
      </c>
      <c r="Q1165" s="1"/>
      <c r="U1165">
        <v>1</v>
      </c>
      <c r="V1165">
        <v>1</v>
      </c>
      <c r="W1165">
        <v>0</v>
      </c>
    </row>
    <row r="1166" spans="1:23" ht="16.5" x14ac:dyDescent="0.3">
      <c r="A1166" t="s">
        <v>1233</v>
      </c>
      <c r="B1166" t="s">
        <v>70</v>
      </c>
      <c r="C1166" t="s">
        <v>25</v>
      </c>
      <c r="D1166" t="s">
        <v>26</v>
      </c>
      <c r="E1166">
        <v>21</v>
      </c>
      <c r="F1166" t="s">
        <v>57</v>
      </c>
      <c r="G1166" t="s">
        <v>38</v>
      </c>
      <c r="H1166" s="1">
        <v>45950</v>
      </c>
      <c r="I1166" s="2">
        <v>0</v>
      </c>
      <c r="J1166" t="s">
        <v>64</v>
      </c>
      <c r="K1166" s="3">
        <v>4150</v>
      </c>
      <c r="L1166" t="s">
        <v>30</v>
      </c>
      <c r="M1166">
        <v>4</v>
      </c>
      <c r="N1166">
        <v>4</v>
      </c>
      <c r="O1166">
        <v>24</v>
      </c>
      <c r="P1166" t="s">
        <v>22</v>
      </c>
      <c r="Q1166" s="1">
        <v>45968</v>
      </c>
      <c r="R1166" t="s">
        <v>40</v>
      </c>
      <c r="S1166" t="s">
        <v>182</v>
      </c>
      <c r="T1166" t="s">
        <v>151</v>
      </c>
      <c r="U1166">
        <v>1</v>
      </c>
      <c r="V1166">
        <v>0</v>
      </c>
      <c r="W1166">
        <v>1</v>
      </c>
    </row>
    <row r="1167" spans="1:23" ht="16.5" x14ac:dyDescent="0.3">
      <c r="A1167" t="s">
        <v>1234</v>
      </c>
      <c r="B1167" t="s">
        <v>70</v>
      </c>
      <c r="C1167" t="s">
        <v>25</v>
      </c>
      <c r="D1167" t="s">
        <v>37</v>
      </c>
      <c r="E1167">
        <v>21</v>
      </c>
      <c r="F1167" t="s">
        <v>57</v>
      </c>
      <c r="G1167" t="s">
        <v>38</v>
      </c>
      <c r="H1167" s="1">
        <v>45990</v>
      </c>
      <c r="I1167" s="2">
        <v>0</v>
      </c>
      <c r="J1167" t="s">
        <v>64</v>
      </c>
      <c r="K1167" s="3">
        <v>4950</v>
      </c>
      <c r="L1167" t="s">
        <v>58</v>
      </c>
      <c r="M1167">
        <v>3</v>
      </c>
      <c r="N1167">
        <v>5</v>
      </c>
      <c r="O1167">
        <v>24</v>
      </c>
      <c r="P1167" t="s">
        <v>22</v>
      </c>
      <c r="Q1167" s="1">
        <v>45995</v>
      </c>
      <c r="R1167" t="s">
        <v>40</v>
      </c>
      <c r="S1167" t="s">
        <v>92</v>
      </c>
      <c r="T1167" t="s">
        <v>60</v>
      </c>
      <c r="U1167">
        <v>1</v>
      </c>
      <c r="V1167">
        <v>0</v>
      </c>
      <c r="W1167">
        <v>1</v>
      </c>
    </row>
    <row r="1168" spans="1:23" ht="16.5" x14ac:dyDescent="0.3">
      <c r="A1168" t="s">
        <v>1235</v>
      </c>
      <c r="B1168" t="s">
        <v>24</v>
      </c>
      <c r="C1168" t="s">
        <v>36</v>
      </c>
      <c r="D1168" t="s">
        <v>26</v>
      </c>
      <c r="E1168">
        <v>39</v>
      </c>
      <c r="F1168" t="s">
        <v>46</v>
      </c>
      <c r="G1168" t="s">
        <v>38</v>
      </c>
      <c r="H1168" s="1">
        <v>40779</v>
      </c>
      <c r="I1168" s="2">
        <v>14.4</v>
      </c>
      <c r="J1168" t="s">
        <v>39</v>
      </c>
      <c r="K1168" s="3">
        <v>3600</v>
      </c>
      <c r="L1168" t="s">
        <v>58</v>
      </c>
      <c r="M1168">
        <v>3</v>
      </c>
      <c r="N1168">
        <v>3</v>
      </c>
      <c r="O1168">
        <v>6</v>
      </c>
      <c r="P1168" t="s">
        <v>21</v>
      </c>
      <c r="Q1168" s="1"/>
      <c r="U1168">
        <v>1</v>
      </c>
      <c r="V1168">
        <v>1</v>
      </c>
      <c r="W1168">
        <v>0</v>
      </c>
    </row>
    <row r="1169" spans="1:23" ht="16.5" x14ac:dyDescent="0.3">
      <c r="A1169" t="s">
        <v>1236</v>
      </c>
      <c r="B1169" t="s">
        <v>48</v>
      </c>
      <c r="C1169" t="s">
        <v>87</v>
      </c>
      <c r="D1169" t="s">
        <v>37</v>
      </c>
      <c r="E1169">
        <v>45</v>
      </c>
      <c r="F1169" t="s">
        <v>46</v>
      </c>
      <c r="G1169" t="s">
        <v>28</v>
      </c>
      <c r="H1169" s="1">
        <v>44236</v>
      </c>
      <c r="I1169" s="2">
        <v>4.9000000000000004</v>
      </c>
      <c r="J1169" t="s">
        <v>50</v>
      </c>
      <c r="K1169" s="3">
        <v>14050</v>
      </c>
      <c r="L1169" t="s">
        <v>58</v>
      </c>
      <c r="M1169">
        <v>4</v>
      </c>
      <c r="N1169">
        <v>4</v>
      </c>
      <c r="O1169">
        <v>16</v>
      </c>
      <c r="P1169" t="s">
        <v>21</v>
      </c>
      <c r="Q1169" s="1"/>
      <c r="U1169">
        <v>1</v>
      </c>
      <c r="V1169">
        <v>1</v>
      </c>
      <c r="W1169">
        <v>0</v>
      </c>
    </row>
    <row r="1170" spans="1:23" ht="16.5" x14ac:dyDescent="0.3">
      <c r="A1170" t="s">
        <v>1237</v>
      </c>
      <c r="B1170" t="s">
        <v>48</v>
      </c>
      <c r="C1170" t="s">
        <v>36</v>
      </c>
      <c r="D1170" t="s">
        <v>26</v>
      </c>
      <c r="E1170">
        <v>31</v>
      </c>
      <c r="F1170" t="s">
        <v>27</v>
      </c>
      <c r="G1170" t="s">
        <v>52</v>
      </c>
      <c r="H1170" s="1">
        <v>43284</v>
      </c>
      <c r="I1170" s="2">
        <v>7.5</v>
      </c>
      <c r="J1170" t="s">
        <v>39</v>
      </c>
      <c r="K1170" s="3">
        <v>8300</v>
      </c>
      <c r="L1170" t="s">
        <v>30</v>
      </c>
      <c r="M1170">
        <v>4</v>
      </c>
      <c r="N1170">
        <v>3</v>
      </c>
      <c r="O1170">
        <v>25</v>
      </c>
      <c r="P1170" t="s">
        <v>21</v>
      </c>
      <c r="Q1170" s="1"/>
      <c r="U1170">
        <v>1</v>
      </c>
      <c r="V1170">
        <v>1</v>
      </c>
      <c r="W1170">
        <v>0</v>
      </c>
    </row>
    <row r="1171" spans="1:23" ht="16.5" x14ac:dyDescent="0.3">
      <c r="A1171" t="s">
        <v>1238</v>
      </c>
      <c r="B1171" t="s">
        <v>48</v>
      </c>
      <c r="C1171" t="s">
        <v>25</v>
      </c>
      <c r="D1171" t="s">
        <v>26</v>
      </c>
      <c r="E1171">
        <v>25</v>
      </c>
      <c r="F1171" t="s">
        <v>57</v>
      </c>
      <c r="G1171" t="s">
        <v>28</v>
      </c>
      <c r="H1171" s="1">
        <v>45557</v>
      </c>
      <c r="I1171" s="2">
        <v>1.3</v>
      </c>
      <c r="J1171" t="s">
        <v>29</v>
      </c>
      <c r="K1171" s="3">
        <v>4950</v>
      </c>
      <c r="L1171" t="s">
        <v>58</v>
      </c>
      <c r="M1171">
        <v>4</v>
      </c>
      <c r="N1171">
        <v>3</v>
      </c>
      <c r="O1171">
        <v>7</v>
      </c>
      <c r="P1171" t="s">
        <v>21</v>
      </c>
      <c r="Q1171" s="1"/>
      <c r="U1171">
        <v>1</v>
      </c>
      <c r="V1171">
        <v>1</v>
      </c>
      <c r="W1171">
        <v>0</v>
      </c>
    </row>
    <row r="1172" spans="1:23" ht="16.5" x14ac:dyDescent="0.3">
      <c r="A1172" t="s">
        <v>1239</v>
      </c>
      <c r="B1172" t="s">
        <v>73</v>
      </c>
      <c r="C1172" t="s">
        <v>36</v>
      </c>
      <c r="D1172" t="s">
        <v>37</v>
      </c>
      <c r="E1172">
        <v>29</v>
      </c>
      <c r="F1172" t="s">
        <v>27</v>
      </c>
      <c r="G1172" t="s">
        <v>38</v>
      </c>
      <c r="H1172" s="1">
        <v>45352</v>
      </c>
      <c r="I1172" s="2">
        <v>1.8</v>
      </c>
      <c r="J1172" t="s">
        <v>29</v>
      </c>
      <c r="K1172" s="3">
        <v>5000</v>
      </c>
      <c r="L1172" t="s">
        <v>30</v>
      </c>
      <c r="M1172">
        <v>3</v>
      </c>
      <c r="N1172">
        <v>3</v>
      </c>
      <c r="O1172">
        <v>15</v>
      </c>
      <c r="P1172" t="s">
        <v>21</v>
      </c>
      <c r="Q1172" s="1"/>
      <c r="U1172">
        <v>1</v>
      </c>
      <c r="V1172">
        <v>1</v>
      </c>
      <c r="W1172">
        <v>0</v>
      </c>
    </row>
    <row r="1173" spans="1:23" ht="16.5" x14ac:dyDescent="0.3">
      <c r="A1173" t="s">
        <v>1240</v>
      </c>
      <c r="B1173" t="s">
        <v>35</v>
      </c>
      <c r="C1173" t="s">
        <v>45</v>
      </c>
      <c r="D1173" t="s">
        <v>26</v>
      </c>
      <c r="E1173">
        <v>43</v>
      </c>
      <c r="F1173" t="s">
        <v>46</v>
      </c>
      <c r="G1173" t="s">
        <v>28</v>
      </c>
      <c r="H1173" s="1">
        <v>41829</v>
      </c>
      <c r="I1173" s="2">
        <v>11.5</v>
      </c>
      <c r="J1173" t="s">
        <v>39</v>
      </c>
      <c r="K1173" s="3">
        <v>6450</v>
      </c>
      <c r="L1173" t="s">
        <v>30</v>
      </c>
      <c r="M1173">
        <v>3</v>
      </c>
      <c r="N1173">
        <v>4</v>
      </c>
      <c r="O1173">
        <v>4</v>
      </c>
      <c r="P1173" t="s">
        <v>21</v>
      </c>
      <c r="Q1173" s="1"/>
      <c r="U1173">
        <v>1</v>
      </c>
      <c r="V1173">
        <v>1</v>
      </c>
      <c r="W1173">
        <v>0</v>
      </c>
    </row>
    <row r="1174" spans="1:23" ht="16.5" x14ac:dyDescent="0.3">
      <c r="A1174" t="s">
        <v>1241</v>
      </c>
      <c r="B1174" t="s">
        <v>48</v>
      </c>
      <c r="C1174" t="s">
        <v>25</v>
      </c>
      <c r="D1174" t="s">
        <v>37</v>
      </c>
      <c r="E1174">
        <v>23</v>
      </c>
      <c r="F1174" t="s">
        <v>57</v>
      </c>
      <c r="G1174" t="s">
        <v>28</v>
      </c>
      <c r="H1174" s="1">
        <v>45840</v>
      </c>
      <c r="I1174" s="2">
        <v>0.4</v>
      </c>
      <c r="J1174" t="s">
        <v>64</v>
      </c>
      <c r="K1174" s="3">
        <v>4700</v>
      </c>
      <c r="L1174" t="s">
        <v>30</v>
      </c>
      <c r="M1174">
        <v>3</v>
      </c>
      <c r="N1174">
        <v>4</v>
      </c>
      <c r="O1174">
        <v>10</v>
      </c>
      <c r="P1174" t="s">
        <v>22</v>
      </c>
      <c r="Q1174" s="1">
        <v>46001</v>
      </c>
      <c r="R1174" t="s">
        <v>40</v>
      </c>
      <c r="S1174" t="s">
        <v>92</v>
      </c>
      <c r="T1174" t="s">
        <v>151</v>
      </c>
      <c r="U1174">
        <v>1</v>
      </c>
      <c r="V1174">
        <v>0</v>
      </c>
      <c r="W1174">
        <v>1</v>
      </c>
    </row>
    <row r="1175" spans="1:23" ht="16.5" x14ac:dyDescent="0.3">
      <c r="A1175" t="s">
        <v>1242</v>
      </c>
      <c r="B1175" t="s">
        <v>70</v>
      </c>
      <c r="C1175" t="s">
        <v>45</v>
      </c>
      <c r="D1175" t="s">
        <v>37</v>
      </c>
      <c r="E1175">
        <v>44</v>
      </c>
      <c r="F1175" t="s">
        <v>46</v>
      </c>
      <c r="G1175" t="s">
        <v>38</v>
      </c>
      <c r="H1175" s="1">
        <v>41851</v>
      </c>
      <c r="I1175" s="2">
        <v>11.4</v>
      </c>
      <c r="J1175" t="s">
        <v>39</v>
      </c>
      <c r="K1175" s="3">
        <v>7800</v>
      </c>
      <c r="L1175" t="s">
        <v>58</v>
      </c>
      <c r="M1175">
        <v>4</v>
      </c>
      <c r="N1175">
        <v>3</v>
      </c>
      <c r="O1175">
        <v>22</v>
      </c>
      <c r="P1175" t="s">
        <v>21</v>
      </c>
      <c r="Q1175" s="1"/>
      <c r="U1175">
        <v>1</v>
      </c>
      <c r="V1175">
        <v>1</v>
      </c>
      <c r="W1175">
        <v>0</v>
      </c>
    </row>
    <row r="1176" spans="1:23" ht="16.5" x14ac:dyDescent="0.3">
      <c r="A1176" t="s">
        <v>1243</v>
      </c>
      <c r="B1176" t="s">
        <v>48</v>
      </c>
      <c r="C1176" t="s">
        <v>36</v>
      </c>
      <c r="D1176" t="s">
        <v>37</v>
      </c>
      <c r="E1176">
        <v>29</v>
      </c>
      <c r="F1176" t="s">
        <v>27</v>
      </c>
      <c r="G1176" t="s">
        <v>38</v>
      </c>
      <c r="H1176" s="1">
        <v>44193</v>
      </c>
      <c r="I1176" s="2">
        <v>5</v>
      </c>
      <c r="J1176" t="s">
        <v>50</v>
      </c>
      <c r="K1176" s="3">
        <v>7050</v>
      </c>
      <c r="L1176" t="s">
        <v>30</v>
      </c>
      <c r="M1176">
        <v>3</v>
      </c>
      <c r="N1176">
        <v>3</v>
      </c>
      <c r="O1176">
        <v>33</v>
      </c>
      <c r="P1176" t="s">
        <v>21</v>
      </c>
      <c r="Q1176" s="1"/>
      <c r="U1176">
        <v>1</v>
      </c>
      <c r="V1176">
        <v>1</v>
      </c>
      <c r="W1176">
        <v>0</v>
      </c>
    </row>
    <row r="1177" spans="1:23" ht="16.5" x14ac:dyDescent="0.3">
      <c r="A1177" t="s">
        <v>1244</v>
      </c>
      <c r="B1177" t="s">
        <v>24</v>
      </c>
      <c r="C1177" t="s">
        <v>45</v>
      </c>
      <c r="D1177" t="s">
        <v>26</v>
      </c>
      <c r="E1177">
        <v>53</v>
      </c>
      <c r="F1177" t="s">
        <v>88</v>
      </c>
      <c r="G1177" t="s">
        <v>38</v>
      </c>
      <c r="H1177" s="1">
        <v>41634</v>
      </c>
      <c r="I1177" s="2">
        <v>12</v>
      </c>
      <c r="J1177" t="s">
        <v>39</v>
      </c>
      <c r="K1177" s="3">
        <v>5400</v>
      </c>
      <c r="L1177" t="s">
        <v>30</v>
      </c>
      <c r="M1177">
        <v>4</v>
      </c>
      <c r="N1177">
        <v>3</v>
      </c>
      <c r="O1177">
        <v>36</v>
      </c>
      <c r="P1177" t="s">
        <v>21</v>
      </c>
      <c r="Q1177" s="1"/>
      <c r="U1177">
        <v>1</v>
      </c>
      <c r="V1177">
        <v>1</v>
      </c>
      <c r="W1177">
        <v>0</v>
      </c>
    </row>
    <row r="1178" spans="1:23" ht="16.5" x14ac:dyDescent="0.3">
      <c r="A1178" t="s">
        <v>1245</v>
      </c>
      <c r="B1178" t="s">
        <v>35</v>
      </c>
      <c r="C1178" t="s">
        <v>36</v>
      </c>
      <c r="D1178" t="s">
        <v>37</v>
      </c>
      <c r="E1178">
        <v>29</v>
      </c>
      <c r="F1178" t="s">
        <v>27</v>
      </c>
      <c r="G1178" t="s">
        <v>38</v>
      </c>
      <c r="H1178" s="1">
        <v>45409</v>
      </c>
      <c r="I1178" s="2">
        <v>1.7</v>
      </c>
      <c r="J1178" t="s">
        <v>29</v>
      </c>
      <c r="K1178" s="3">
        <v>4400</v>
      </c>
      <c r="L1178" t="s">
        <v>30</v>
      </c>
      <c r="M1178">
        <v>4</v>
      </c>
      <c r="N1178">
        <v>4</v>
      </c>
      <c r="O1178">
        <v>5</v>
      </c>
      <c r="P1178" t="s">
        <v>21</v>
      </c>
      <c r="Q1178" s="1"/>
      <c r="U1178">
        <v>1</v>
      </c>
      <c r="V1178">
        <v>1</v>
      </c>
      <c r="W1178">
        <v>0</v>
      </c>
    </row>
    <row r="1179" spans="1:23" ht="16.5" x14ac:dyDescent="0.3">
      <c r="A1179" t="s">
        <v>1246</v>
      </c>
      <c r="B1179" t="s">
        <v>48</v>
      </c>
      <c r="C1179" t="s">
        <v>25</v>
      </c>
      <c r="D1179" t="s">
        <v>37</v>
      </c>
      <c r="E1179">
        <v>26</v>
      </c>
      <c r="F1179" t="s">
        <v>27</v>
      </c>
      <c r="G1179" t="s">
        <v>28</v>
      </c>
      <c r="H1179" s="1">
        <v>44665</v>
      </c>
      <c r="I1179" s="2">
        <v>3.7</v>
      </c>
      <c r="J1179" t="s">
        <v>50</v>
      </c>
      <c r="K1179" s="3">
        <v>6600</v>
      </c>
      <c r="L1179" t="s">
        <v>30</v>
      </c>
      <c r="M1179">
        <v>2</v>
      </c>
      <c r="N1179">
        <v>4</v>
      </c>
      <c r="O1179">
        <v>43</v>
      </c>
      <c r="P1179" t="s">
        <v>21</v>
      </c>
      <c r="Q1179" s="1"/>
      <c r="U1179">
        <v>1</v>
      </c>
      <c r="V1179">
        <v>1</v>
      </c>
      <c r="W1179">
        <v>0</v>
      </c>
    </row>
    <row r="1180" spans="1:23" ht="16.5" x14ac:dyDescent="0.3">
      <c r="A1180" t="s">
        <v>1247</v>
      </c>
      <c r="B1180" t="s">
        <v>35</v>
      </c>
      <c r="C1180" t="s">
        <v>25</v>
      </c>
      <c r="D1180" t="s">
        <v>37</v>
      </c>
      <c r="E1180">
        <v>25</v>
      </c>
      <c r="F1180" t="s">
        <v>57</v>
      </c>
      <c r="G1180" t="s">
        <v>52</v>
      </c>
      <c r="H1180" s="1">
        <v>45689</v>
      </c>
      <c r="I1180" s="2">
        <v>0.9</v>
      </c>
      <c r="J1180" t="s">
        <v>64</v>
      </c>
      <c r="K1180" s="3">
        <v>3250</v>
      </c>
      <c r="L1180" t="s">
        <v>58</v>
      </c>
      <c r="M1180">
        <v>3</v>
      </c>
      <c r="N1180">
        <v>3</v>
      </c>
      <c r="O1180">
        <v>20</v>
      </c>
      <c r="P1180" t="s">
        <v>21</v>
      </c>
      <c r="Q1180" s="1"/>
      <c r="U1180">
        <v>1</v>
      </c>
      <c r="V1180">
        <v>1</v>
      </c>
      <c r="W1180">
        <v>0</v>
      </c>
    </row>
    <row r="1181" spans="1:23" ht="16.5" x14ac:dyDescent="0.3">
      <c r="A1181" t="s">
        <v>1248</v>
      </c>
      <c r="B1181" t="s">
        <v>44</v>
      </c>
      <c r="C1181" t="s">
        <v>45</v>
      </c>
      <c r="D1181" t="s">
        <v>37</v>
      </c>
      <c r="E1181">
        <v>40</v>
      </c>
      <c r="F1181" t="s">
        <v>46</v>
      </c>
      <c r="G1181" t="s">
        <v>52</v>
      </c>
      <c r="H1181" s="1">
        <v>43927</v>
      </c>
      <c r="I1181" s="2">
        <v>5.7</v>
      </c>
      <c r="J1181" t="s">
        <v>39</v>
      </c>
      <c r="K1181" s="3">
        <v>10600</v>
      </c>
      <c r="L1181" t="s">
        <v>30</v>
      </c>
      <c r="M1181">
        <v>5</v>
      </c>
      <c r="N1181">
        <v>4</v>
      </c>
      <c r="O1181">
        <v>29</v>
      </c>
      <c r="P1181" t="s">
        <v>21</v>
      </c>
      <c r="Q1181" s="1"/>
      <c r="U1181">
        <v>1</v>
      </c>
      <c r="V1181">
        <v>1</v>
      </c>
      <c r="W1181">
        <v>0</v>
      </c>
    </row>
    <row r="1182" spans="1:23" ht="16.5" x14ac:dyDescent="0.3">
      <c r="A1182" t="s">
        <v>1249</v>
      </c>
      <c r="B1182" t="s">
        <v>70</v>
      </c>
      <c r="C1182" t="s">
        <v>36</v>
      </c>
      <c r="D1182" t="s">
        <v>37</v>
      </c>
      <c r="E1182">
        <v>32</v>
      </c>
      <c r="F1182" t="s">
        <v>27</v>
      </c>
      <c r="G1182" t="s">
        <v>28</v>
      </c>
      <c r="H1182" s="1">
        <v>43282</v>
      </c>
      <c r="I1182" s="2">
        <v>7.5</v>
      </c>
      <c r="J1182" t="s">
        <v>39</v>
      </c>
      <c r="K1182" s="3">
        <v>5500</v>
      </c>
      <c r="L1182" t="s">
        <v>58</v>
      </c>
      <c r="M1182">
        <v>3</v>
      </c>
      <c r="N1182">
        <v>4</v>
      </c>
      <c r="O1182">
        <v>15</v>
      </c>
      <c r="P1182" t="s">
        <v>21</v>
      </c>
      <c r="Q1182" s="1"/>
      <c r="U1182">
        <v>1</v>
      </c>
      <c r="V1182">
        <v>1</v>
      </c>
      <c r="W1182">
        <v>0</v>
      </c>
    </row>
    <row r="1183" spans="1:23" ht="16.5" x14ac:dyDescent="0.3">
      <c r="A1183" t="s">
        <v>1250</v>
      </c>
      <c r="B1183" t="s">
        <v>24</v>
      </c>
      <c r="C1183" t="s">
        <v>87</v>
      </c>
      <c r="D1183" t="s">
        <v>37</v>
      </c>
      <c r="E1183">
        <v>39</v>
      </c>
      <c r="F1183" t="s">
        <v>46</v>
      </c>
      <c r="G1183" t="s">
        <v>38</v>
      </c>
      <c r="H1183" s="1">
        <v>42516</v>
      </c>
      <c r="I1183" s="2">
        <v>9.6</v>
      </c>
      <c r="J1183" t="s">
        <v>39</v>
      </c>
      <c r="K1183" s="3">
        <v>8050</v>
      </c>
      <c r="L1183" t="s">
        <v>58</v>
      </c>
      <c r="M1183">
        <v>3</v>
      </c>
      <c r="N1183">
        <v>5</v>
      </c>
      <c r="O1183">
        <v>18</v>
      </c>
      <c r="P1183" t="s">
        <v>21</v>
      </c>
      <c r="Q1183" s="1"/>
      <c r="U1183">
        <v>1</v>
      </c>
      <c r="V1183">
        <v>1</v>
      </c>
      <c r="W1183">
        <v>0</v>
      </c>
    </row>
    <row r="1184" spans="1:23" ht="16.5" x14ac:dyDescent="0.3">
      <c r="A1184" t="s">
        <v>1251</v>
      </c>
      <c r="B1184" t="s">
        <v>70</v>
      </c>
      <c r="C1184" t="s">
        <v>25</v>
      </c>
      <c r="D1184" t="s">
        <v>37</v>
      </c>
      <c r="E1184">
        <v>30</v>
      </c>
      <c r="F1184" t="s">
        <v>27</v>
      </c>
      <c r="G1184" t="s">
        <v>28</v>
      </c>
      <c r="H1184" s="1">
        <v>44516</v>
      </c>
      <c r="I1184" s="2">
        <v>4.0999999999999996</v>
      </c>
      <c r="J1184" t="s">
        <v>50</v>
      </c>
      <c r="K1184" s="3">
        <v>4250</v>
      </c>
      <c r="L1184" t="s">
        <v>30</v>
      </c>
      <c r="M1184">
        <v>4</v>
      </c>
      <c r="N1184">
        <v>4</v>
      </c>
      <c r="O1184">
        <v>28</v>
      </c>
      <c r="P1184" t="s">
        <v>21</v>
      </c>
      <c r="Q1184" s="1"/>
      <c r="U1184">
        <v>1</v>
      </c>
      <c r="V1184">
        <v>1</v>
      </c>
      <c r="W1184">
        <v>0</v>
      </c>
    </row>
    <row r="1185" spans="1:23" ht="16.5" x14ac:dyDescent="0.3">
      <c r="A1185" t="s">
        <v>1252</v>
      </c>
      <c r="B1185" t="s">
        <v>35</v>
      </c>
      <c r="C1185" t="s">
        <v>36</v>
      </c>
      <c r="D1185" t="s">
        <v>26</v>
      </c>
      <c r="E1185">
        <v>31</v>
      </c>
      <c r="F1185" t="s">
        <v>27</v>
      </c>
      <c r="G1185" t="s">
        <v>38</v>
      </c>
      <c r="H1185" s="1">
        <v>45063</v>
      </c>
      <c r="I1185" s="2">
        <v>2.6</v>
      </c>
      <c r="J1185" t="s">
        <v>29</v>
      </c>
      <c r="K1185" s="3">
        <v>4350</v>
      </c>
      <c r="L1185" t="s">
        <v>30</v>
      </c>
      <c r="M1185">
        <v>3</v>
      </c>
      <c r="N1185">
        <v>3</v>
      </c>
      <c r="O1185">
        <v>10</v>
      </c>
      <c r="P1185" t="s">
        <v>21</v>
      </c>
      <c r="Q1185" s="1"/>
      <c r="U1185">
        <v>1</v>
      </c>
      <c r="V1185">
        <v>1</v>
      </c>
      <c r="W1185">
        <v>0</v>
      </c>
    </row>
    <row r="1186" spans="1:23" ht="16.5" x14ac:dyDescent="0.3">
      <c r="A1186" t="s">
        <v>1253</v>
      </c>
      <c r="B1186" t="s">
        <v>55</v>
      </c>
      <c r="C1186" t="s">
        <v>25</v>
      </c>
      <c r="D1186" t="s">
        <v>37</v>
      </c>
      <c r="E1186">
        <v>26</v>
      </c>
      <c r="F1186" t="s">
        <v>27</v>
      </c>
      <c r="G1186" t="s">
        <v>28</v>
      </c>
      <c r="H1186" s="1">
        <v>44612</v>
      </c>
      <c r="I1186" s="2">
        <v>3.9</v>
      </c>
      <c r="J1186" t="s">
        <v>50</v>
      </c>
      <c r="K1186" s="3">
        <v>4350</v>
      </c>
      <c r="L1186" t="s">
        <v>30</v>
      </c>
      <c r="M1186">
        <v>2</v>
      </c>
      <c r="N1186">
        <v>2</v>
      </c>
      <c r="O1186">
        <v>30</v>
      </c>
      <c r="P1186" t="s">
        <v>21</v>
      </c>
      <c r="Q1186" s="1"/>
      <c r="U1186">
        <v>1</v>
      </c>
      <c r="V1186">
        <v>1</v>
      </c>
      <c r="W1186">
        <v>0</v>
      </c>
    </row>
    <row r="1187" spans="1:23" ht="16.5" x14ac:dyDescent="0.3">
      <c r="A1187" t="s">
        <v>1254</v>
      </c>
      <c r="B1187" t="s">
        <v>70</v>
      </c>
      <c r="C1187" t="s">
        <v>36</v>
      </c>
      <c r="D1187" t="s">
        <v>37</v>
      </c>
      <c r="E1187">
        <v>30</v>
      </c>
      <c r="F1187" t="s">
        <v>27</v>
      </c>
      <c r="G1187" t="s">
        <v>52</v>
      </c>
      <c r="H1187" s="1">
        <v>45337</v>
      </c>
      <c r="I1187" s="2">
        <v>0.4</v>
      </c>
      <c r="J1187" t="s">
        <v>64</v>
      </c>
      <c r="K1187" s="3">
        <v>5450</v>
      </c>
      <c r="L1187" t="s">
        <v>58</v>
      </c>
      <c r="M1187">
        <v>2</v>
      </c>
      <c r="N1187">
        <v>4</v>
      </c>
      <c r="O1187">
        <v>40</v>
      </c>
      <c r="P1187" t="s">
        <v>22</v>
      </c>
      <c r="Q1187" s="1">
        <v>45475</v>
      </c>
      <c r="R1187" t="s">
        <v>31</v>
      </c>
      <c r="S1187" t="s">
        <v>84</v>
      </c>
      <c r="T1187" t="s">
        <v>151</v>
      </c>
      <c r="U1187">
        <v>1</v>
      </c>
      <c r="V1187">
        <v>0</v>
      </c>
      <c r="W1187">
        <v>1</v>
      </c>
    </row>
    <row r="1188" spans="1:23" ht="16.5" x14ac:dyDescent="0.3">
      <c r="A1188" t="s">
        <v>1255</v>
      </c>
      <c r="B1188" t="s">
        <v>24</v>
      </c>
      <c r="C1188" t="s">
        <v>25</v>
      </c>
      <c r="D1188" t="s">
        <v>37</v>
      </c>
      <c r="E1188">
        <v>21</v>
      </c>
      <c r="F1188" t="s">
        <v>57</v>
      </c>
      <c r="G1188" t="s">
        <v>28</v>
      </c>
      <c r="H1188" s="1">
        <v>45969</v>
      </c>
      <c r="I1188" s="2">
        <v>0.1</v>
      </c>
      <c r="J1188" t="s">
        <v>64</v>
      </c>
      <c r="K1188" s="3">
        <v>3200</v>
      </c>
      <c r="L1188" t="s">
        <v>30</v>
      </c>
      <c r="M1188">
        <v>3</v>
      </c>
      <c r="N1188">
        <v>3</v>
      </c>
      <c r="O1188">
        <v>34</v>
      </c>
      <c r="P1188" t="s">
        <v>21</v>
      </c>
      <c r="Q1188" s="1"/>
      <c r="U1188">
        <v>1</v>
      </c>
      <c r="V1188">
        <v>1</v>
      </c>
      <c r="W1188">
        <v>0</v>
      </c>
    </row>
    <row r="1189" spans="1:23" ht="16.5" x14ac:dyDescent="0.3">
      <c r="A1189" t="s">
        <v>1256</v>
      </c>
      <c r="B1189" t="s">
        <v>48</v>
      </c>
      <c r="C1189" t="s">
        <v>36</v>
      </c>
      <c r="D1189" t="s">
        <v>37</v>
      </c>
      <c r="E1189">
        <v>35</v>
      </c>
      <c r="F1189" t="s">
        <v>27</v>
      </c>
      <c r="G1189" t="s">
        <v>28</v>
      </c>
      <c r="H1189" s="1">
        <v>44453</v>
      </c>
      <c r="I1189" s="2">
        <v>4.3</v>
      </c>
      <c r="J1189" t="s">
        <v>50</v>
      </c>
      <c r="K1189" s="3">
        <v>5500</v>
      </c>
      <c r="L1189" t="s">
        <v>30</v>
      </c>
      <c r="M1189">
        <v>2</v>
      </c>
      <c r="N1189">
        <v>3</v>
      </c>
      <c r="O1189">
        <v>34</v>
      </c>
      <c r="P1189" t="s">
        <v>21</v>
      </c>
      <c r="Q1189" s="1"/>
      <c r="U1189">
        <v>1</v>
      </c>
      <c r="V1189">
        <v>1</v>
      </c>
      <c r="W1189">
        <v>0</v>
      </c>
    </row>
    <row r="1190" spans="1:23" ht="16.5" x14ac:dyDescent="0.3">
      <c r="A1190" t="s">
        <v>1257</v>
      </c>
      <c r="B1190" t="s">
        <v>70</v>
      </c>
      <c r="C1190" t="s">
        <v>87</v>
      </c>
      <c r="D1190" t="s">
        <v>26</v>
      </c>
      <c r="E1190">
        <v>47</v>
      </c>
      <c r="F1190" t="s">
        <v>88</v>
      </c>
      <c r="G1190" t="s">
        <v>38</v>
      </c>
      <c r="H1190" s="1">
        <v>44235</v>
      </c>
      <c r="I1190" s="2">
        <v>3.3</v>
      </c>
      <c r="J1190" t="s">
        <v>50</v>
      </c>
      <c r="K1190" s="3">
        <v>10450</v>
      </c>
      <c r="L1190" t="s">
        <v>30</v>
      </c>
      <c r="M1190">
        <v>3</v>
      </c>
      <c r="N1190">
        <v>4</v>
      </c>
      <c r="O1190">
        <v>30</v>
      </c>
      <c r="P1190" t="s">
        <v>22</v>
      </c>
      <c r="Q1190" s="1">
        <v>45453</v>
      </c>
      <c r="R1190" t="s">
        <v>31</v>
      </c>
      <c r="S1190" t="s">
        <v>32</v>
      </c>
      <c r="T1190" t="s">
        <v>42</v>
      </c>
      <c r="U1190">
        <v>1</v>
      </c>
      <c r="V1190">
        <v>0</v>
      </c>
      <c r="W1190">
        <v>1</v>
      </c>
    </row>
    <row r="1191" spans="1:23" ht="16.5" x14ac:dyDescent="0.3">
      <c r="A1191" t="s">
        <v>1258</v>
      </c>
      <c r="B1191" t="s">
        <v>48</v>
      </c>
      <c r="C1191" t="s">
        <v>25</v>
      </c>
      <c r="D1191" t="s">
        <v>37</v>
      </c>
      <c r="E1191">
        <v>21</v>
      </c>
      <c r="F1191" t="s">
        <v>57</v>
      </c>
      <c r="G1191" t="s">
        <v>38</v>
      </c>
      <c r="H1191" s="1">
        <v>45941</v>
      </c>
      <c r="I1191" s="2">
        <v>0.2</v>
      </c>
      <c r="J1191" t="s">
        <v>64</v>
      </c>
      <c r="K1191" s="3">
        <v>6150</v>
      </c>
      <c r="L1191" t="s">
        <v>30</v>
      </c>
      <c r="M1191">
        <v>4</v>
      </c>
      <c r="N1191">
        <v>4</v>
      </c>
      <c r="O1191">
        <v>39</v>
      </c>
      <c r="P1191" t="s">
        <v>21</v>
      </c>
      <c r="Q1191" s="1"/>
      <c r="U1191">
        <v>1</v>
      </c>
      <c r="V1191">
        <v>1</v>
      </c>
      <c r="W1191">
        <v>0</v>
      </c>
    </row>
    <row r="1192" spans="1:23" ht="16.5" x14ac:dyDescent="0.3">
      <c r="A1192" t="s">
        <v>1259</v>
      </c>
      <c r="B1192" t="s">
        <v>70</v>
      </c>
      <c r="C1192" t="s">
        <v>25</v>
      </c>
      <c r="D1192" t="s">
        <v>37</v>
      </c>
      <c r="E1192">
        <v>21</v>
      </c>
      <c r="F1192" t="s">
        <v>57</v>
      </c>
      <c r="G1192" t="s">
        <v>52</v>
      </c>
      <c r="H1192" s="1">
        <v>45918</v>
      </c>
      <c r="I1192" s="2">
        <v>0.3</v>
      </c>
      <c r="J1192" t="s">
        <v>64</v>
      </c>
      <c r="K1192" s="3">
        <v>4150</v>
      </c>
      <c r="L1192" t="s">
        <v>30</v>
      </c>
      <c r="M1192">
        <v>4</v>
      </c>
      <c r="N1192">
        <v>3</v>
      </c>
      <c r="O1192">
        <v>27</v>
      </c>
      <c r="P1192" t="s">
        <v>21</v>
      </c>
      <c r="Q1192" s="1"/>
      <c r="U1192">
        <v>1</v>
      </c>
      <c r="V1192">
        <v>1</v>
      </c>
      <c r="W1192">
        <v>0</v>
      </c>
    </row>
    <row r="1193" spans="1:23" ht="16.5" x14ac:dyDescent="0.3">
      <c r="A1193" t="s">
        <v>1260</v>
      </c>
      <c r="B1193" t="s">
        <v>35</v>
      </c>
      <c r="C1193" t="s">
        <v>36</v>
      </c>
      <c r="D1193" t="s">
        <v>26</v>
      </c>
      <c r="E1193">
        <v>29</v>
      </c>
      <c r="F1193" t="s">
        <v>27</v>
      </c>
      <c r="G1193" t="s">
        <v>38</v>
      </c>
      <c r="H1193" s="1">
        <v>45292</v>
      </c>
      <c r="I1193" s="2">
        <v>2</v>
      </c>
      <c r="J1193" t="s">
        <v>29</v>
      </c>
      <c r="K1193" s="3">
        <v>4200</v>
      </c>
      <c r="L1193" t="s">
        <v>58</v>
      </c>
      <c r="M1193">
        <v>2</v>
      </c>
      <c r="N1193">
        <v>3</v>
      </c>
      <c r="O1193">
        <v>19</v>
      </c>
      <c r="P1193" t="s">
        <v>21</v>
      </c>
      <c r="Q1193" s="1"/>
      <c r="U1193">
        <v>1</v>
      </c>
      <c r="V1193">
        <v>1</v>
      </c>
      <c r="W1193">
        <v>0</v>
      </c>
    </row>
    <row r="1194" spans="1:23" ht="16.5" x14ac:dyDescent="0.3">
      <c r="A1194" t="s">
        <v>1261</v>
      </c>
      <c r="B1194" t="s">
        <v>35</v>
      </c>
      <c r="C1194" t="s">
        <v>36</v>
      </c>
      <c r="D1194" t="s">
        <v>26</v>
      </c>
      <c r="E1194">
        <v>34</v>
      </c>
      <c r="F1194" t="s">
        <v>27</v>
      </c>
      <c r="G1194" t="s">
        <v>28</v>
      </c>
      <c r="H1194" s="1">
        <v>45443</v>
      </c>
      <c r="I1194" s="2">
        <v>1.6</v>
      </c>
      <c r="J1194" t="s">
        <v>29</v>
      </c>
      <c r="K1194" s="3">
        <v>4300</v>
      </c>
      <c r="L1194" t="s">
        <v>30</v>
      </c>
      <c r="M1194">
        <v>4</v>
      </c>
      <c r="N1194">
        <v>3</v>
      </c>
      <c r="O1194">
        <v>25</v>
      </c>
      <c r="P1194" t="s">
        <v>21</v>
      </c>
      <c r="Q1194" s="1"/>
      <c r="U1194">
        <v>1</v>
      </c>
      <c r="V1194">
        <v>1</v>
      </c>
      <c r="W1194">
        <v>0</v>
      </c>
    </row>
    <row r="1195" spans="1:23" ht="16.5" x14ac:dyDescent="0.3">
      <c r="A1195" t="s">
        <v>1262</v>
      </c>
      <c r="B1195" t="s">
        <v>24</v>
      </c>
      <c r="C1195" t="s">
        <v>36</v>
      </c>
      <c r="D1195" t="s">
        <v>37</v>
      </c>
      <c r="E1195">
        <v>32</v>
      </c>
      <c r="F1195" t="s">
        <v>27</v>
      </c>
      <c r="G1195" t="s">
        <v>52</v>
      </c>
      <c r="H1195" s="1">
        <v>45533</v>
      </c>
      <c r="I1195" s="2">
        <v>1.3</v>
      </c>
      <c r="J1195" t="s">
        <v>29</v>
      </c>
      <c r="K1195" s="3">
        <v>3050</v>
      </c>
      <c r="L1195" t="s">
        <v>58</v>
      </c>
      <c r="M1195">
        <v>3</v>
      </c>
      <c r="N1195">
        <v>5</v>
      </c>
      <c r="O1195">
        <v>34</v>
      </c>
      <c r="P1195" t="s">
        <v>21</v>
      </c>
      <c r="Q1195" s="1"/>
      <c r="U1195">
        <v>1</v>
      </c>
      <c r="V1195">
        <v>1</v>
      </c>
      <c r="W1195">
        <v>0</v>
      </c>
    </row>
    <row r="1196" spans="1:23" ht="16.5" x14ac:dyDescent="0.3">
      <c r="A1196" t="s">
        <v>1263</v>
      </c>
      <c r="B1196" t="s">
        <v>35</v>
      </c>
      <c r="C1196" t="s">
        <v>36</v>
      </c>
      <c r="D1196" t="s">
        <v>37</v>
      </c>
      <c r="E1196">
        <v>21</v>
      </c>
      <c r="F1196" t="s">
        <v>57</v>
      </c>
      <c r="G1196" t="s">
        <v>52</v>
      </c>
      <c r="H1196" s="1">
        <v>45930</v>
      </c>
      <c r="I1196" s="2">
        <v>0.3</v>
      </c>
      <c r="J1196" t="s">
        <v>64</v>
      </c>
      <c r="K1196" s="3">
        <v>4000</v>
      </c>
      <c r="L1196" t="s">
        <v>30</v>
      </c>
      <c r="M1196">
        <v>4</v>
      </c>
      <c r="N1196">
        <v>3</v>
      </c>
      <c r="O1196">
        <v>24</v>
      </c>
      <c r="P1196" t="s">
        <v>21</v>
      </c>
      <c r="Q1196" s="1"/>
      <c r="U1196">
        <v>1</v>
      </c>
      <c r="V1196">
        <v>1</v>
      </c>
      <c r="W1196">
        <v>0</v>
      </c>
    </row>
    <row r="1197" spans="1:23" ht="16.5" x14ac:dyDescent="0.3">
      <c r="A1197" t="s">
        <v>1264</v>
      </c>
      <c r="B1197" t="s">
        <v>24</v>
      </c>
      <c r="C1197" t="s">
        <v>36</v>
      </c>
      <c r="D1197" t="s">
        <v>26</v>
      </c>
      <c r="E1197">
        <v>30</v>
      </c>
      <c r="F1197" t="s">
        <v>27</v>
      </c>
      <c r="G1197" t="s">
        <v>38</v>
      </c>
      <c r="H1197" s="1">
        <v>44765</v>
      </c>
      <c r="I1197" s="2">
        <v>2.9</v>
      </c>
      <c r="J1197" t="s">
        <v>29</v>
      </c>
      <c r="K1197" s="3">
        <v>3500</v>
      </c>
      <c r="L1197" t="s">
        <v>30</v>
      </c>
      <c r="M1197">
        <v>3</v>
      </c>
      <c r="N1197">
        <v>3</v>
      </c>
      <c r="O1197">
        <v>40</v>
      </c>
      <c r="P1197" t="s">
        <v>22</v>
      </c>
      <c r="Q1197" s="1">
        <v>45831</v>
      </c>
      <c r="R1197" t="s">
        <v>40</v>
      </c>
      <c r="S1197" t="s">
        <v>32</v>
      </c>
      <c r="T1197" t="s">
        <v>60</v>
      </c>
      <c r="U1197">
        <v>1</v>
      </c>
      <c r="V1197">
        <v>0</v>
      </c>
      <c r="W1197">
        <v>1</v>
      </c>
    </row>
    <row r="1198" spans="1:23" ht="16.5" x14ac:dyDescent="0.3">
      <c r="A1198" t="s">
        <v>1265</v>
      </c>
      <c r="B1198" t="s">
        <v>24</v>
      </c>
      <c r="C1198" t="s">
        <v>25</v>
      </c>
      <c r="D1198" t="s">
        <v>37</v>
      </c>
      <c r="E1198">
        <v>24</v>
      </c>
      <c r="F1198" t="s">
        <v>57</v>
      </c>
      <c r="G1198" t="s">
        <v>38</v>
      </c>
      <c r="H1198" s="1">
        <v>45613</v>
      </c>
      <c r="I1198" s="2">
        <v>0.8</v>
      </c>
      <c r="J1198" t="s">
        <v>64</v>
      </c>
      <c r="K1198" s="3">
        <v>2800</v>
      </c>
      <c r="L1198" t="s">
        <v>58</v>
      </c>
      <c r="M1198">
        <v>1</v>
      </c>
      <c r="N1198">
        <v>3</v>
      </c>
      <c r="O1198">
        <v>47</v>
      </c>
      <c r="P1198" t="s">
        <v>22</v>
      </c>
      <c r="Q1198" s="1">
        <v>45920</v>
      </c>
      <c r="R1198" t="s">
        <v>40</v>
      </c>
      <c r="S1198" t="s">
        <v>259</v>
      </c>
      <c r="T1198" t="s">
        <v>60</v>
      </c>
      <c r="U1198">
        <v>1</v>
      </c>
      <c r="V1198">
        <v>0</v>
      </c>
      <c r="W1198">
        <v>1</v>
      </c>
    </row>
    <row r="1199" spans="1:23" ht="16.5" x14ac:dyDescent="0.3">
      <c r="A1199" t="s">
        <v>1266</v>
      </c>
      <c r="B1199" t="s">
        <v>24</v>
      </c>
      <c r="C1199" t="s">
        <v>45</v>
      </c>
      <c r="D1199" t="s">
        <v>26</v>
      </c>
      <c r="E1199">
        <v>42</v>
      </c>
      <c r="F1199" t="s">
        <v>46</v>
      </c>
      <c r="G1199" t="s">
        <v>38</v>
      </c>
      <c r="H1199" s="1">
        <v>43151</v>
      </c>
      <c r="I1199" s="2">
        <v>7.9</v>
      </c>
      <c r="J1199" t="s">
        <v>39</v>
      </c>
      <c r="K1199" s="3">
        <v>5600</v>
      </c>
      <c r="L1199" t="s">
        <v>30</v>
      </c>
      <c r="M1199">
        <v>4</v>
      </c>
      <c r="N1199">
        <v>3</v>
      </c>
      <c r="O1199">
        <v>14</v>
      </c>
      <c r="P1199" t="s">
        <v>21</v>
      </c>
      <c r="Q1199" s="1"/>
      <c r="U1199">
        <v>1</v>
      </c>
      <c r="V1199">
        <v>1</v>
      </c>
      <c r="W1199">
        <v>0</v>
      </c>
    </row>
    <row r="1200" spans="1:23" ht="16.5" x14ac:dyDescent="0.3">
      <c r="A1200" t="s">
        <v>1267</v>
      </c>
      <c r="B1200" t="s">
        <v>55</v>
      </c>
      <c r="C1200" t="s">
        <v>25</v>
      </c>
      <c r="D1200" t="s">
        <v>37</v>
      </c>
      <c r="E1200">
        <v>33</v>
      </c>
      <c r="F1200" t="s">
        <v>27</v>
      </c>
      <c r="G1200" t="s">
        <v>38</v>
      </c>
      <c r="H1200" s="1">
        <v>43705</v>
      </c>
      <c r="I1200" s="2">
        <v>6.3</v>
      </c>
      <c r="J1200" t="s">
        <v>39</v>
      </c>
      <c r="K1200" s="3">
        <v>5100</v>
      </c>
      <c r="L1200" t="s">
        <v>30</v>
      </c>
      <c r="M1200">
        <v>4</v>
      </c>
      <c r="N1200">
        <v>2</v>
      </c>
      <c r="O1200">
        <v>10</v>
      </c>
      <c r="P1200" t="s">
        <v>21</v>
      </c>
      <c r="Q1200" s="1"/>
      <c r="U1200">
        <v>1</v>
      </c>
      <c r="V1200">
        <v>1</v>
      </c>
      <c r="W1200">
        <v>0</v>
      </c>
    </row>
    <row r="1201" spans="1:23" ht="16.5" x14ac:dyDescent="0.3">
      <c r="A1201" t="s">
        <v>1268</v>
      </c>
      <c r="B1201" t="s">
        <v>35</v>
      </c>
      <c r="C1201" t="s">
        <v>25</v>
      </c>
      <c r="D1201" t="s">
        <v>26</v>
      </c>
      <c r="E1201">
        <v>26</v>
      </c>
      <c r="F1201" t="s">
        <v>27</v>
      </c>
      <c r="G1201" t="s">
        <v>38</v>
      </c>
      <c r="H1201" s="1">
        <v>45033</v>
      </c>
      <c r="I1201" s="2">
        <v>2.7</v>
      </c>
      <c r="J1201" t="s">
        <v>29</v>
      </c>
      <c r="K1201" s="3">
        <v>3400</v>
      </c>
      <c r="L1201" t="s">
        <v>30</v>
      </c>
      <c r="M1201">
        <v>3</v>
      </c>
      <c r="N1201">
        <v>3</v>
      </c>
      <c r="O1201">
        <v>22</v>
      </c>
      <c r="P1201" t="s">
        <v>21</v>
      </c>
      <c r="Q1201" s="1"/>
      <c r="U1201">
        <v>1</v>
      </c>
      <c r="V1201">
        <v>1</v>
      </c>
      <c r="W1201">
        <v>0</v>
      </c>
    </row>
    <row r="1202" spans="1:23" ht="16.5" x14ac:dyDescent="0.3">
      <c r="A1202" t="s">
        <v>1269</v>
      </c>
      <c r="B1202" t="s">
        <v>70</v>
      </c>
      <c r="C1202" t="s">
        <v>25</v>
      </c>
      <c r="D1202" t="s">
        <v>37</v>
      </c>
      <c r="E1202">
        <v>23</v>
      </c>
      <c r="F1202" t="s">
        <v>57</v>
      </c>
      <c r="G1202" t="s">
        <v>38</v>
      </c>
      <c r="H1202" s="1">
        <v>45625</v>
      </c>
      <c r="I1202" s="2">
        <v>1.1000000000000001</v>
      </c>
      <c r="J1202" t="s">
        <v>29</v>
      </c>
      <c r="K1202" s="3">
        <v>3650</v>
      </c>
      <c r="L1202" t="s">
        <v>30</v>
      </c>
      <c r="M1202">
        <v>5</v>
      </c>
      <c r="N1202">
        <v>3</v>
      </c>
      <c r="O1202">
        <v>32</v>
      </c>
      <c r="P1202" t="s">
        <v>21</v>
      </c>
      <c r="Q1202" s="1"/>
      <c r="U1202">
        <v>1</v>
      </c>
      <c r="V1202">
        <v>1</v>
      </c>
      <c r="W1202">
        <v>0</v>
      </c>
    </row>
    <row r="1203" spans="1:23" ht="16.5" x14ac:dyDescent="0.3">
      <c r="A1203" t="s">
        <v>1270</v>
      </c>
      <c r="B1203" t="s">
        <v>35</v>
      </c>
      <c r="C1203" t="s">
        <v>25</v>
      </c>
      <c r="D1203" t="s">
        <v>37</v>
      </c>
      <c r="E1203">
        <v>35</v>
      </c>
      <c r="F1203" t="s">
        <v>27</v>
      </c>
      <c r="G1203" t="s">
        <v>38</v>
      </c>
      <c r="H1203" s="1">
        <v>43641</v>
      </c>
      <c r="I1203" s="2">
        <v>6.5</v>
      </c>
      <c r="J1203" t="s">
        <v>39</v>
      </c>
      <c r="K1203" s="3">
        <v>3450</v>
      </c>
      <c r="L1203" t="s">
        <v>30</v>
      </c>
      <c r="M1203">
        <v>5</v>
      </c>
      <c r="N1203">
        <v>4</v>
      </c>
      <c r="O1203">
        <v>34</v>
      </c>
      <c r="P1203" t="s">
        <v>21</v>
      </c>
      <c r="Q1203" s="1"/>
      <c r="U1203">
        <v>1</v>
      </c>
      <c r="V1203">
        <v>1</v>
      </c>
      <c r="W1203">
        <v>0</v>
      </c>
    </row>
    <row r="1204" spans="1:23" ht="16.5" x14ac:dyDescent="0.3">
      <c r="A1204" t="s">
        <v>1271</v>
      </c>
      <c r="B1204" t="s">
        <v>70</v>
      </c>
      <c r="C1204" t="s">
        <v>25</v>
      </c>
      <c r="D1204" t="s">
        <v>37</v>
      </c>
      <c r="E1204">
        <v>32</v>
      </c>
      <c r="F1204" t="s">
        <v>27</v>
      </c>
      <c r="G1204" t="s">
        <v>38</v>
      </c>
      <c r="H1204" s="1">
        <v>44760</v>
      </c>
      <c r="I1204" s="2">
        <v>3.5</v>
      </c>
      <c r="J1204" t="s">
        <v>50</v>
      </c>
      <c r="K1204" s="3">
        <v>3500</v>
      </c>
      <c r="L1204" t="s">
        <v>30</v>
      </c>
      <c r="M1204">
        <v>4</v>
      </c>
      <c r="N1204">
        <v>4</v>
      </c>
      <c r="O1204">
        <v>20</v>
      </c>
      <c r="P1204" t="s">
        <v>21</v>
      </c>
      <c r="Q1204" s="1"/>
      <c r="U1204">
        <v>1</v>
      </c>
      <c r="V1204">
        <v>1</v>
      </c>
      <c r="W1204">
        <v>0</v>
      </c>
    </row>
    <row r="1205" spans="1:23" ht="16.5" x14ac:dyDescent="0.3">
      <c r="A1205" t="s">
        <v>1272</v>
      </c>
      <c r="B1205" t="s">
        <v>48</v>
      </c>
      <c r="C1205" t="s">
        <v>36</v>
      </c>
      <c r="D1205" t="s">
        <v>26</v>
      </c>
      <c r="E1205">
        <v>25</v>
      </c>
      <c r="F1205" t="s">
        <v>57</v>
      </c>
      <c r="G1205" t="s">
        <v>52</v>
      </c>
      <c r="H1205" s="1">
        <v>45116</v>
      </c>
      <c r="I1205" s="2">
        <v>2.5</v>
      </c>
      <c r="J1205" t="s">
        <v>29</v>
      </c>
      <c r="K1205" s="3">
        <v>8800</v>
      </c>
      <c r="L1205" t="s">
        <v>30</v>
      </c>
      <c r="M1205">
        <v>3</v>
      </c>
      <c r="N1205">
        <v>2</v>
      </c>
      <c r="O1205">
        <v>33</v>
      </c>
      <c r="P1205" t="s">
        <v>21</v>
      </c>
      <c r="Q1205" s="1"/>
      <c r="U1205">
        <v>1</v>
      </c>
      <c r="V1205">
        <v>1</v>
      </c>
      <c r="W1205">
        <v>0</v>
      </c>
    </row>
    <row r="1206" spans="1:23" ht="16.5" x14ac:dyDescent="0.3">
      <c r="A1206" t="s">
        <v>1273</v>
      </c>
      <c r="B1206" t="s">
        <v>35</v>
      </c>
      <c r="C1206" t="s">
        <v>25</v>
      </c>
      <c r="D1206" t="s">
        <v>26</v>
      </c>
      <c r="E1206">
        <v>24</v>
      </c>
      <c r="F1206" t="s">
        <v>57</v>
      </c>
      <c r="G1206" t="s">
        <v>28</v>
      </c>
      <c r="H1206" s="1">
        <v>45272</v>
      </c>
      <c r="I1206" s="2">
        <v>2.1</v>
      </c>
      <c r="J1206" t="s">
        <v>29</v>
      </c>
      <c r="K1206" s="3">
        <v>3650</v>
      </c>
      <c r="L1206" t="s">
        <v>30</v>
      </c>
      <c r="M1206">
        <v>3</v>
      </c>
      <c r="N1206">
        <v>3</v>
      </c>
      <c r="O1206">
        <v>34</v>
      </c>
      <c r="P1206" t="s">
        <v>21</v>
      </c>
      <c r="Q1206" s="1"/>
      <c r="U1206">
        <v>1</v>
      </c>
      <c r="V1206">
        <v>1</v>
      </c>
      <c r="W1206">
        <v>0</v>
      </c>
    </row>
    <row r="1207" spans="1:23" ht="16.5" x14ac:dyDescent="0.3">
      <c r="A1207" t="s">
        <v>1274</v>
      </c>
      <c r="B1207" t="s">
        <v>55</v>
      </c>
      <c r="C1207" t="s">
        <v>36</v>
      </c>
      <c r="D1207" t="s">
        <v>37</v>
      </c>
      <c r="E1207">
        <v>33</v>
      </c>
      <c r="F1207" t="s">
        <v>27</v>
      </c>
      <c r="G1207" t="s">
        <v>38</v>
      </c>
      <c r="H1207" s="1">
        <v>43831</v>
      </c>
      <c r="I1207" s="2">
        <v>6</v>
      </c>
      <c r="J1207" t="s">
        <v>39</v>
      </c>
      <c r="K1207" s="3">
        <v>5300</v>
      </c>
      <c r="L1207" t="s">
        <v>30</v>
      </c>
      <c r="M1207">
        <v>4</v>
      </c>
      <c r="N1207">
        <v>3</v>
      </c>
      <c r="O1207">
        <v>20</v>
      </c>
      <c r="P1207" t="s">
        <v>21</v>
      </c>
      <c r="Q1207" s="1"/>
      <c r="U1207">
        <v>1</v>
      </c>
      <c r="V1207">
        <v>1</v>
      </c>
      <c r="W1207">
        <v>0</v>
      </c>
    </row>
    <row r="1208" spans="1:23" ht="16.5" x14ac:dyDescent="0.3">
      <c r="A1208" t="s">
        <v>1275</v>
      </c>
      <c r="B1208" t="s">
        <v>70</v>
      </c>
      <c r="C1208" t="s">
        <v>25</v>
      </c>
      <c r="D1208" t="s">
        <v>37</v>
      </c>
      <c r="E1208">
        <v>26</v>
      </c>
      <c r="F1208" t="s">
        <v>27</v>
      </c>
      <c r="G1208" t="s">
        <v>52</v>
      </c>
      <c r="H1208" s="1">
        <v>45758</v>
      </c>
      <c r="I1208" s="2">
        <v>0.7</v>
      </c>
      <c r="J1208" t="s">
        <v>64</v>
      </c>
      <c r="K1208" s="3">
        <v>4600</v>
      </c>
      <c r="L1208" t="s">
        <v>58</v>
      </c>
      <c r="M1208">
        <v>2</v>
      </c>
      <c r="N1208">
        <v>3</v>
      </c>
      <c r="O1208">
        <v>13</v>
      </c>
      <c r="P1208" t="s">
        <v>21</v>
      </c>
      <c r="Q1208" s="1"/>
      <c r="U1208">
        <v>1</v>
      </c>
      <c r="V1208">
        <v>1</v>
      </c>
      <c r="W1208">
        <v>0</v>
      </c>
    </row>
    <row r="1209" spans="1:23" ht="16.5" x14ac:dyDescent="0.3">
      <c r="A1209" t="s">
        <v>1276</v>
      </c>
      <c r="B1209" t="s">
        <v>35</v>
      </c>
      <c r="C1209" t="s">
        <v>36</v>
      </c>
      <c r="D1209" t="s">
        <v>37</v>
      </c>
      <c r="E1209">
        <v>34</v>
      </c>
      <c r="F1209" t="s">
        <v>27</v>
      </c>
      <c r="G1209" t="s">
        <v>28</v>
      </c>
      <c r="H1209" s="1">
        <v>42260</v>
      </c>
      <c r="I1209" s="2">
        <v>10.3</v>
      </c>
      <c r="J1209" t="s">
        <v>39</v>
      </c>
      <c r="K1209" s="3">
        <v>3950</v>
      </c>
      <c r="L1209" t="s">
        <v>58</v>
      </c>
      <c r="M1209">
        <v>3</v>
      </c>
      <c r="N1209">
        <v>3</v>
      </c>
      <c r="O1209">
        <v>31</v>
      </c>
      <c r="P1209" t="s">
        <v>21</v>
      </c>
      <c r="Q1209" s="1"/>
      <c r="U1209">
        <v>1</v>
      </c>
      <c r="V1209">
        <v>1</v>
      </c>
      <c r="W1209">
        <v>0</v>
      </c>
    </row>
    <row r="1210" spans="1:23" ht="16.5" x14ac:dyDescent="0.3">
      <c r="A1210" t="s">
        <v>1277</v>
      </c>
      <c r="B1210" t="s">
        <v>70</v>
      </c>
      <c r="C1210" t="s">
        <v>25</v>
      </c>
      <c r="D1210" t="s">
        <v>37</v>
      </c>
      <c r="E1210">
        <v>25</v>
      </c>
      <c r="F1210" t="s">
        <v>57</v>
      </c>
      <c r="G1210" t="s">
        <v>28</v>
      </c>
      <c r="H1210" s="1">
        <v>45755</v>
      </c>
      <c r="I1210" s="2">
        <v>0.6</v>
      </c>
      <c r="J1210" t="s">
        <v>64</v>
      </c>
      <c r="K1210" s="3">
        <v>4800</v>
      </c>
      <c r="L1210" t="s">
        <v>58</v>
      </c>
      <c r="M1210">
        <v>1</v>
      </c>
      <c r="N1210">
        <v>3</v>
      </c>
      <c r="O1210">
        <v>34</v>
      </c>
      <c r="P1210" t="s">
        <v>22</v>
      </c>
      <c r="Q1210" s="1">
        <v>45965</v>
      </c>
      <c r="R1210" t="s">
        <v>40</v>
      </c>
      <c r="S1210" t="s">
        <v>182</v>
      </c>
      <c r="T1210" t="s">
        <v>42</v>
      </c>
      <c r="U1210">
        <v>1</v>
      </c>
      <c r="V1210">
        <v>0</v>
      </c>
      <c r="W1210">
        <v>1</v>
      </c>
    </row>
    <row r="1211" spans="1:23" ht="16.5" x14ac:dyDescent="0.3">
      <c r="A1211" t="s">
        <v>1278</v>
      </c>
      <c r="B1211" t="s">
        <v>48</v>
      </c>
      <c r="C1211" t="s">
        <v>45</v>
      </c>
      <c r="D1211" t="s">
        <v>37</v>
      </c>
      <c r="E1211">
        <v>37</v>
      </c>
      <c r="F1211" t="s">
        <v>46</v>
      </c>
      <c r="G1211" t="s">
        <v>28</v>
      </c>
      <c r="H1211" s="1">
        <v>43930</v>
      </c>
      <c r="I1211" s="2">
        <v>5.7</v>
      </c>
      <c r="J1211" t="s">
        <v>39</v>
      </c>
      <c r="K1211" s="3">
        <v>12850</v>
      </c>
      <c r="L1211" t="s">
        <v>30</v>
      </c>
      <c r="M1211">
        <v>3</v>
      </c>
      <c r="N1211">
        <v>4</v>
      </c>
      <c r="O1211">
        <v>16</v>
      </c>
      <c r="P1211" t="s">
        <v>21</v>
      </c>
      <c r="Q1211" s="1"/>
      <c r="U1211">
        <v>1</v>
      </c>
      <c r="V1211">
        <v>1</v>
      </c>
      <c r="W1211">
        <v>0</v>
      </c>
    </row>
    <row r="1212" spans="1:23" ht="16.5" x14ac:dyDescent="0.3">
      <c r="A1212" t="s">
        <v>1279</v>
      </c>
      <c r="B1212" t="s">
        <v>70</v>
      </c>
      <c r="C1212" t="s">
        <v>25</v>
      </c>
      <c r="D1212" t="s">
        <v>26</v>
      </c>
      <c r="E1212">
        <v>29</v>
      </c>
      <c r="F1212" t="s">
        <v>27</v>
      </c>
      <c r="G1212" t="s">
        <v>28</v>
      </c>
      <c r="H1212" s="1">
        <v>45152</v>
      </c>
      <c r="I1212" s="2">
        <v>2.1</v>
      </c>
      <c r="J1212" t="s">
        <v>29</v>
      </c>
      <c r="K1212" s="3">
        <v>4150</v>
      </c>
      <c r="L1212" t="s">
        <v>30</v>
      </c>
      <c r="M1212">
        <v>5</v>
      </c>
      <c r="N1212">
        <v>4</v>
      </c>
      <c r="O1212">
        <v>36</v>
      </c>
      <c r="P1212" t="s">
        <v>22</v>
      </c>
      <c r="Q1212" s="1">
        <v>45931</v>
      </c>
      <c r="R1212" t="s">
        <v>40</v>
      </c>
      <c r="S1212" t="s">
        <v>206</v>
      </c>
      <c r="T1212" t="s">
        <v>33</v>
      </c>
      <c r="U1212">
        <v>1</v>
      </c>
      <c r="V1212">
        <v>0</v>
      </c>
      <c r="W1212">
        <v>1</v>
      </c>
    </row>
    <row r="1213" spans="1:23" ht="16.5" x14ac:dyDescent="0.3">
      <c r="A1213" t="s">
        <v>1280</v>
      </c>
      <c r="B1213" t="s">
        <v>44</v>
      </c>
      <c r="C1213" t="s">
        <v>45</v>
      </c>
      <c r="D1213" t="s">
        <v>26</v>
      </c>
      <c r="E1213">
        <v>48</v>
      </c>
      <c r="F1213" t="s">
        <v>88</v>
      </c>
      <c r="G1213" t="s">
        <v>28</v>
      </c>
      <c r="H1213" s="1">
        <v>43806</v>
      </c>
      <c r="I1213" s="2">
        <v>6.1</v>
      </c>
      <c r="J1213" t="s">
        <v>39</v>
      </c>
      <c r="K1213" s="3">
        <v>9500</v>
      </c>
      <c r="L1213" t="s">
        <v>30</v>
      </c>
      <c r="M1213">
        <v>3</v>
      </c>
      <c r="N1213">
        <v>3</v>
      </c>
      <c r="O1213">
        <v>39</v>
      </c>
      <c r="P1213" t="s">
        <v>21</v>
      </c>
      <c r="Q1213" s="1"/>
      <c r="U1213">
        <v>1</v>
      </c>
      <c r="V1213">
        <v>1</v>
      </c>
      <c r="W1213">
        <v>0</v>
      </c>
    </row>
    <row r="1214" spans="1:23" ht="16.5" x14ac:dyDescent="0.3">
      <c r="A1214" t="s">
        <v>1281</v>
      </c>
      <c r="B1214" t="s">
        <v>35</v>
      </c>
      <c r="C1214" t="s">
        <v>36</v>
      </c>
      <c r="D1214" t="s">
        <v>26</v>
      </c>
      <c r="E1214">
        <v>26</v>
      </c>
      <c r="F1214" t="s">
        <v>27</v>
      </c>
      <c r="G1214" t="s">
        <v>52</v>
      </c>
      <c r="H1214" s="1">
        <v>45074</v>
      </c>
      <c r="I1214" s="2">
        <v>2.6</v>
      </c>
      <c r="J1214" t="s">
        <v>29</v>
      </c>
      <c r="K1214" s="3">
        <v>4050</v>
      </c>
      <c r="L1214" t="s">
        <v>30</v>
      </c>
      <c r="M1214">
        <v>3</v>
      </c>
      <c r="N1214">
        <v>3</v>
      </c>
      <c r="O1214">
        <v>21</v>
      </c>
      <c r="P1214" t="s">
        <v>21</v>
      </c>
      <c r="Q1214" s="1"/>
      <c r="U1214">
        <v>1</v>
      </c>
      <c r="V1214">
        <v>1</v>
      </c>
      <c r="W1214">
        <v>0</v>
      </c>
    </row>
    <row r="1215" spans="1:23" ht="16.5" x14ac:dyDescent="0.3">
      <c r="A1215" t="s">
        <v>1282</v>
      </c>
      <c r="B1215" t="s">
        <v>35</v>
      </c>
      <c r="C1215" t="s">
        <v>25</v>
      </c>
      <c r="D1215" t="s">
        <v>26</v>
      </c>
      <c r="E1215">
        <v>37</v>
      </c>
      <c r="F1215" t="s">
        <v>46</v>
      </c>
      <c r="G1215" t="s">
        <v>38</v>
      </c>
      <c r="H1215" s="1">
        <v>45264</v>
      </c>
      <c r="I1215" s="2">
        <v>2.1</v>
      </c>
      <c r="J1215" t="s">
        <v>29</v>
      </c>
      <c r="K1215" s="3">
        <v>3900</v>
      </c>
      <c r="L1215" t="s">
        <v>30</v>
      </c>
      <c r="M1215">
        <v>3</v>
      </c>
      <c r="N1215">
        <v>4</v>
      </c>
      <c r="O1215">
        <v>20</v>
      </c>
      <c r="P1215" t="s">
        <v>21</v>
      </c>
      <c r="Q1215" s="1"/>
      <c r="U1215">
        <v>1</v>
      </c>
      <c r="V1215">
        <v>1</v>
      </c>
      <c r="W1215">
        <v>0</v>
      </c>
    </row>
    <row r="1216" spans="1:23" ht="16.5" x14ac:dyDescent="0.3">
      <c r="A1216" t="s">
        <v>1283</v>
      </c>
      <c r="B1216" t="s">
        <v>73</v>
      </c>
      <c r="C1216" t="s">
        <v>45</v>
      </c>
      <c r="D1216" t="s">
        <v>37</v>
      </c>
      <c r="E1216">
        <v>49</v>
      </c>
      <c r="F1216" t="s">
        <v>88</v>
      </c>
      <c r="G1216" t="s">
        <v>38</v>
      </c>
      <c r="H1216" s="1">
        <v>44549</v>
      </c>
      <c r="I1216" s="2">
        <v>4</v>
      </c>
      <c r="J1216" t="s">
        <v>50</v>
      </c>
      <c r="K1216" s="3">
        <v>8100</v>
      </c>
      <c r="L1216" t="s">
        <v>58</v>
      </c>
      <c r="M1216">
        <v>4</v>
      </c>
      <c r="N1216">
        <v>3</v>
      </c>
      <c r="O1216">
        <v>50</v>
      </c>
      <c r="P1216" t="s">
        <v>21</v>
      </c>
      <c r="Q1216" s="1"/>
      <c r="U1216">
        <v>1</v>
      </c>
      <c r="V1216">
        <v>1</v>
      </c>
      <c r="W1216">
        <v>0</v>
      </c>
    </row>
    <row r="1217" spans="1:23" ht="16.5" x14ac:dyDescent="0.3">
      <c r="A1217" t="s">
        <v>1284</v>
      </c>
      <c r="B1217" t="s">
        <v>70</v>
      </c>
      <c r="C1217" t="s">
        <v>45</v>
      </c>
      <c r="D1217" t="s">
        <v>37</v>
      </c>
      <c r="E1217">
        <v>45</v>
      </c>
      <c r="F1217" t="s">
        <v>46</v>
      </c>
      <c r="G1217" t="s">
        <v>28</v>
      </c>
      <c r="H1217" s="1">
        <v>42743</v>
      </c>
      <c r="I1217" s="2">
        <v>9</v>
      </c>
      <c r="J1217" t="s">
        <v>39</v>
      </c>
      <c r="K1217" s="3">
        <v>7350</v>
      </c>
      <c r="L1217" t="s">
        <v>58</v>
      </c>
      <c r="M1217">
        <v>3</v>
      </c>
      <c r="N1217">
        <v>5</v>
      </c>
      <c r="O1217">
        <v>18</v>
      </c>
      <c r="P1217" t="s">
        <v>21</v>
      </c>
      <c r="Q1217" s="1"/>
      <c r="U1217">
        <v>1</v>
      </c>
      <c r="V1217">
        <v>1</v>
      </c>
      <c r="W1217">
        <v>0</v>
      </c>
    </row>
    <row r="1218" spans="1:23" ht="16.5" x14ac:dyDescent="0.3">
      <c r="A1218" t="s">
        <v>1285</v>
      </c>
      <c r="B1218" t="s">
        <v>55</v>
      </c>
      <c r="C1218" t="s">
        <v>45</v>
      </c>
      <c r="D1218" t="s">
        <v>37</v>
      </c>
      <c r="E1218">
        <v>38</v>
      </c>
      <c r="F1218" t="s">
        <v>46</v>
      </c>
      <c r="G1218" t="s">
        <v>38</v>
      </c>
      <c r="H1218" s="1">
        <v>44365</v>
      </c>
      <c r="I1218" s="2">
        <v>4.5</v>
      </c>
      <c r="J1218" t="s">
        <v>50</v>
      </c>
      <c r="K1218" s="3">
        <v>6750</v>
      </c>
      <c r="L1218" t="s">
        <v>30</v>
      </c>
      <c r="M1218">
        <v>5</v>
      </c>
      <c r="N1218">
        <v>3</v>
      </c>
      <c r="O1218">
        <v>27</v>
      </c>
      <c r="P1218" t="s">
        <v>21</v>
      </c>
      <c r="Q1218" s="1"/>
      <c r="U1218">
        <v>1</v>
      </c>
      <c r="V1218">
        <v>1</v>
      </c>
      <c r="W1218">
        <v>0</v>
      </c>
    </row>
    <row r="1219" spans="1:23" ht="16.5" x14ac:dyDescent="0.3">
      <c r="A1219" t="s">
        <v>1286</v>
      </c>
      <c r="B1219" t="s">
        <v>55</v>
      </c>
      <c r="C1219" t="s">
        <v>45</v>
      </c>
      <c r="D1219" t="s">
        <v>37</v>
      </c>
      <c r="E1219">
        <v>35</v>
      </c>
      <c r="F1219" t="s">
        <v>27</v>
      </c>
      <c r="G1219" t="s">
        <v>38</v>
      </c>
      <c r="H1219" s="1">
        <v>44974</v>
      </c>
      <c r="I1219" s="2">
        <v>2.9</v>
      </c>
      <c r="J1219" t="s">
        <v>29</v>
      </c>
      <c r="K1219" s="3">
        <v>7650</v>
      </c>
      <c r="L1219" t="s">
        <v>30</v>
      </c>
      <c r="M1219">
        <v>2</v>
      </c>
      <c r="N1219">
        <v>5</v>
      </c>
      <c r="O1219">
        <v>29</v>
      </c>
      <c r="P1219" t="s">
        <v>21</v>
      </c>
      <c r="Q1219" s="1"/>
      <c r="U1219">
        <v>1</v>
      </c>
      <c r="V1219">
        <v>1</v>
      </c>
      <c r="W1219">
        <v>0</v>
      </c>
    </row>
    <row r="1220" spans="1:23" ht="16.5" x14ac:dyDescent="0.3">
      <c r="A1220" t="s">
        <v>1287</v>
      </c>
      <c r="B1220" t="s">
        <v>35</v>
      </c>
      <c r="C1220" t="s">
        <v>36</v>
      </c>
      <c r="D1220" t="s">
        <v>37</v>
      </c>
      <c r="E1220">
        <v>36</v>
      </c>
      <c r="F1220" t="s">
        <v>46</v>
      </c>
      <c r="G1220" t="s">
        <v>28</v>
      </c>
      <c r="H1220" s="1">
        <v>43133</v>
      </c>
      <c r="I1220" s="2">
        <v>7.9</v>
      </c>
      <c r="J1220" t="s">
        <v>39</v>
      </c>
      <c r="K1220" s="3">
        <v>4650</v>
      </c>
      <c r="L1220" t="s">
        <v>30</v>
      </c>
      <c r="M1220">
        <v>5</v>
      </c>
      <c r="N1220">
        <v>4</v>
      </c>
      <c r="O1220">
        <v>13</v>
      </c>
      <c r="P1220" t="s">
        <v>21</v>
      </c>
      <c r="Q1220" s="1"/>
      <c r="U1220">
        <v>1</v>
      </c>
      <c r="V1220">
        <v>1</v>
      </c>
      <c r="W1220">
        <v>0</v>
      </c>
    </row>
    <row r="1221" spans="1:23" ht="16.5" x14ac:dyDescent="0.3">
      <c r="A1221" t="s">
        <v>1288</v>
      </c>
      <c r="B1221" t="s">
        <v>73</v>
      </c>
      <c r="C1221" t="s">
        <v>25</v>
      </c>
      <c r="D1221" t="s">
        <v>26</v>
      </c>
      <c r="E1221">
        <v>32</v>
      </c>
      <c r="F1221" t="s">
        <v>27</v>
      </c>
      <c r="G1221" t="s">
        <v>38</v>
      </c>
      <c r="H1221" s="1">
        <v>45494</v>
      </c>
      <c r="I1221" s="2">
        <v>1.4</v>
      </c>
      <c r="J1221" t="s">
        <v>29</v>
      </c>
      <c r="K1221" s="3">
        <v>3850</v>
      </c>
      <c r="L1221" t="s">
        <v>30</v>
      </c>
      <c r="M1221">
        <v>5</v>
      </c>
      <c r="N1221">
        <v>5</v>
      </c>
      <c r="O1221">
        <v>20</v>
      </c>
      <c r="P1221" t="s">
        <v>21</v>
      </c>
      <c r="Q1221" s="1"/>
      <c r="U1221">
        <v>1</v>
      </c>
      <c r="V1221">
        <v>1</v>
      </c>
      <c r="W1221">
        <v>0</v>
      </c>
    </row>
    <row r="1222" spans="1:23" ht="16.5" x14ac:dyDescent="0.3">
      <c r="A1222" t="s">
        <v>1289</v>
      </c>
      <c r="B1222" t="s">
        <v>48</v>
      </c>
      <c r="C1222" t="s">
        <v>25</v>
      </c>
      <c r="D1222" t="s">
        <v>37</v>
      </c>
      <c r="E1222">
        <v>28</v>
      </c>
      <c r="F1222" t="s">
        <v>27</v>
      </c>
      <c r="G1222" t="s">
        <v>52</v>
      </c>
      <c r="H1222" s="1">
        <v>44276</v>
      </c>
      <c r="I1222" s="2">
        <v>4.8</v>
      </c>
      <c r="J1222" t="s">
        <v>50</v>
      </c>
      <c r="K1222" s="3">
        <v>5850</v>
      </c>
      <c r="L1222" t="s">
        <v>30</v>
      </c>
      <c r="M1222">
        <v>4</v>
      </c>
      <c r="N1222">
        <v>4</v>
      </c>
      <c r="O1222">
        <v>24</v>
      </c>
      <c r="P1222" t="s">
        <v>21</v>
      </c>
      <c r="Q1222" s="1"/>
      <c r="U1222">
        <v>1</v>
      </c>
      <c r="V1222">
        <v>1</v>
      </c>
      <c r="W1222">
        <v>0</v>
      </c>
    </row>
    <row r="1223" spans="1:23" ht="16.5" x14ac:dyDescent="0.3">
      <c r="A1223" t="s">
        <v>1290</v>
      </c>
      <c r="B1223" t="s">
        <v>35</v>
      </c>
      <c r="C1223" t="s">
        <v>25</v>
      </c>
      <c r="D1223" t="s">
        <v>37</v>
      </c>
      <c r="E1223">
        <v>21</v>
      </c>
      <c r="F1223" t="s">
        <v>57</v>
      </c>
      <c r="G1223" t="s">
        <v>38</v>
      </c>
      <c r="H1223" s="1">
        <v>45970</v>
      </c>
      <c r="I1223" s="2">
        <v>0</v>
      </c>
      <c r="J1223" t="s">
        <v>64</v>
      </c>
      <c r="K1223" s="3">
        <v>3750</v>
      </c>
      <c r="L1223" t="s">
        <v>30</v>
      </c>
      <c r="M1223">
        <v>3</v>
      </c>
      <c r="N1223">
        <v>2</v>
      </c>
      <c r="O1223">
        <v>25</v>
      </c>
      <c r="P1223" t="s">
        <v>22</v>
      </c>
      <c r="Q1223" s="1">
        <v>45986</v>
      </c>
      <c r="R1223" t="s">
        <v>40</v>
      </c>
      <c r="S1223" t="s">
        <v>182</v>
      </c>
      <c r="T1223" t="s">
        <v>60</v>
      </c>
      <c r="U1223">
        <v>1</v>
      </c>
      <c r="V1223">
        <v>0</v>
      </c>
      <c r="W1223">
        <v>1</v>
      </c>
    </row>
    <row r="1224" spans="1:23" ht="16.5" x14ac:dyDescent="0.3">
      <c r="A1224" t="s">
        <v>1291</v>
      </c>
      <c r="B1224" t="s">
        <v>35</v>
      </c>
      <c r="C1224" t="s">
        <v>25</v>
      </c>
      <c r="D1224" t="s">
        <v>37</v>
      </c>
      <c r="E1224">
        <v>33</v>
      </c>
      <c r="F1224" t="s">
        <v>27</v>
      </c>
      <c r="G1224" t="s">
        <v>38</v>
      </c>
      <c r="H1224" s="1">
        <v>45326</v>
      </c>
      <c r="I1224" s="2">
        <v>1.9</v>
      </c>
      <c r="J1224" t="s">
        <v>29</v>
      </c>
      <c r="K1224" s="3">
        <v>2500</v>
      </c>
      <c r="L1224" t="s">
        <v>30</v>
      </c>
      <c r="M1224">
        <v>2</v>
      </c>
      <c r="N1224">
        <v>4</v>
      </c>
      <c r="O1224">
        <v>28</v>
      </c>
      <c r="P1224" t="s">
        <v>21</v>
      </c>
      <c r="Q1224" s="1"/>
      <c r="U1224">
        <v>1</v>
      </c>
      <c r="V1224">
        <v>1</v>
      </c>
      <c r="W1224">
        <v>0</v>
      </c>
    </row>
    <row r="1225" spans="1:23" ht="16.5" x14ac:dyDescent="0.3">
      <c r="A1225" t="s">
        <v>1292</v>
      </c>
      <c r="B1225" t="s">
        <v>35</v>
      </c>
      <c r="C1225" t="s">
        <v>45</v>
      </c>
      <c r="D1225" t="s">
        <v>26</v>
      </c>
      <c r="E1225">
        <v>34</v>
      </c>
      <c r="F1225" t="s">
        <v>27</v>
      </c>
      <c r="G1225" t="s">
        <v>28</v>
      </c>
      <c r="H1225" s="1">
        <v>43657</v>
      </c>
      <c r="I1225" s="2">
        <v>6.5</v>
      </c>
      <c r="J1225" t="s">
        <v>39</v>
      </c>
      <c r="K1225" s="3">
        <v>6650</v>
      </c>
      <c r="L1225" t="s">
        <v>58</v>
      </c>
      <c r="M1225">
        <v>2</v>
      </c>
      <c r="N1225">
        <v>3</v>
      </c>
      <c r="O1225">
        <v>17</v>
      </c>
      <c r="P1225" t="s">
        <v>21</v>
      </c>
      <c r="Q1225" s="1"/>
      <c r="U1225">
        <v>1</v>
      </c>
      <c r="V1225">
        <v>1</v>
      </c>
      <c r="W1225">
        <v>0</v>
      </c>
    </row>
    <row r="1226" spans="1:23" ht="16.5" x14ac:dyDescent="0.3">
      <c r="A1226" t="s">
        <v>1293</v>
      </c>
      <c r="B1226" t="s">
        <v>70</v>
      </c>
      <c r="C1226" t="s">
        <v>25</v>
      </c>
      <c r="D1226" t="s">
        <v>37</v>
      </c>
      <c r="E1226">
        <v>28</v>
      </c>
      <c r="F1226" t="s">
        <v>27</v>
      </c>
      <c r="G1226" t="s">
        <v>38</v>
      </c>
      <c r="H1226" s="1">
        <v>45318</v>
      </c>
      <c r="I1226" s="2">
        <v>0.9</v>
      </c>
      <c r="J1226" t="s">
        <v>64</v>
      </c>
      <c r="K1226" s="3">
        <v>3650</v>
      </c>
      <c r="L1226" t="s">
        <v>58</v>
      </c>
      <c r="M1226">
        <v>4</v>
      </c>
      <c r="N1226">
        <v>3</v>
      </c>
      <c r="O1226">
        <v>16</v>
      </c>
      <c r="P1226" t="s">
        <v>22</v>
      </c>
      <c r="Q1226" s="1">
        <v>45632</v>
      </c>
      <c r="R1226" t="s">
        <v>31</v>
      </c>
      <c r="S1226" t="s">
        <v>92</v>
      </c>
      <c r="T1226" t="s">
        <v>33</v>
      </c>
      <c r="U1226">
        <v>1</v>
      </c>
      <c r="V1226">
        <v>0</v>
      </c>
      <c r="W1226">
        <v>1</v>
      </c>
    </row>
    <row r="1227" spans="1:23" ht="16.5" x14ac:dyDescent="0.3">
      <c r="A1227" t="s">
        <v>1294</v>
      </c>
      <c r="B1227" t="s">
        <v>24</v>
      </c>
      <c r="C1227" t="s">
        <v>87</v>
      </c>
      <c r="D1227" t="s">
        <v>26</v>
      </c>
      <c r="E1227">
        <v>47</v>
      </c>
      <c r="F1227" t="s">
        <v>88</v>
      </c>
      <c r="G1227" t="s">
        <v>38</v>
      </c>
      <c r="H1227" s="1">
        <v>43734</v>
      </c>
      <c r="I1227" s="2">
        <v>5.0999999999999996</v>
      </c>
      <c r="J1227" t="s">
        <v>39</v>
      </c>
      <c r="K1227" s="3">
        <v>8300</v>
      </c>
      <c r="L1227" t="s">
        <v>58</v>
      </c>
      <c r="M1227">
        <v>2</v>
      </c>
      <c r="N1227">
        <v>3</v>
      </c>
      <c r="O1227">
        <v>13</v>
      </c>
      <c r="P1227" t="s">
        <v>22</v>
      </c>
      <c r="Q1227" s="1">
        <v>45584</v>
      </c>
      <c r="R1227" t="s">
        <v>31</v>
      </c>
      <c r="S1227" t="s">
        <v>206</v>
      </c>
      <c r="T1227" t="s">
        <v>60</v>
      </c>
      <c r="U1227">
        <v>1</v>
      </c>
      <c r="V1227">
        <v>0</v>
      </c>
      <c r="W1227">
        <v>1</v>
      </c>
    </row>
    <row r="1228" spans="1:23" ht="16.5" x14ac:dyDescent="0.3">
      <c r="A1228" t="s">
        <v>1295</v>
      </c>
      <c r="B1228" t="s">
        <v>35</v>
      </c>
      <c r="C1228" t="s">
        <v>25</v>
      </c>
      <c r="D1228" t="s">
        <v>37</v>
      </c>
      <c r="E1228">
        <v>21</v>
      </c>
      <c r="F1228" t="s">
        <v>57</v>
      </c>
      <c r="G1228" t="s">
        <v>52</v>
      </c>
      <c r="H1228" s="1">
        <v>45931</v>
      </c>
      <c r="I1228" s="2">
        <v>0.2</v>
      </c>
      <c r="J1228" t="s">
        <v>64</v>
      </c>
      <c r="K1228" s="3">
        <v>3300</v>
      </c>
      <c r="L1228" t="s">
        <v>30</v>
      </c>
      <c r="M1228">
        <v>3</v>
      </c>
      <c r="N1228">
        <v>2</v>
      </c>
      <c r="O1228">
        <v>47</v>
      </c>
      <c r="P1228" t="s">
        <v>21</v>
      </c>
      <c r="Q1228" s="1"/>
      <c r="U1228">
        <v>1</v>
      </c>
      <c r="V1228">
        <v>1</v>
      </c>
      <c r="W1228">
        <v>0</v>
      </c>
    </row>
    <row r="1229" spans="1:23" ht="16.5" x14ac:dyDescent="0.3">
      <c r="A1229" t="s">
        <v>1296</v>
      </c>
      <c r="B1229" t="s">
        <v>24</v>
      </c>
      <c r="C1229" t="s">
        <v>25</v>
      </c>
      <c r="D1229" t="s">
        <v>26</v>
      </c>
      <c r="E1229">
        <v>22</v>
      </c>
      <c r="F1229" t="s">
        <v>57</v>
      </c>
      <c r="G1229" t="s">
        <v>52</v>
      </c>
      <c r="H1229" s="1">
        <v>45873</v>
      </c>
      <c r="I1229" s="2">
        <v>0.4</v>
      </c>
      <c r="J1229" t="s">
        <v>64</v>
      </c>
      <c r="K1229" s="3">
        <v>3050</v>
      </c>
      <c r="L1229" t="s">
        <v>30</v>
      </c>
      <c r="M1229">
        <v>3</v>
      </c>
      <c r="N1229">
        <v>3</v>
      </c>
      <c r="O1229">
        <v>25</v>
      </c>
      <c r="P1229" t="s">
        <v>21</v>
      </c>
      <c r="Q1229" s="1"/>
      <c r="U1229">
        <v>1</v>
      </c>
      <c r="V1229">
        <v>1</v>
      </c>
      <c r="W1229">
        <v>0</v>
      </c>
    </row>
    <row r="1230" spans="1:23" ht="16.5" x14ac:dyDescent="0.3">
      <c r="A1230" t="s">
        <v>1297</v>
      </c>
      <c r="B1230" t="s">
        <v>35</v>
      </c>
      <c r="C1230" t="s">
        <v>36</v>
      </c>
      <c r="D1230" t="s">
        <v>37</v>
      </c>
      <c r="E1230">
        <v>30</v>
      </c>
      <c r="F1230" t="s">
        <v>27</v>
      </c>
      <c r="G1230" t="s">
        <v>28</v>
      </c>
      <c r="H1230" s="1">
        <v>44641</v>
      </c>
      <c r="I1230" s="2">
        <v>3.8</v>
      </c>
      <c r="J1230" t="s">
        <v>50</v>
      </c>
      <c r="K1230" s="3">
        <v>4750</v>
      </c>
      <c r="L1230" t="s">
        <v>30</v>
      </c>
      <c r="M1230">
        <v>4</v>
      </c>
      <c r="N1230">
        <v>2</v>
      </c>
      <c r="O1230">
        <v>13</v>
      </c>
      <c r="P1230" t="s">
        <v>21</v>
      </c>
      <c r="Q1230" s="1"/>
      <c r="U1230">
        <v>1</v>
      </c>
      <c r="V1230">
        <v>1</v>
      </c>
      <c r="W1230">
        <v>0</v>
      </c>
    </row>
    <row r="1231" spans="1:23" ht="16.5" x14ac:dyDescent="0.3">
      <c r="A1231" t="s">
        <v>1298</v>
      </c>
      <c r="B1231" t="s">
        <v>48</v>
      </c>
      <c r="C1231" t="s">
        <v>87</v>
      </c>
      <c r="D1231" t="s">
        <v>37</v>
      </c>
      <c r="E1231">
        <v>44</v>
      </c>
      <c r="F1231" t="s">
        <v>46</v>
      </c>
      <c r="G1231" t="s">
        <v>28</v>
      </c>
      <c r="H1231" s="1">
        <v>43260</v>
      </c>
      <c r="I1231" s="2">
        <v>7.2</v>
      </c>
      <c r="J1231" t="s">
        <v>39</v>
      </c>
      <c r="K1231" s="3">
        <v>15900</v>
      </c>
      <c r="L1231" t="s">
        <v>58</v>
      </c>
      <c r="M1231">
        <v>2</v>
      </c>
      <c r="N1231">
        <v>4</v>
      </c>
      <c r="O1231">
        <v>13</v>
      </c>
      <c r="P1231" t="s">
        <v>22</v>
      </c>
      <c r="Q1231" s="1">
        <v>45874</v>
      </c>
      <c r="R1231" t="s">
        <v>40</v>
      </c>
      <c r="S1231" t="s">
        <v>41</v>
      </c>
      <c r="T1231" t="s">
        <v>60</v>
      </c>
      <c r="U1231">
        <v>1</v>
      </c>
      <c r="V1231">
        <v>0</v>
      </c>
      <c r="W1231">
        <v>1</v>
      </c>
    </row>
    <row r="1232" spans="1:23" ht="16.5" x14ac:dyDescent="0.3">
      <c r="A1232" t="s">
        <v>1299</v>
      </c>
      <c r="B1232" t="s">
        <v>35</v>
      </c>
      <c r="C1232" t="s">
        <v>36</v>
      </c>
      <c r="D1232" t="s">
        <v>37</v>
      </c>
      <c r="E1232">
        <v>32</v>
      </c>
      <c r="F1232" t="s">
        <v>27</v>
      </c>
      <c r="G1232" t="s">
        <v>38</v>
      </c>
      <c r="H1232" s="1">
        <v>44961</v>
      </c>
      <c r="I1232" s="2">
        <v>1.9</v>
      </c>
      <c r="J1232" t="s">
        <v>29</v>
      </c>
      <c r="K1232" s="3">
        <v>3800</v>
      </c>
      <c r="L1232" t="s">
        <v>30</v>
      </c>
      <c r="M1232">
        <v>3</v>
      </c>
      <c r="N1232">
        <v>4</v>
      </c>
      <c r="O1232">
        <v>31</v>
      </c>
      <c r="P1232" t="s">
        <v>22</v>
      </c>
      <c r="Q1232" s="1">
        <v>45641</v>
      </c>
      <c r="R1232" t="s">
        <v>31</v>
      </c>
      <c r="S1232" t="s">
        <v>92</v>
      </c>
      <c r="T1232" t="s">
        <v>473</v>
      </c>
      <c r="U1232">
        <v>1</v>
      </c>
      <c r="V1232">
        <v>0</v>
      </c>
      <c r="W1232">
        <v>1</v>
      </c>
    </row>
    <row r="1233" spans="1:23" ht="16.5" x14ac:dyDescent="0.3">
      <c r="A1233" t="s">
        <v>1300</v>
      </c>
      <c r="B1233" t="s">
        <v>24</v>
      </c>
      <c r="C1233" t="s">
        <v>25</v>
      </c>
      <c r="D1233" t="s">
        <v>37</v>
      </c>
      <c r="E1233">
        <v>25</v>
      </c>
      <c r="F1233" t="s">
        <v>57</v>
      </c>
      <c r="G1233" t="s">
        <v>28</v>
      </c>
      <c r="H1233" s="1">
        <v>45224</v>
      </c>
      <c r="I1233" s="2">
        <v>2.2000000000000002</v>
      </c>
      <c r="J1233" t="s">
        <v>29</v>
      </c>
      <c r="K1233" s="3">
        <v>2400</v>
      </c>
      <c r="L1233" t="s">
        <v>30</v>
      </c>
      <c r="M1233">
        <v>4</v>
      </c>
      <c r="N1233">
        <v>4</v>
      </c>
      <c r="O1233">
        <v>21</v>
      </c>
      <c r="P1233" t="s">
        <v>21</v>
      </c>
      <c r="Q1233" s="1"/>
      <c r="U1233">
        <v>1</v>
      </c>
      <c r="V1233">
        <v>1</v>
      </c>
      <c r="W1233">
        <v>0</v>
      </c>
    </row>
    <row r="1234" spans="1:23" ht="16.5" x14ac:dyDescent="0.3">
      <c r="A1234" t="s">
        <v>1301</v>
      </c>
      <c r="B1234" t="s">
        <v>24</v>
      </c>
      <c r="C1234" t="s">
        <v>87</v>
      </c>
      <c r="D1234" t="s">
        <v>26</v>
      </c>
      <c r="E1234">
        <v>46</v>
      </c>
      <c r="F1234" t="s">
        <v>88</v>
      </c>
      <c r="G1234" t="s">
        <v>28</v>
      </c>
      <c r="H1234" s="1">
        <v>43141</v>
      </c>
      <c r="I1234" s="2">
        <v>7.9</v>
      </c>
      <c r="J1234" t="s">
        <v>39</v>
      </c>
      <c r="K1234" s="3">
        <v>9200</v>
      </c>
      <c r="L1234" t="s">
        <v>30</v>
      </c>
      <c r="M1234">
        <v>3</v>
      </c>
      <c r="N1234">
        <v>4</v>
      </c>
      <c r="O1234">
        <v>31</v>
      </c>
      <c r="P1234" t="s">
        <v>21</v>
      </c>
      <c r="Q1234" s="1"/>
      <c r="U1234">
        <v>1</v>
      </c>
      <c r="V1234">
        <v>1</v>
      </c>
      <c r="W1234">
        <v>0</v>
      </c>
    </row>
    <row r="1235" spans="1:23" ht="16.5" x14ac:dyDescent="0.3">
      <c r="A1235" t="s">
        <v>1302</v>
      </c>
      <c r="B1235" t="s">
        <v>35</v>
      </c>
      <c r="C1235" t="s">
        <v>36</v>
      </c>
      <c r="D1235" t="s">
        <v>26</v>
      </c>
      <c r="E1235">
        <v>32</v>
      </c>
      <c r="F1235" t="s">
        <v>27</v>
      </c>
      <c r="G1235" t="s">
        <v>38</v>
      </c>
      <c r="H1235" s="1">
        <v>45003</v>
      </c>
      <c r="I1235" s="2">
        <v>2.8</v>
      </c>
      <c r="J1235" t="s">
        <v>29</v>
      </c>
      <c r="K1235" s="3">
        <v>4200</v>
      </c>
      <c r="L1235" t="s">
        <v>58</v>
      </c>
      <c r="M1235">
        <v>4</v>
      </c>
      <c r="N1235">
        <v>3</v>
      </c>
      <c r="O1235">
        <v>31</v>
      </c>
      <c r="P1235" t="s">
        <v>21</v>
      </c>
      <c r="Q1235" s="1"/>
      <c r="U1235">
        <v>1</v>
      </c>
      <c r="V1235">
        <v>1</v>
      </c>
      <c r="W1235">
        <v>0</v>
      </c>
    </row>
    <row r="1236" spans="1:23" ht="16.5" x14ac:dyDescent="0.3">
      <c r="A1236" t="s">
        <v>1303</v>
      </c>
      <c r="B1236" t="s">
        <v>24</v>
      </c>
      <c r="C1236" t="s">
        <v>36</v>
      </c>
      <c r="D1236" t="s">
        <v>37</v>
      </c>
      <c r="E1236">
        <v>32</v>
      </c>
      <c r="F1236" t="s">
        <v>27</v>
      </c>
      <c r="G1236" t="s">
        <v>38</v>
      </c>
      <c r="H1236" s="1">
        <v>43238</v>
      </c>
      <c r="I1236" s="2">
        <v>7.6</v>
      </c>
      <c r="J1236" t="s">
        <v>39</v>
      </c>
      <c r="K1236" s="3">
        <v>2950</v>
      </c>
      <c r="L1236" t="s">
        <v>30</v>
      </c>
      <c r="M1236">
        <v>3</v>
      </c>
      <c r="N1236">
        <v>4</v>
      </c>
      <c r="O1236">
        <v>37</v>
      </c>
      <c r="P1236" t="s">
        <v>21</v>
      </c>
      <c r="Q1236" s="1"/>
      <c r="U1236">
        <v>1</v>
      </c>
      <c r="V1236">
        <v>1</v>
      </c>
      <c r="W1236">
        <v>0</v>
      </c>
    </row>
    <row r="1237" spans="1:23" ht="16.5" x14ac:dyDescent="0.3">
      <c r="A1237" t="s">
        <v>1304</v>
      </c>
      <c r="B1237" t="s">
        <v>35</v>
      </c>
      <c r="C1237" t="s">
        <v>45</v>
      </c>
      <c r="D1237" t="s">
        <v>37</v>
      </c>
      <c r="E1237">
        <v>36</v>
      </c>
      <c r="F1237" t="s">
        <v>46</v>
      </c>
      <c r="G1237" t="s">
        <v>28</v>
      </c>
      <c r="H1237" s="1">
        <v>44211</v>
      </c>
      <c r="I1237" s="2">
        <v>5</v>
      </c>
      <c r="J1237" t="s">
        <v>50</v>
      </c>
      <c r="K1237" s="3">
        <v>5850</v>
      </c>
      <c r="L1237" t="s">
        <v>30</v>
      </c>
      <c r="M1237">
        <v>3</v>
      </c>
      <c r="N1237">
        <v>4</v>
      </c>
      <c r="O1237">
        <v>20</v>
      </c>
      <c r="P1237" t="s">
        <v>21</v>
      </c>
      <c r="Q1237" s="1"/>
      <c r="U1237">
        <v>1</v>
      </c>
      <c r="V1237">
        <v>1</v>
      </c>
      <c r="W1237">
        <v>0</v>
      </c>
    </row>
    <row r="1238" spans="1:23" ht="16.5" x14ac:dyDescent="0.3">
      <c r="A1238" t="s">
        <v>1305</v>
      </c>
      <c r="B1238" t="s">
        <v>24</v>
      </c>
      <c r="C1238" t="s">
        <v>25</v>
      </c>
      <c r="D1238" t="s">
        <v>37</v>
      </c>
      <c r="E1238">
        <v>28</v>
      </c>
      <c r="F1238" t="s">
        <v>27</v>
      </c>
      <c r="G1238" t="s">
        <v>38</v>
      </c>
      <c r="H1238" s="1">
        <v>43985</v>
      </c>
      <c r="I1238" s="2">
        <v>5.6</v>
      </c>
      <c r="J1238" t="s">
        <v>39</v>
      </c>
      <c r="K1238" s="3">
        <v>3100</v>
      </c>
      <c r="L1238" t="s">
        <v>30</v>
      </c>
      <c r="M1238">
        <v>3</v>
      </c>
      <c r="N1238">
        <v>3</v>
      </c>
      <c r="O1238">
        <v>33</v>
      </c>
      <c r="P1238" t="s">
        <v>21</v>
      </c>
      <c r="Q1238" s="1"/>
      <c r="U1238">
        <v>1</v>
      </c>
      <c r="V1238">
        <v>1</v>
      </c>
      <c r="W1238">
        <v>0</v>
      </c>
    </row>
    <row r="1239" spans="1:23" ht="16.5" x14ac:dyDescent="0.3">
      <c r="A1239" t="s">
        <v>1306</v>
      </c>
      <c r="B1239" t="s">
        <v>73</v>
      </c>
      <c r="C1239" t="s">
        <v>36</v>
      </c>
      <c r="D1239" t="s">
        <v>37</v>
      </c>
      <c r="E1239">
        <v>40</v>
      </c>
      <c r="F1239" t="s">
        <v>46</v>
      </c>
      <c r="G1239" t="s">
        <v>38</v>
      </c>
      <c r="H1239" s="1">
        <v>44938</v>
      </c>
      <c r="I1239" s="2">
        <v>3</v>
      </c>
      <c r="J1239" t="s">
        <v>29</v>
      </c>
      <c r="K1239" s="3">
        <v>5450</v>
      </c>
      <c r="L1239" t="s">
        <v>30</v>
      </c>
      <c r="M1239">
        <v>3</v>
      </c>
      <c r="N1239">
        <v>4</v>
      </c>
      <c r="O1239">
        <v>31</v>
      </c>
      <c r="P1239" t="s">
        <v>21</v>
      </c>
      <c r="Q1239" s="1"/>
      <c r="U1239">
        <v>1</v>
      </c>
      <c r="V1239">
        <v>1</v>
      </c>
      <c r="W1239">
        <v>0</v>
      </c>
    </row>
    <row r="1240" spans="1:23" ht="16.5" x14ac:dyDescent="0.3">
      <c r="A1240" t="s">
        <v>1307</v>
      </c>
      <c r="B1240" t="s">
        <v>24</v>
      </c>
      <c r="C1240" t="s">
        <v>25</v>
      </c>
      <c r="D1240" t="s">
        <v>37</v>
      </c>
      <c r="E1240">
        <v>27</v>
      </c>
      <c r="F1240" t="s">
        <v>27</v>
      </c>
      <c r="G1240" t="s">
        <v>28</v>
      </c>
      <c r="H1240" s="1">
        <v>44875</v>
      </c>
      <c r="I1240" s="2">
        <v>3.1</v>
      </c>
      <c r="J1240" t="s">
        <v>50</v>
      </c>
      <c r="K1240" s="3">
        <v>2850</v>
      </c>
      <c r="L1240" t="s">
        <v>58</v>
      </c>
      <c r="M1240">
        <v>3</v>
      </c>
      <c r="N1240">
        <v>3</v>
      </c>
      <c r="O1240">
        <v>10</v>
      </c>
      <c r="P1240" t="s">
        <v>21</v>
      </c>
      <c r="Q1240" s="1"/>
      <c r="U1240">
        <v>1</v>
      </c>
      <c r="V1240">
        <v>1</v>
      </c>
      <c r="W1240">
        <v>0</v>
      </c>
    </row>
    <row r="1241" spans="1:23" ht="16.5" x14ac:dyDescent="0.3">
      <c r="A1241" t="s">
        <v>1308</v>
      </c>
      <c r="B1241" t="s">
        <v>48</v>
      </c>
      <c r="C1241" t="s">
        <v>36</v>
      </c>
      <c r="D1241" t="s">
        <v>26</v>
      </c>
      <c r="E1241">
        <v>35</v>
      </c>
      <c r="F1241" t="s">
        <v>27</v>
      </c>
      <c r="G1241" t="s">
        <v>38</v>
      </c>
      <c r="H1241" s="1">
        <v>43668</v>
      </c>
      <c r="I1241" s="2">
        <v>6.4</v>
      </c>
      <c r="J1241" t="s">
        <v>39</v>
      </c>
      <c r="K1241" s="3">
        <v>7400</v>
      </c>
      <c r="L1241" t="s">
        <v>30</v>
      </c>
      <c r="M1241">
        <v>4</v>
      </c>
      <c r="N1241">
        <v>4</v>
      </c>
      <c r="O1241">
        <v>8</v>
      </c>
      <c r="P1241" t="s">
        <v>21</v>
      </c>
      <c r="Q1241" s="1"/>
      <c r="U1241">
        <v>1</v>
      </c>
      <c r="V1241">
        <v>1</v>
      </c>
      <c r="W1241">
        <v>0</v>
      </c>
    </row>
    <row r="1242" spans="1:23" ht="16.5" x14ac:dyDescent="0.3">
      <c r="A1242" t="s">
        <v>1309</v>
      </c>
      <c r="B1242" t="s">
        <v>35</v>
      </c>
      <c r="C1242" t="s">
        <v>36</v>
      </c>
      <c r="D1242" t="s">
        <v>26</v>
      </c>
      <c r="E1242">
        <v>35</v>
      </c>
      <c r="F1242" t="s">
        <v>27</v>
      </c>
      <c r="G1242" t="s">
        <v>28</v>
      </c>
      <c r="H1242" s="1">
        <v>44951</v>
      </c>
      <c r="I1242" s="2">
        <v>2.9</v>
      </c>
      <c r="J1242" t="s">
        <v>29</v>
      </c>
      <c r="K1242" s="3">
        <v>4200</v>
      </c>
      <c r="L1242" t="s">
        <v>58</v>
      </c>
      <c r="M1242">
        <v>2</v>
      </c>
      <c r="N1242">
        <v>4</v>
      </c>
      <c r="O1242">
        <v>18</v>
      </c>
      <c r="P1242" t="s">
        <v>21</v>
      </c>
      <c r="Q1242" s="1"/>
      <c r="U1242">
        <v>1</v>
      </c>
      <c r="V1242">
        <v>1</v>
      </c>
      <c r="W1242">
        <v>0</v>
      </c>
    </row>
    <row r="1243" spans="1:23" ht="16.5" x14ac:dyDescent="0.3">
      <c r="A1243" t="s">
        <v>1310</v>
      </c>
      <c r="B1243" t="s">
        <v>44</v>
      </c>
      <c r="C1243" t="s">
        <v>25</v>
      </c>
      <c r="D1243" t="s">
        <v>26</v>
      </c>
      <c r="E1243">
        <v>22</v>
      </c>
      <c r="F1243" t="s">
        <v>57</v>
      </c>
      <c r="G1243" t="s">
        <v>52</v>
      </c>
      <c r="H1243" s="1">
        <v>45957</v>
      </c>
      <c r="I1243" s="2">
        <v>0.2</v>
      </c>
      <c r="J1243" t="s">
        <v>64</v>
      </c>
      <c r="K1243" s="3">
        <v>6250</v>
      </c>
      <c r="L1243" t="s">
        <v>30</v>
      </c>
      <c r="M1243">
        <v>3</v>
      </c>
      <c r="N1243">
        <v>3</v>
      </c>
      <c r="O1243">
        <v>28</v>
      </c>
      <c r="P1243" t="s">
        <v>21</v>
      </c>
      <c r="Q1243" s="1"/>
      <c r="U1243">
        <v>1</v>
      </c>
      <c r="V1243">
        <v>1</v>
      </c>
      <c r="W1243">
        <v>0</v>
      </c>
    </row>
    <row r="1244" spans="1:23" ht="16.5" x14ac:dyDescent="0.3">
      <c r="A1244" t="s">
        <v>1311</v>
      </c>
      <c r="B1244" t="s">
        <v>55</v>
      </c>
      <c r="C1244" t="s">
        <v>25</v>
      </c>
      <c r="D1244" t="s">
        <v>37</v>
      </c>
      <c r="E1244">
        <v>23</v>
      </c>
      <c r="F1244" t="s">
        <v>57</v>
      </c>
      <c r="G1244" t="s">
        <v>28</v>
      </c>
      <c r="H1244" s="1">
        <v>45539</v>
      </c>
      <c r="I1244" s="2">
        <v>1.3</v>
      </c>
      <c r="J1244" t="s">
        <v>29</v>
      </c>
      <c r="K1244" s="3">
        <v>3500</v>
      </c>
      <c r="L1244" t="s">
        <v>30</v>
      </c>
      <c r="M1244">
        <v>5</v>
      </c>
      <c r="N1244">
        <v>3</v>
      </c>
      <c r="O1244">
        <v>19</v>
      </c>
      <c r="P1244" t="s">
        <v>21</v>
      </c>
      <c r="Q1244" s="1"/>
      <c r="U1244">
        <v>1</v>
      </c>
      <c r="V1244">
        <v>1</v>
      </c>
      <c r="W1244">
        <v>0</v>
      </c>
    </row>
    <row r="1245" spans="1:23" ht="16.5" x14ac:dyDescent="0.3">
      <c r="A1245" t="s">
        <v>1312</v>
      </c>
      <c r="B1245" t="s">
        <v>35</v>
      </c>
      <c r="C1245" t="s">
        <v>36</v>
      </c>
      <c r="D1245" t="s">
        <v>26</v>
      </c>
      <c r="E1245">
        <v>39</v>
      </c>
      <c r="F1245" t="s">
        <v>46</v>
      </c>
      <c r="G1245" t="s">
        <v>28</v>
      </c>
      <c r="H1245" s="1">
        <v>44019</v>
      </c>
      <c r="I1245" s="2">
        <v>5.5</v>
      </c>
      <c r="J1245" t="s">
        <v>39</v>
      </c>
      <c r="K1245" s="3">
        <v>4150</v>
      </c>
      <c r="L1245" t="s">
        <v>58</v>
      </c>
      <c r="M1245">
        <v>3</v>
      </c>
      <c r="N1245">
        <v>3</v>
      </c>
      <c r="O1245">
        <v>34</v>
      </c>
      <c r="P1245" t="s">
        <v>21</v>
      </c>
      <c r="Q1245" s="1"/>
      <c r="U1245">
        <v>1</v>
      </c>
      <c r="V1245">
        <v>1</v>
      </c>
      <c r="W1245">
        <v>0</v>
      </c>
    </row>
    <row r="1246" spans="1:23" ht="16.5" x14ac:dyDescent="0.3">
      <c r="A1246" t="s">
        <v>1313</v>
      </c>
      <c r="B1246" t="s">
        <v>70</v>
      </c>
      <c r="C1246" t="s">
        <v>87</v>
      </c>
      <c r="D1246" t="s">
        <v>26</v>
      </c>
      <c r="E1246">
        <v>51</v>
      </c>
      <c r="F1246" t="s">
        <v>88</v>
      </c>
      <c r="G1246" t="s">
        <v>28</v>
      </c>
      <c r="H1246" s="1">
        <v>44862</v>
      </c>
      <c r="I1246" s="2">
        <v>3.2</v>
      </c>
      <c r="J1246" t="s">
        <v>50</v>
      </c>
      <c r="K1246" s="3">
        <v>10500</v>
      </c>
      <c r="L1246" t="s">
        <v>30</v>
      </c>
      <c r="M1246">
        <v>5</v>
      </c>
      <c r="N1246">
        <v>3</v>
      </c>
      <c r="O1246">
        <v>19</v>
      </c>
      <c r="P1246" t="s">
        <v>21</v>
      </c>
      <c r="Q1246" s="1"/>
      <c r="U1246">
        <v>1</v>
      </c>
      <c r="V1246">
        <v>1</v>
      </c>
      <c r="W1246">
        <v>0</v>
      </c>
    </row>
    <row r="1247" spans="1:23" ht="16.5" x14ac:dyDescent="0.3">
      <c r="A1247" t="s">
        <v>1314</v>
      </c>
      <c r="B1247" t="s">
        <v>55</v>
      </c>
      <c r="C1247" t="s">
        <v>87</v>
      </c>
      <c r="D1247" t="s">
        <v>37</v>
      </c>
      <c r="E1247">
        <v>52</v>
      </c>
      <c r="F1247" t="s">
        <v>88</v>
      </c>
      <c r="G1247" t="s">
        <v>38</v>
      </c>
      <c r="H1247" s="1">
        <v>44817</v>
      </c>
      <c r="I1247" s="2">
        <v>3.3</v>
      </c>
      <c r="J1247" t="s">
        <v>50</v>
      </c>
      <c r="K1247" s="3">
        <v>10450</v>
      </c>
      <c r="L1247" t="s">
        <v>58</v>
      </c>
      <c r="M1247">
        <v>2</v>
      </c>
      <c r="N1247">
        <v>3</v>
      </c>
      <c r="O1247">
        <v>27</v>
      </c>
      <c r="P1247" t="s">
        <v>21</v>
      </c>
      <c r="Q1247" s="1"/>
      <c r="U1247">
        <v>1</v>
      </c>
      <c r="V1247">
        <v>1</v>
      </c>
      <c r="W1247">
        <v>0</v>
      </c>
    </row>
    <row r="1248" spans="1:23" ht="16.5" x14ac:dyDescent="0.3">
      <c r="A1248" t="s">
        <v>1315</v>
      </c>
      <c r="B1248" t="s">
        <v>24</v>
      </c>
      <c r="C1248" t="s">
        <v>36</v>
      </c>
      <c r="D1248" t="s">
        <v>37</v>
      </c>
      <c r="E1248">
        <v>32</v>
      </c>
      <c r="F1248" t="s">
        <v>27</v>
      </c>
      <c r="G1248" t="s">
        <v>38</v>
      </c>
      <c r="H1248" s="1">
        <v>45063</v>
      </c>
      <c r="I1248" s="2">
        <v>2.6</v>
      </c>
      <c r="J1248" t="s">
        <v>29</v>
      </c>
      <c r="K1248" s="3">
        <v>3150</v>
      </c>
      <c r="L1248" t="s">
        <v>30</v>
      </c>
      <c r="M1248">
        <v>3</v>
      </c>
      <c r="N1248">
        <v>3</v>
      </c>
      <c r="O1248">
        <v>19</v>
      </c>
      <c r="P1248" t="s">
        <v>21</v>
      </c>
      <c r="Q1248" s="1"/>
      <c r="U1248">
        <v>1</v>
      </c>
      <c r="V1248">
        <v>1</v>
      </c>
      <c r="W1248">
        <v>0</v>
      </c>
    </row>
    <row r="1249" spans="1:23" ht="16.5" x14ac:dyDescent="0.3">
      <c r="A1249" t="s">
        <v>1316</v>
      </c>
      <c r="B1249" t="s">
        <v>35</v>
      </c>
      <c r="C1249" t="s">
        <v>25</v>
      </c>
      <c r="D1249" t="s">
        <v>37</v>
      </c>
      <c r="E1249">
        <v>34</v>
      </c>
      <c r="F1249" t="s">
        <v>27</v>
      </c>
      <c r="G1249" t="s">
        <v>38</v>
      </c>
      <c r="H1249" s="1">
        <v>44364</v>
      </c>
      <c r="I1249" s="2">
        <v>4.5</v>
      </c>
      <c r="J1249" t="s">
        <v>50</v>
      </c>
      <c r="K1249" s="3">
        <v>3400</v>
      </c>
      <c r="L1249" t="s">
        <v>30</v>
      </c>
      <c r="M1249">
        <v>4</v>
      </c>
      <c r="N1249">
        <v>3</v>
      </c>
      <c r="O1249">
        <v>23</v>
      </c>
      <c r="P1249" t="s">
        <v>21</v>
      </c>
      <c r="Q1249" s="1"/>
      <c r="U1249">
        <v>1</v>
      </c>
      <c r="V1249">
        <v>1</v>
      </c>
      <c r="W1249">
        <v>0</v>
      </c>
    </row>
    <row r="1250" spans="1:23" ht="16.5" x14ac:dyDescent="0.3">
      <c r="A1250" t="s">
        <v>1317</v>
      </c>
      <c r="B1250" t="s">
        <v>70</v>
      </c>
      <c r="C1250" t="s">
        <v>25</v>
      </c>
      <c r="D1250" t="s">
        <v>37</v>
      </c>
      <c r="E1250">
        <v>31</v>
      </c>
      <c r="F1250" t="s">
        <v>27</v>
      </c>
      <c r="G1250" t="s">
        <v>52</v>
      </c>
      <c r="H1250" s="1">
        <v>44564</v>
      </c>
      <c r="I1250" s="2">
        <v>4</v>
      </c>
      <c r="J1250" t="s">
        <v>50</v>
      </c>
      <c r="K1250" s="3">
        <v>3800</v>
      </c>
      <c r="L1250" t="s">
        <v>58</v>
      </c>
      <c r="M1250">
        <v>3</v>
      </c>
      <c r="N1250">
        <v>5</v>
      </c>
      <c r="O1250">
        <v>19</v>
      </c>
      <c r="P1250" t="s">
        <v>21</v>
      </c>
      <c r="Q1250" s="1"/>
      <c r="U1250">
        <v>1</v>
      </c>
      <c r="V1250">
        <v>1</v>
      </c>
      <c r="W1250">
        <v>0</v>
      </c>
    </row>
    <row r="1251" spans="1:23" ht="16.5" x14ac:dyDescent="0.3">
      <c r="A1251" t="s">
        <v>1318</v>
      </c>
      <c r="B1251" t="s">
        <v>24</v>
      </c>
      <c r="C1251" t="s">
        <v>25</v>
      </c>
      <c r="D1251" t="s">
        <v>37</v>
      </c>
      <c r="E1251">
        <v>38</v>
      </c>
      <c r="F1251" t="s">
        <v>46</v>
      </c>
      <c r="G1251" t="s">
        <v>28</v>
      </c>
      <c r="H1251" s="1">
        <v>44756</v>
      </c>
      <c r="I1251" s="2">
        <v>2.5</v>
      </c>
      <c r="J1251" t="s">
        <v>29</v>
      </c>
      <c r="K1251" s="3">
        <v>2450</v>
      </c>
      <c r="L1251" t="s">
        <v>58</v>
      </c>
      <c r="M1251">
        <v>3</v>
      </c>
      <c r="N1251">
        <v>4</v>
      </c>
      <c r="O1251">
        <v>17</v>
      </c>
      <c r="P1251" t="s">
        <v>22</v>
      </c>
      <c r="Q1251" s="1">
        <v>45655</v>
      </c>
      <c r="R1251" t="s">
        <v>31</v>
      </c>
      <c r="S1251" t="s">
        <v>92</v>
      </c>
      <c r="T1251" t="s">
        <v>33</v>
      </c>
      <c r="U1251">
        <v>1</v>
      </c>
      <c r="V1251">
        <v>0</v>
      </c>
      <c r="W1251">
        <v>1</v>
      </c>
    </row>
    <row r="1252" spans="1:23" ht="16.5" x14ac:dyDescent="0.3">
      <c r="A1252" t="s">
        <v>1319</v>
      </c>
      <c r="B1252" t="s">
        <v>24</v>
      </c>
      <c r="C1252" t="s">
        <v>36</v>
      </c>
      <c r="D1252" t="s">
        <v>37</v>
      </c>
      <c r="E1252">
        <v>26</v>
      </c>
      <c r="F1252" t="s">
        <v>27</v>
      </c>
      <c r="G1252" t="s">
        <v>28</v>
      </c>
      <c r="H1252" s="1">
        <v>44719</v>
      </c>
      <c r="I1252" s="2">
        <v>3.6</v>
      </c>
      <c r="J1252" t="s">
        <v>50</v>
      </c>
      <c r="K1252" s="3">
        <v>3800</v>
      </c>
      <c r="L1252" t="s">
        <v>58</v>
      </c>
      <c r="M1252">
        <v>4</v>
      </c>
      <c r="N1252">
        <v>3</v>
      </c>
      <c r="O1252">
        <v>18</v>
      </c>
      <c r="P1252" t="s">
        <v>21</v>
      </c>
      <c r="Q1252" s="1"/>
      <c r="U1252">
        <v>1</v>
      </c>
      <c r="V1252">
        <v>1</v>
      </c>
      <c r="W1252">
        <v>0</v>
      </c>
    </row>
    <row r="1253" spans="1:23" ht="16.5" x14ac:dyDescent="0.3">
      <c r="A1253" t="s">
        <v>1320</v>
      </c>
      <c r="B1253" t="s">
        <v>70</v>
      </c>
      <c r="C1253" t="s">
        <v>25</v>
      </c>
      <c r="D1253" t="s">
        <v>37</v>
      </c>
      <c r="E1253">
        <v>28</v>
      </c>
      <c r="F1253" t="s">
        <v>27</v>
      </c>
      <c r="G1253" t="s">
        <v>38</v>
      </c>
      <c r="H1253" s="1">
        <v>44262</v>
      </c>
      <c r="I1253" s="2">
        <v>3.1</v>
      </c>
      <c r="J1253" t="s">
        <v>50</v>
      </c>
      <c r="K1253" s="3">
        <v>4350</v>
      </c>
      <c r="L1253" t="s">
        <v>58</v>
      </c>
      <c r="M1253">
        <v>3</v>
      </c>
      <c r="N1253">
        <v>4</v>
      </c>
      <c r="O1253">
        <v>31</v>
      </c>
      <c r="P1253" t="s">
        <v>22</v>
      </c>
      <c r="Q1253" s="1">
        <v>45383</v>
      </c>
      <c r="R1253" t="s">
        <v>31</v>
      </c>
      <c r="S1253" t="s">
        <v>153</v>
      </c>
      <c r="T1253" t="s">
        <v>151</v>
      </c>
      <c r="U1253">
        <v>1</v>
      </c>
      <c r="V1253">
        <v>0</v>
      </c>
      <c r="W1253">
        <v>1</v>
      </c>
    </row>
    <row r="1254" spans="1:23" ht="16.5" x14ac:dyDescent="0.3">
      <c r="A1254" t="s">
        <v>1321</v>
      </c>
      <c r="B1254" t="s">
        <v>73</v>
      </c>
      <c r="C1254" t="s">
        <v>45</v>
      </c>
      <c r="D1254" t="s">
        <v>37</v>
      </c>
      <c r="E1254">
        <v>48</v>
      </c>
      <c r="F1254" t="s">
        <v>88</v>
      </c>
      <c r="G1254" t="s">
        <v>38</v>
      </c>
      <c r="H1254" s="1">
        <v>42568</v>
      </c>
      <c r="I1254" s="2">
        <v>9.5</v>
      </c>
      <c r="J1254" t="s">
        <v>39</v>
      </c>
      <c r="K1254" s="3">
        <v>6250</v>
      </c>
      <c r="L1254" t="s">
        <v>58</v>
      </c>
      <c r="M1254">
        <v>3</v>
      </c>
      <c r="N1254">
        <v>4</v>
      </c>
      <c r="O1254">
        <v>17</v>
      </c>
      <c r="P1254" t="s">
        <v>21</v>
      </c>
      <c r="Q1254" s="1"/>
      <c r="U1254">
        <v>1</v>
      </c>
      <c r="V1254">
        <v>1</v>
      </c>
      <c r="W1254">
        <v>0</v>
      </c>
    </row>
    <row r="1255" spans="1:23" ht="16.5" x14ac:dyDescent="0.3">
      <c r="A1255" t="s">
        <v>1322</v>
      </c>
      <c r="B1255" t="s">
        <v>48</v>
      </c>
      <c r="C1255" t="s">
        <v>87</v>
      </c>
      <c r="D1255" t="s">
        <v>37</v>
      </c>
      <c r="E1255">
        <v>49</v>
      </c>
      <c r="F1255" t="s">
        <v>88</v>
      </c>
      <c r="G1255" t="s">
        <v>28</v>
      </c>
      <c r="H1255" s="1">
        <v>42109</v>
      </c>
      <c r="I1255" s="2">
        <v>10.7</v>
      </c>
      <c r="J1255" t="s">
        <v>39</v>
      </c>
      <c r="K1255" s="3">
        <v>16050</v>
      </c>
      <c r="L1255" t="s">
        <v>30</v>
      </c>
      <c r="M1255">
        <v>4</v>
      </c>
      <c r="N1255">
        <v>3</v>
      </c>
      <c r="O1255">
        <v>34</v>
      </c>
      <c r="P1255" t="s">
        <v>21</v>
      </c>
      <c r="Q1255" s="1"/>
      <c r="U1255">
        <v>1</v>
      </c>
      <c r="V1255">
        <v>1</v>
      </c>
      <c r="W1255">
        <v>0</v>
      </c>
    </row>
    <row r="1256" spans="1:23" ht="16.5" x14ac:dyDescent="0.3">
      <c r="A1256" t="s">
        <v>1323</v>
      </c>
      <c r="B1256" t="s">
        <v>35</v>
      </c>
      <c r="C1256" t="s">
        <v>25</v>
      </c>
      <c r="D1256" t="s">
        <v>37</v>
      </c>
      <c r="E1256">
        <v>25</v>
      </c>
      <c r="F1256" t="s">
        <v>57</v>
      </c>
      <c r="G1256" t="s">
        <v>38</v>
      </c>
      <c r="H1256" s="1">
        <v>44959</v>
      </c>
      <c r="I1256" s="2">
        <v>2.9</v>
      </c>
      <c r="J1256" t="s">
        <v>29</v>
      </c>
      <c r="K1256" s="3">
        <v>3700</v>
      </c>
      <c r="L1256" t="s">
        <v>30</v>
      </c>
      <c r="M1256">
        <v>3</v>
      </c>
      <c r="N1256">
        <v>5</v>
      </c>
      <c r="O1256">
        <v>7</v>
      </c>
      <c r="P1256" t="s">
        <v>21</v>
      </c>
      <c r="Q1256" s="1"/>
      <c r="U1256">
        <v>1</v>
      </c>
      <c r="V1256">
        <v>1</v>
      </c>
      <c r="W1256">
        <v>0</v>
      </c>
    </row>
    <row r="1257" spans="1:23" ht="16.5" x14ac:dyDescent="0.3">
      <c r="A1257" t="s">
        <v>1324</v>
      </c>
      <c r="B1257" t="s">
        <v>55</v>
      </c>
      <c r="C1257" t="s">
        <v>36</v>
      </c>
      <c r="D1257" t="s">
        <v>37</v>
      </c>
      <c r="E1257">
        <v>27</v>
      </c>
      <c r="F1257" t="s">
        <v>27</v>
      </c>
      <c r="G1257" t="s">
        <v>38</v>
      </c>
      <c r="H1257" s="1">
        <v>44764</v>
      </c>
      <c r="I1257" s="2">
        <v>3.4</v>
      </c>
      <c r="J1257" t="s">
        <v>50</v>
      </c>
      <c r="K1257" s="3">
        <v>6800</v>
      </c>
      <c r="L1257" t="s">
        <v>30</v>
      </c>
      <c r="M1257">
        <v>4</v>
      </c>
      <c r="N1257">
        <v>3</v>
      </c>
      <c r="O1257">
        <v>30</v>
      </c>
      <c r="P1257" t="s">
        <v>21</v>
      </c>
      <c r="Q1257" s="1"/>
      <c r="U1257">
        <v>1</v>
      </c>
      <c r="V1257">
        <v>1</v>
      </c>
      <c r="W1257">
        <v>0</v>
      </c>
    </row>
    <row r="1258" spans="1:23" ht="16.5" x14ac:dyDescent="0.3">
      <c r="A1258" t="s">
        <v>1325</v>
      </c>
      <c r="B1258" t="s">
        <v>24</v>
      </c>
      <c r="C1258" t="s">
        <v>25</v>
      </c>
      <c r="D1258" t="s">
        <v>37</v>
      </c>
      <c r="E1258">
        <v>31</v>
      </c>
      <c r="F1258" t="s">
        <v>27</v>
      </c>
      <c r="G1258" t="s">
        <v>28</v>
      </c>
      <c r="H1258" s="1">
        <v>43944</v>
      </c>
      <c r="I1258" s="2">
        <v>5.7</v>
      </c>
      <c r="J1258" t="s">
        <v>39</v>
      </c>
      <c r="K1258" s="3">
        <v>2750</v>
      </c>
      <c r="L1258" t="s">
        <v>30</v>
      </c>
      <c r="M1258">
        <v>4</v>
      </c>
      <c r="N1258">
        <v>5</v>
      </c>
      <c r="O1258">
        <v>42</v>
      </c>
      <c r="P1258" t="s">
        <v>21</v>
      </c>
      <c r="Q1258" s="1"/>
      <c r="U1258">
        <v>1</v>
      </c>
      <c r="V1258">
        <v>1</v>
      </c>
      <c r="W1258">
        <v>0</v>
      </c>
    </row>
    <row r="1259" spans="1:23" ht="16.5" x14ac:dyDescent="0.3">
      <c r="A1259" t="s">
        <v>1326</v>
      </c>
      <c r="B1259" t="s">
        <v>48</v>
      </c>
      <c r="C1259" t="s">
        <v>45</v>
      </c>
      <c r="D1259" t="s">
        <v>26</v>
      </c>
      <c r="E1259">
        <v>42</v>
      </c>
      <c r="F1259" t="s">
        <v>46</v>
      </c>
      <c r="G1259" t="s">
        <v>38</v>
      </c>
      <c r="H1259" s="1">
        <v>41088</v>
      </c>
      <c r="I1259" s="2">
        <v>13.5</v>
      </c>
      <c r="J1259" t="s">
        <v>39</v>
      </c>
      <c r="K1259" s="3">
        <v>10150</v>
      </c>
      <c r="L1259" t="s">
        <v>30</v>
      </c>
      <c r="M1259">
        <v>4</v>
      </c>
      <c r="N1259">
        <v>4</v>
      </c>
      <c r="O1259">
        <v>40</v>
      </c>
      <c r="P1259" t="s">
        <v>21</v>
      </c>
      <c r="Q1259" s="1"/>
      <c r="U1259">
        <v>1</v>
      </c>
      <c r="V1259">
        <v>1</v>
      </c>
      <c r="W1259">
        <v>0</v>
      </c>
    </row>
    <row r="1260" spans="1:23" ht="16.5" x14ac:dyDescent="0.3">
      <c r="A1260" t="s">
        <v>1327</v>
      </c>
      <c r="B1260" t="s">
        <v>44</v>
      </c>
      <c r="C1260" t="s">
        <v>36</v>
      </c>
      <c r="D1260" t="s">
        <v>37</v>
      </c>
      <c r="E1260">
        <v>35</v>
      </c>
      <c r="F1260" t="s">
        <v>27</v>
      </c>
      <c r="G1260" t="s">
        <v>38</v>
      </c>
      <c r="H1260" s="1">
        <v>44907</v>
      </c>
      <c r="I1260" s="2">
        <v>3.1</v>
      </c>
      <c r="J1260" t="s">
        <v>50</v>
      </c>
      <c r="K1260" s="3">
        <v>6650</v>
      </c>
      <c r="L1260" t="s">
        <v>58</v>
      </c>
      <c r="M1260">
        <v>5</v>
      </c>
      <c r="N1260">
        <v>3</v>
      </c>
      <c r="O1260">
        <v>25</v>
      </c>
      <c r="P1260" t="s">
        <v>21</v>
      </c>
      <c r="Q1260" s="1"/>
      <c r="U1260">
        <v>1</v>
      </c>
      <c r="V1260">
        <v>1</v>
      </c>
      <c r="W1260">
        <v>0</v>
      </c>
    </row>
    <row r="1261" spans="1:23" ht="16.5" x14ac:dyDescent="0.3">
      <c r="A1261" t="s">
        <v>1328</v>
      </c>
      <c r="B1261" t="s">
        <v>35</v>
      </c>
      <c r="C1261" t="s">
        <v>36</v>
      </c>
      <c r="D1261" t="s">
        <v>26</v>
      </c>
      <c r="E1261">
        <v>39</v>
      </c>
      <c r="F1261" t="s">
        <v>46</v>
      </c>
      <c r="G1261" t="s">
        <v>28</v>
      </c>
      <c r="H1261" s="1">
        <v>45048</v>
      </c>
      <c r="I1261" s="2">
        <v>2.7</v>
      </c>
      <c r="J1261" t="s">
        <v>29</v>
      </c>
      <c r="K1261" s="3">
        <v>4000</v>
      </c>
      <c r="L1261" t="s">
        <v>58</v>
      </c>
      <c r="M1261">
        <v>4</v>
      </c>
      <c r="N1261">
        <v>3</v>
      </c>
      <c r="O1261">
        <v>19</v>
      </c>
      <c r="P1261" t="s">
        <v>21</v>
      </c>
      <c r="Q1261" s="1"/>
      <c r="U1261">
        <v>1</v>
      </c>
      <c r="V1261">
        <v>1</v>
      </c>
      <c r="W1261">
        <v>0</v>
      </c>
    </row>
    <row r="1262" spans="1:23" ht="16.5" x14ac:dyDescent="0.3">
      <c r="A1262" t="s">
        <v>1329</v>
      </c>
      <c r="B1262" t="s">
        <v>24</v>
      </c>
      <c r="C1262" t="s">
        <v>36</v>
      </c>
      <c r="D1262" t="s">
        <v>26</v>
      </c>
      <c r="E1262">
        <v>30</v>
      </c>
      <c r="F1262" t="s">
        <v>27</v>
      </c>
      <c r="G1262" t="s">
        <v>28</v>
      </c>
      <c r="H1262" s="1">
        <v>44867</v>
      </c>
      <c r="I1262" s="2">
        <v>2.8</v>
      </c>
      <c r="J1262" t="s">
        <v>29</v>
      </c>
      <c r="K1262" s="3">
        <v>3150</v>
      </c>
      <c r="L1262" t="s">
        <v>58</v>
      </c>
      <c r="M1262">
        <v>3</v>
      </c>
      <c r="N1262">
        <v>3</v>
      </c>
      <c r="O1262">
        <v>11</v>
      </c>
      <c r="P1262" t="s">
        <v>22</v>
      </c>
      <c r="Q1262" s="1">
        <v>45876</v>
      </c>
      <c r="R1262" t="s">
        <v>40</v>
      </c>
      <c r="S1262" t="s">
        <v>41</v>
      </c>
      <c r="T1262" t="s">
        <v>33</v>
      </c>
      <c r="U1262">
        <v>1</v>
      </c>
      <c r="V1262">
        <v>0</v>
      </c>
      <c r="W1262">
        <v>1</v>
      </c>
    </row>
    <row r="1263" spans="1:23" ht="16.5" x14ac:dyDescent="0.3">
      <c r="A1263" t="s">
        <v>1330</v>
      </c>
      <c r="B1263" t="s">
        <v>35</v>
      </c>
      <c r="C1263" t="s">
        <v>36</v>
      </c>
      <c r="D1263" t="s">
        <v>37</v>
      </c>
      <c r="E1263">
        <v>28</v>
      </c>
      <c r="F1263" t="s">
        <v>27</v>
      </c>
      <c r="G1263" t="s">
        <v>28</v>
      </c>
      <c r="H1263" s="1">
        <v>45245</v>
      </c>
      <c r="I1263" s="2">
        <v>2.1</v>
      </c>
      <c r="J1263" t="s">
        <v>29</v>
      </c>
      <c r="K1263" s="3">
        <v>4750</v>
      </c>
      <c r="L1263" t="s">
        <v>30</v>
      </c>
      <c r="M1263">
        <v>5</v>
      </c>
      <c r="N1263">
        <v>5</v>
      </c>
      <c r="O1263">
        <v>29</v>
      </c>
      <c r="P1263" t="s">
        <v>21</v>
      </c>
      <c r="Q1263" s="1"/>
      <c r="U1263">
        <v>1</v>
      </c>
      <c r="V1263">
        <v>1</v>
      </c>
      <c r="W1263">
        <v>0</v>
      </c>
    </row>
    <row r="1264" spans="1:23" ht="16.5" x14ac:dyDescent="0.3">
      <c r="A1264" t="s">
        <v>1331</v>
      </c>
      <c r="B1264" t="s">
        <v>24</v>
      </c>
      <c r="C1264" t="s">
        <v>45</v>
      </c>
      <c r="D1264" t="s">
        <v>37</v>
      </c>
      <c r="E1264">
        <v>40</v>
      </c>
      <c r="F1264" t="s">
        <v>46</v>
      </c>
      <c r="G1264" t="s">
        <v>38</v>
      </c>
      <c r="H1264" s="1">
        <v>41689</v>
      </c>
      <c r="I1264" s="2">
        <v>11.3</v>
      </c>
      <c r="J1264" t="s">
        <v>39</v>
      </c>
      <c r="K1264" s="3">
        <v>4900</v>
      </c>
      <c r="L1264" t="s">
        <v>58</v>
      </c>
      <c r="M1264">
        <v>2</v>
      </c>
      <c r="N1264">
        <v>3</v>
      </c>
      <c r="O1264">
        <v>27</v>
      </c>
      <c r="P1264" t="s">
        <v>22</v>
      </c>
      <c r="Q1264" s="1">
        <v>45833</v>
      </c>
      <c r="R1264" t="s">
        <v>40</v>
      </c>
      <c r="S1264" t="s">
        <v>32</v>
      </c>
      <c r="T1264" t="s">
        <v>60</v>
      </c>
      <c r="U1264">
        <v>1</v>
      </c>
      <c r="V1264">
        <v>0</v>
      </c>
      <c r="W1264">
        <v>1</v>
      </c>
    </row>
    <row r="1265" spans="1:23" ht="16.5" x14ac:dyDescent="0.3">
      <c r="A1265" t="s">
        <v>1332</v>
      </c>
      <c r="B1265" t="s">
        <v>70</v>
      </c>
      <c r="C1265" t="s">
        <v>36</v>
      </c>
      <c r="D1265" t="s">
        <v>26</v>
      </c>
      <c r="E1265">
        <v>25</v>
      </c>
      <c r="F1265" t="s">
        <v>57</v>
      </c>
      <c r="G1265" t="s">
        <v>28</v>
      </c>
      <c r="H1265" s="1">
        <v>45814</v>
      </c>
      <c r="I1265" s="2">
        <v>0.6</v>
      </c>
      <c r="J1265" t="s">
        <v>64</v>
      </c>
      <c r="K1265" s="3">
        <v>4950</v>
      </c>
      <c r="L1265" t="s">
        <v>30</v>
      </c>
      <c r="M1265">
        <v>4</v>
      </c>
      <c r="N1265">
        <v>4</v>
      </c>
      <c r="O1265">
        <v>15</v>
      </c>
      <c r="P1265" t="s">
        <v>21</v>
      </c>
      <c r="Q1265" s="1"/>
      <c r="U1265">
        <v>1</v>
      </c>
      <c r="V1265">
        <v>1</v>
      </c>
      <c r="W1265">
        <v>0</v>
      </c>
    </row>
    <row r="1266" spans="1:23" ht="16.5" x14ac:dyDescent="0.3">
      <c r="A1266" t="s">
        <v>1333</v>
      </c>
      <c r="B1266" t="s">
        <v>44</v>
      </c>
      <c r="C1266" t="s">
        <v>25</v>
      </c>
      <c r="D1266" t="s">
        <v>37</v>
      </c>
      <c r="E1266">
        <v>30</v>
      </c>
      <c r="F1266" t="s">
        <v>27</v>
      </c>
      <c r="G1266" t="s">
        <v>28</v>
      </c>
      <c r="H1266" s="1">
        <v>45417</v>
      </c>
      <c r="I1266" s="2">
        <v>1.7</v>
      </c>
      <c r="J1266" t="s">
        <v>29</v>
      </c>
      <c r="K1266" s="3">
        <v>5400</v>
      </c>
      <c r="L1266" t="s">
        <v>30</v>
      </c>
      <c r="M1266">
        <v>4</v>
      </c>
      <c r="N1266">
        <v>3</v>
      </c>
      <c r="O1266">
        <v>16</v>
      </c>
      <c r="P1266" t="s">
        <v>21</v>
      </c>
      <c r="Q1266" s="1"/>
      <c r="U1266">
        <v>1</v>
      </c>
      <c r="V1266">
        <v>1</v>
      </c>
      <c r="W1266">
        <v>0</v>
      </c>
    </row>
    <row r="1267" spans="1:23" ht="16.5" x14ac:dyDescent="0.3">
      <c r="A1267" t="s">
        <v>1334</v>
      </c>
      <c r="B1267" t="s">
        <v>70</v>
      </c>
      <c r="C1267" t="s">
        <v>25</v>
      </c>
      <c r="D1267" t="s">
        <v>37</v>
      </c>
      <c r="E1267">
        <v>25</v>
      </c>
      <c r="F1267" t="s">
        <v>57</v>
      </c>
      <c r="G1267" t="s">
        <v>28</v>
      </c>
      <c r="H1267" s="1">
        <v>45241</v>
      </c>
      <c r="I1267" s="2">
        <v>2.1</v>
      </c>
      <c r="J1267" t="s">
        <v>29</v>
      </c>
      <c r="K1267" s="3">
        <v>4750</v>
      </c>
      <c r="L1267" t="s">
        <v>30</v>
      </c>
      <c r="M1267">
        <v>2</v>
      </c>
      <c r="N1267">
        <v>4</v>
      </c>
      <c r="O1267">
        <v>9</v>
      </c>
      <c r="P1267" t="s">
        <v>21</v>
      </c>
      <c r="Q1267" s="1"/>
      <c r="U1267">
        <v>1</v>
      </c>
      <c r="V1267">
        <v>1</v>
      </c>
      <c r="W1267">
        <v>0</v>
      </c>
    </row>
    <row r="1268" spans="1:23" ht="16.5" x14ac:dyDescent="0.3">
      <c r="A1268" t="s">
        <v>1335</v>
      </c>
      <c r="B1268" t="s">
        <v>24</v>
      </c>
      <c r="C1268" t="s">
        <v>87</v>
      </c>
      <c r="D1268" t="s">
        <v>26</v>
      </c>
      <c r="E1268">
        <v>38</v>
      </c>
      <c r="F1268" t="s">
        <v>46</v>
      </c>
      <c r="G1268" t="s">
        <v>28</v>
      </c>
      <c r="H1268" s="1">
        <v>42138</v>
      </c>
      <c r="I1268" s="2">
        <v>10.6</v>
      </c>
      <c r="J1268" t="s">
        <v>39</v>
      </c>
      <c r="K1268" s="3">
        <v>7000</v>
      </c>
      <c r="L1268" t="s">
        <v>30</v>
      </c>
      <c r="M1268">
        <v>5</v>
      </c>
      <c r="N1268">
        <v>3</v>
      </c>
      <c r="O1268">
        <v>20</v>
      </c>
      <c r="P1268" t="s">
        <v>21</v>
      </c>
      <c r="Q1268" s="1"/>
      <c r="U1268">
        <v>1</v>
      </c>
      <c r="V1268">
        <v>1</v>
      </c>
      <c r="W1268">
        <v>0</v>
      </c>
    </row>
    <row r="1269" spans="1:23" ht="16.5" x14ac:dyDescent="0.3">
      <c r="A1269" t="s">
        <v>1336</v>
      </c>
      <c r="B1269" t="s">
        <v>24</v>
      </c>
      <c r="C1269" t="s">
        <v>25</v>
      </c>
      <c r="D1269" t="s">
        <v>37</v>
      </c>
      <c r="E1269">
        <v>21</v>
      </c>
      <c r="F1269" t="s">
        <v>57</v>
      </c>
      <c r="G1269" t="s">
        <v>38</v>
      </c>
      <c r="H1269" s="1">
        <v>46004</v>
      </c>
      <c r="I1269" s="2">
        <v>0</v>
      </c>
      <c r="J1269" t="s">
        <v>64</v>
      </c>
      <c r="K1269" s="3">
        <v>3350</v>
      </c>
      <c r="L1269" t="s">
        <v>30</v>
      </c>
      <c r="M1269">
        <v>4</v>
      </c>
      <c r="N1269">
        <v>3</v>
      </c>
      <c r="O1269">
        <v>30</v>
      </c>
      <c r="P1269" t="s">
        <v>21</v>
      </c>
      <c r="Q1269" s="1"/>
      <c r="U1269">
        <v>1</v>
      </c>
      <c r="V1269">
        <v>1</v>
      </c>
      <c r="W1269">
        <v>0</v>
      </c>
    </row>
    <row r="1270" spans="1:23" ht="16.5" x14ac:dyDescent="0.3">
      <c r="A1270" t="s">
        <v>1337</v>
      </c>
      <c r="B1270" t="s">
        <v>24</v>
      </c>
      <c r="C1270" t="s">
        <v>87</v>
      </c>
      <c r="D1270" t="s">
        <v>37</v>
      </c>
      <c r="E1270">
        <v>42</v>
      </c>
      <c r="F1270" t="s">
        <v>46</v>
      </c>
      <c r="G1270" t="s">
        <v>38</v>
      </c>
      <c r="H1270" s="1">
        <v>40668</v>
      </c>
      <c r="I1270" s="2">
        <v>14.7</v>
      </c>
      <c r="J1270" t="s">
        <v>39</v>
      </c>
      <c r="K1270" s="3">
        <v>6750</v>
      </c>
      <c r="L1270" t="s">
        <v>30</v>
      </c>
      <c r="M1270">
        <v>4</v>
      </c>
      <c r="N1270">
        <v>3</v>
      </c>
      <c r="O1270">
        <v>23</v>
      </c>
      <c r="P1270" t="s">
        <v>21</v>
      </c>
      <c r="Q1270" s="1"/>
      <c r="U1270">
        <v>1</v>
      </c>
      <c r="V1270">
        <v>1</v>
      </c>
      <c r="W1270">
        <v>0</v>
      </c>
    </row>
    <row r="1271" spans="1:23" ht="16.5" x14ac:dyDescent="0.3">
      <c r="A1271" t="s">
        <v>1338</v>
      </c>
      <c r="B1271" t="s">
        <v>44</v>
      </c>
      <c r="C1271" t="s">
        <v>36</v>
      </c>
      <c r="D1271" t="s">
        <v>37</v>
      </c>
      <c r="E1271">
        <v>30</v>
      </c>
      <c r="F1271" t="s">
        <v>27</v>
      </c>
      <c r="G1271" t="s">
        <v>38</v>
      </c>
      <c r="H1271" s="1">
        <v>43799</v>
      </c>
      <c r="I1271" s="2">
        <v>6.1</v>
      </c>
      <c r="J1271" t="s">
        <v>39</v>
      </c>
      <c r="K1271" s="3">
        <v>6300</v>
      </c>
      <c r="L1271" t="s">
        <v>30</v>
      </c>
      <c r="M1271">
        <v>3</v>
      </c>
      <c r="N1271">
        <v>3</v>
      </c>
      <c r="O1271">
        <v>19</v>
      </c>
      <c r="P1271" t="s">
        <v>21</v>
      </c>
      <c r="Q1271" s="1"/>
      <c r="U1271">
        <v>1</v>
      </c>
      <c r="V1271">
        <v>1</v>
      </c>
      <c r="W1271">
        <v>0</v>
      </c>
    </row>
    <row r="1272" spans="1:23" ht="16.5" x14ac:dyDescent="0.3">
      <c r="A1272" t="s">
        <v>1339</v>
      </c>
      <c r="B1272" t="s">
        <v>24</v>
      </c>
      <c r="C1272" t="s">
        <v>45</v>
      </c>
      <c r="D1272" t="s">
        <v>37</v>
      </c>
      <c r="E1272">
        <v>36</v>
      </c>
      <c r="F1272" t="s">
        <v>46</v>
      </c>
      <c r="G1272" t="s">
        <v>52</v>
      </c>
      <c r="H1272" s="1">
        <v>43215</v>
      </c>
      <c r="I1272" s="2">
        <v>7.7</v>
      </c>
      <c r="J1272" t="s">
        <v>39</v>
      </c>
      <c r="K1272" s="3">
        <v>5350</v>
      </c>
      <c r="L1272" t="s">
        <v>30</v>
      </c>
      <c r="M1272">
        <v>3</v>
      </c>
      <c r="N1272">
        <v>2</v>
      </c>
      <c r="O1272">
        <v>30</v>
      </c>
      <c r="P1272" t="s">
        <v>21</v>
      </c>
      <c r="Q1272" s="1"/>
      <c r="U1272">
        <v>1</v>
      </c>
      <c r="V1272">
        <v>1</v>
      </c>
      <c r="W1272">
        <v>0</v>
      </c>
    </row>
    <row r="1273" spans="1:23" ht="16.5" x14ac:dyDescent="0.3">
      <c r="A1273" t="s">
        <v>1340</v>
      </c>
      <c r="B1273" t="s">
        <v>55</v>
      </c>
      <c r="C1273" t="s">
        <v>25</v>
      </c>
      <c r="D1273" t="s">
        <v>37</v>
      </c>
      <c r="E1273">
        <v>21</v>
      </c>
      <c r="F1273" t="s">
        <v>57</v>
      </c>
      <c r="G1273" t="s">
        <v>28</v>
      </c>
      <c r="H1273" s="1">
        <v>45942</v>
      </c>
      <c r="I1273" s="2">
        <v>0.2</v>
      </c>
      <c r="J1273" t="s">
        <v>64</v>
      </c>
      <c r="K1273" s="3">
        <v>4350</v>
      </c>
      <c r="L1273" t="s">
        <v>30</v>
      </c>
      <c r="M1273">
        <v>5</v>
      </c>
      <c r="N1273">
        <v>4</v>
      </c>
      <c r="O1273">
        <v>41</v>
      </c>
      <c r="P1273" t="s">
        <v>21</v>
      </c>
      <c r="Q1273" s="1"/>
      <c r="U1273">
        <v>1</v>
      </c>
      <c r="V1273">
        <v>1</v>
      </c>
      <c r="W1273">
        <v>0</v>
      </c>
    </row>
    <row r="1274" spans="1:23" ht="16.5" x14ac:dyDescent="0.3">
      <c r="A1274" t="s">
        <v>1341</v>
      </c>
      <c r="B1274" t="s">
        <v>70</v>
      </c>
      <c r="C1274" t="s">
        <v>36</v>
      </c>
      <c r="D1274" t="s">
        <v>37</v>
      </c>
      <c r="E1274">
        <v>36</v>
      </c>
      <c r="F1274" t="s">
        <v>46</v>
      </c>
      <c r="G1274" t="s">
        <v>38</v>
      </c>
      <c r="H1274" s="1">
        <v>42936</v>
      </c>
      <c r="I1274" s="2">
        <v>6.9</v>
      </c>
      <c r="J1274" t="s">
        <v>39</v>
      </c>
      <c r="K1274" s="3">
        <v>5050</v>
      </c>
      <c r="L1274" t="s">
        <v>58</v>
      </c>
      <c r="M1274">
        <v>2</v>
      </c>
      <c r="N1274">
        <v>3</v>
      </c>
      <c r="O1274">
        <v>41</v>
      </c>
      <c r="P1274" t="s">
        <v>22</v>
      </c>
      <c r="Q1274" s="1">
        <v>45439</v>
      </c>
      <c r="R1274" t="s">
        <v>31</v>
      </c>
      <c r="S1274" t="s">
        <v>169</v>
      </c>
      <c r="T1274" t="s">
        <v>60</v>
      </c>
      <c r="U1274">
        <v>1</v>
      </c>
      <c r="V1274">
        <v>0</v>
      </c>
      <c r="W1274">
        <v>1</v>
      </c>
    </row>
    <row r="1275" spans="1:23" ht="16.5" x14ac:dyDescent="0.3">
      <c r="A1275" t="s">
        <v>1342</v>
      </c>
      <c r="B1275" t="s">
        <v>70</v>
      </c>
      <c r="C1275" t="s">
        <v>45</v>
      </c>
      <c r="D1275" t="s">
        <v>26</v>
      </c>
      <c r="E1275">
        <v>32</v>
      </c>
      <c r="F1275" t="s">
        <v>27</v>
      </c>
      <c r="G1275" t="s">
        <v>38</v>
      </c>
      <c r="H1275" s="1">
        <v>44041</v>
      </c>
      <c r="I1275" s="2">
        <v>4.9000000000000004</v>
      </c>
      <c r="J1275" t="s">
        <v>50</v>
      </c>
      <c r="K1275" s="3">
        <v>7150</v>
      </c>
      <c r="L1275" t="s">
        <v>58</v>
      </c>
      <c r="M1275">
        <v>2</v>
      </c>
      <c r="N1275">
        <v>4</v>
      </c>
      <c r="O1275">
        <v>33</v>
      </c>
      <c r="P1275" t="s">
        <v>22</v>
      </c>
      <c r="Q1275" s="1">
        <v>45827</v>
      </c>
      <c r="R1275" t="s">
        <v>40</v>
      </c>
      <c r="S1275" t="s">
        <v>32</v>
      </c>
      <c r="T1275" t="s">
        <v>473</v>
      </c>
      <c r="U1275">
        <v>1</v>
      </c>
      <c r="V1275">
        <v>0</v>
      </c>
      <c r="W1275">
        <v>1</v>
      </c>
    </row>
    <row r="1276" spans="1:23" ht="16.5" x14ac:dyDescent="0.3">
      <c r="A1276" t="s">
        <v>1343</v>
      </c>
      <c r="B1276" t="s">
        <v>48</v>
      </c>
      <c r="C1276" t="s">
        <v>25</v>
      </c>
      <c r="D1276" t="s">
        <v>37</v>
      </c>
      <c r="E1276">
        <v>27</v>
      </c>
      <c r="F1276" t="s">
        <v>27</v>
      </c>
      <c r="G1276" t="s">
        <v>28</v>
      </c>
      <c r="H1276" s="1">
        <v>44506</v>
      </c>
      <c r="I1276" s="2">
        <v>4.2</v>
      </c>
      <c r="J1276" t="s">
        <v>50</v>
      </c>
      <c r="K1276" s="3">
        <v>6550</v>
      </c>
      <c r="L1276" t="s">
        <v>30</v>
      </c>
      <c r="M1276">
        <v>3</v>
      </c>
      <c r="N1276">
        <v>4</v>
      </c>
      <c r="O1276">
        <v>28</v>
      </c>
      <c r="P1276" t="s">
        <v>21</v>
      </c>
      <c r="Q1276" s="1"/>
      <c r="U1276">
        <v>1</v>
      </c>
      <c r="V1276">
        <v>1</v>
      </c>
      <c r="W1276">
        <v>0</v>
      </c>
    </row>
    <row r="1277" spans="1:23" ht="16.5" x14ac:dyDescent="0.3">
      <c r="A1277" t="s">
        <v>1344</v>
      </c>
      <c r="B1277" t="s">
        <v>70</v>
      </c>
      <c r="C1277" t="s">
        <v>45</v>
      </c>
      <c r="D1277" t="s">
        <v>37</v>
      </c>
      <c r="E1277">
        <v>35</v>
      </c>
      <c r="F1277" t="s">
        <v>27</v>
      </c>
      <c r="G1277" t="s">
        <v>28</v>
      </c>
      <c r="H1277" s="1">
        <v>42459</v>
      </c>
      <c r="I1277" s="2">
        <v>9.6999999999999993</v>
      </c>
      <c r="J1277" t="s">
        <v>39</v>
      </c>
      <c r="K1277" s="3">
        <v>7500</v>
      </c>
      <c r="L1277" t="s">
        <v>30</v>
      </c>
      <c r="M1277">
        <v>4</v>
      </c>
      <c r="N1277">
        <v>3</v>
      </c>
      <c r="O1277">
        <v>15</v>
      </c>
      <c r="P1277" t="s">
        <v>22</v>
      </c>
      <c r="Q1277" s="1">
        <v>46009</v>
      </c>
      <c r="R1277" t="s">
        <v>40</v>
      </c>
      <c r="S1277" t="s">
        <v>92</v>
      </c>
      <c r="T1277" t="s">
        <v>473</v>
      </c>
      <c r="U1277">
        <v>1</v>
      </c>
      <c r="V1277">
        <v>0</v>
      </c>
      <c r="W1277">
        <v>1</v>
      </c>
    </row>
    <row r="1278" spans="1:23" ht="16.5" x14ac:dyDescent="0.3">
      <c r="A1278" t="s">
        <v>1345</v>
      </c>
      <c r="B1278" t="s">
        <v>35</v>
      </c>
      <c r="C1278" t="s">
        <v>45</v>
      </c>
      <c r="D1278" t="s">
        <v>37</v>
      </c>
      <c r="E1278">
        <v>40</v>
      </c>
      <c r="F1278" t="s">
        <v>46</v>
      </c>
      <c r="G1278" t="s">
        <v>28</v>
      </c>
      <c r="H1278" s="1">
        <v>45103</v>
      </c>
      <c r="I1278" s="2">
        <v>2.5</v>
      </c>
      <c r="J1278" t="s">
        <v>29</v>
      </c>
      <c r="K1278" s="3">
        <v>7450</v>
      </c>
      <c r="L1278" t="s">
        <v>58</v>
      </c>
      <c r="M1278">
        <v>4</v>
      </c>
      <c r="N1278">
        <v>3</v>
      </c>
      <c r="O1278">
        <v>24</v>
      </c>
      <c r="P1278" t="s">
        <v>21</v>
      </c>
      <c r="Q1278" s="1"/>
      <c r="U1278">
        <v>1</v>
      </c>
      <c r="V1278">
        <v>1</v>
      </c>
      <c r="W1278">
        <v>0</v>
      </c>
    </row>
    <row r="1279" spans="1:23" ht="16.5" x14ac:dyDescent="0.3">
      <c r="A1279" t="s">
        <v>1346</v>
      </c>
      <c r="B1279" t="s">
        <v>35</v>
      </c>
      <c r="C1279" t="s">
        <v>87</v>
      </c>
      <c r="D1279" t="s">
        <v>37</v>
      </c>
      <c r="E1279">
        <v>47</v>
      </c>
      <c r="F1279" t="s">
        <v>88</v>
      </c>
      <c r="G1279" t="s">
        <v>28</v>
      </c>
      <c r="H1279" s="1">
        <v>42475</v>
      </c>
      <c r="I1279" s="2">
        <v>9.6999999999999993</v>
      </c>
      <c r="J1279" t="s">
        <v>39</v>
      </c>
      <c r="K1279" s="3">
        <v>8750</v>
      </c>
      <c r="L1279" t="s">
        <v>58</v>
      </c>
      <c r="M1279">
        <v>3</v>
      </c>
      <c r="N1279">
        <v>5</v>
      </c>
      <c r="O1279">
        <v>3</v>
      </c>
      <c r="P1279" t="s">
        <v>21</v>
      </c>
      <c r="Q1279" s="1"/>
      <c r="U1279">
        <v>1</v>
      </c>
      <c r="V1279">
        <v>1</v>
      </c>
      <c r="W1279">
        <v>0</v>
      </c>
    </row>
    <row r="1280" spans="1:23" ht="16.5" x14ac:dyDescent="0.3">
      <c r="A1280" t="s">
        <v>1347</v>
      </c>
      <c r="B1280" t="s">
        <v>24</v>
      </c>
      <c r="C1280" t="s">
        <v>36</v>
      </c>
      <c r="D1280" t="s">
        <v>37</v>
      </c>
      <c r="E1280">
        <v>21</v>
      </c>
      <c r="F1280" t="s">
        <v>57</v>
      </c>
      <c r="G1280" t="s">
        <v>38</v>
      </c>
      <c r="H1280" s="1">
        <v>45966</v>
      </c>
      <c r="I1280" s="2">
        <v>0.2</v>
      </c>
      <c r="J1280" t="s">
        <v>64</v>
      </c>
      <c r="K1280" s="3">
        <v>3400</v>
      </c>
      <c r="L1280" t="s">
        <v>30</v>
      </c>
      <c r="M1280">
        <v>4</v>
      </c>
      <c r="N1280">
        <v>3</v>
      </c>
      <c r="O1280">
        <v>37</v>
      </c>
      <c r="P1280" t="s">
        <v>21</v>
      </c>
      <c r="Q1280" s="1"/>
      <c r="U1280">
        <v>1</v>
      </c>
      <c r="V1280">
        <v>1</v>
      </c>
      <c r="W1280">
        <v>0</v>
      </c>
    </row>
    <row r="1281" spans="1:23" ht="16.5" x14ac:dyDescent="0.3">
      <c r="A1281" t="s">
        <v>1348</v>
      </c>
      <c r="B1281" t="s">
        <v>70</v>
      </c>
      <c r="C1281" t="s">
        <v>25</v>
      </c>
      <c r="D1281" t="s">
        <v>37</v>
      </c>
      <c r="E1281">
        <v>31</v>
      </c>
      <c r="F1281" t="s">
        <v>27</v>
      </c>
      <c r="G1281" t="s">
        <v>38</v>
      </c>
      <c r="H1281" s="1">
        <v>44529</v>
      </c>
      <c r="I1281" s="2">
        <v>4.0999999999999996</v>
      </c>
      <c r="J1281" t="s">
        <v>50</v>
      </c>
      <c r="K1281" s="3">
        <v>4050</v>
      </c>
      <c r="L1281" t="s">
        <v>58</v>
      </c>
      <c r="M1281">
        <v>5</v>
      </c>
      <c r="N1281">
        <v>4</v>
      </c>
      <c r="O1281">
        <v>9</v>
      </c>
      <c r="P1281" t="s">
        <v>21</v>
      </c>
      <c r="Q1281" s="1"/>
      <c r="U1281">
        <v>1</v>
      </c>
      <c r="V1281">
        <v>1</v>
      </c>
      <c r="W1281">
        <v>0</v>
      </c>
    </row>
    <row r="1282" spans="1:23" ht="16.5" x14ac:dyDescent="0.3">
      <c r="A1282" t="s">
        <v>1349</v>
      </c>
      <c r="B1282" t="s">
        <v>73</v>
      </c>
      <c r="C1282" t="s">
        <v>45</v>
      </c>
      <c r="D1282" t="s">
        <v>26</v>
      </c>
      <c r="E1282">
        <v>31</v>
      </c>
      <c r="F1282" t="s">
        <v>27</v>
      </c>
      <c r="G1282" t="s">
        <v>38</v>
      </c>
      <c r="H1282" s="1">
        <v>44398</v>
      </c>
      <c r="I1282" s="2">
        <v>4.4000000000000004</v>
      </c>
      <c r="J1282" t="s">
        <v>50</v>
      </c>
      <c r="K1282" s="3">
        <v>8650</v>
      </c>
      <c r="L1282" t="s">
        <v>30</v>
      </c>
      <c r="M1282">
        <v>3</v>
      </c>
      <c r="N1282">
        <v>4</v>
      </c>
      <c r="O1282">
        <v>30</v>
      </c>
      <c r="P1282" t="s">
        <v>21</v>
      </c>
      <c r="Q1282" s="1"/>
      <c r="U1282">
        <v>1</v>
      </c>
      <c r="V1282">
        <v>1</v>
      </c>
      <c r="W1282">
        <v>0</v>
      </c>
    </row>
    <row r="1283" spans="1:23" ht="16.5" x14ac:dyDescent="0.3">
      <c r="A1283" t="s">
        <v>1350</v>
      </c>
      <c r="B1283" t="s">
        <v>48</v>
      </c>
      <c r="C1283" t="s">
        <v>25</v>
      </c>
      <c r="D1283" t="s">
        <v>26</v>
      </c>
      <c r="E1283">
        <v>22</v>
      </c>
      <c r="F1283" t="s">
        <v>57</v>
      </c>
      <c r="G1283" t="s">
        <v>52</v>
      </c>
      <c r="H1283" s="1">
        <v>45923</v>
      </c>
      <c r="I1283" s="2">
        <v>0.3</v>
      </c>
      <c r="J1283" t="s">
        <v>64</v>
      </c>
      <c r="K1283" s="3">
        <v>7100</v>
      </c>
      <c r="L1283" t="s">
        <v>30</v>
      </c>
      <c r="M1283">
        <v>3</v>
      </c>
      <c r="N1283">
        <v>3</v>
      </c>
      <c r="O1283">
        <v>5</v>
      </c>
      <c r="P1283" t="s">
        <v>21</v>
      </c>
      <c r="Q1283" s="1"/>
      <c r="U1283">
        <v>1</v>
      </c>
      <c r="V1283">
        <v>1</v>
      </c>
      <c r="W1283">
        <v>0</v>
      </c>
    </row>
    <row r="1284" spans="1:23" ht="16.5" x14ac:dyDescent="0.3">
      <c r="A1284" t="s">
        <v>1351</v>
      </c>
      <c r="B1284" t="s">
        <v>48</v>
      </c>
      <c r="C1284" t="s">
        <v>25</v>
      </c>
      <c r="D1284" t="s">
        <v>26</v>
      </c>
      <c r="E1284">
        <v>32</v>
      </c>
      <c r="F1284" t="s">
        <v>27</v>
      </c>
      <c r="G1284" t="s">
        <v>38</v>
      </c>
      <c r="H1284" s="1">
        <v>44400</v>
      </c>
      <c r="I1284" s="2">
        <v>4.4000000000000004</v>
      </c>
      <c r="J1284" t="s">
        <v>50</v>
      </c>
      <c r="K1284" s="3">
        <v>7350</v>
      </c>
      <c r="L1284" t="s">
        <v>30</v>
      </c>
      <c r="M1284">
        <v>4</v>
      </c>
      <c r="N1284">
        <v>4</v>
      </c>
      <c r="O1284">
        <v>5</v>
      </c>
      <c r="P1284" t="s">
        <v>21</v>
      </c>
      <c r="Q1284" s="1"/>
      <c r="U1284">
        <v>1</v>
      </c>
      <c r="V1284">
        <v>1</v>
      </c>
      <c r="W1284">
        <v>0</v>
      </c>
    </row>
    <row r="1285" spans="1:23" ht="16.5" x14ac:dyDescent="0.3">
      <c r="A1285" t="s">
        <v>1352</v>
      </c>
      <c r="B1285" t="s">
        <v>48</v>
      </c>
      <c r="C1285" t="s">
        <v>45</v>
      </c>
      <c r="D1285" t="s">
        <v>37</v>
      </c>
      <c r="E1285">
        <v>36</v>
      </c>
      <c r="F1285" t="s">
        <v>46</v>
      </c>
      <c r="G1285" t="s">
        <v>38</v>
      </c>
      <c r="H1285" s="1">
        <v>42025</v>
      </c>
      <c r="I1285" s="2">
        <v>10.9</v>
      </c>
      <c r="J1285" t="s">
        <v>39</v>
      </c>
      <c r="K1285" s="3">
        <v>9800</v>
      </c>
      <c r="L1285" t="s">
        <v>30</v>
      </c>
      <c r="M1285">
        <v>3</v>
      </c>
      <c r="N1285">
        <v>5</v>
      </c>
      <c r="O1285">
        <v>16</v>
      </c>
      <c r="P1285" t="s">
        <v>21</v>
      </c>
      <c r="Q1285" s="1"/>
      <c r="U1285">
        <v>1</v>
      </c>
      <c r="V1285">
        <v>1</v>
      </c>
      <c r="W1285">
        <v>0</v>
      </c>
    </row>
    <row r="1286" spans="1:23" ht="16.5" x14ac:dyDescent="0.3">
      <c r="A1286" t="s">
        <v>1353</v>
      </c>
      <c r="B1286" t="s">
        <v>48</v>
      </c>
      <c r="C1286" t="s">
        <v>36</v>
      </c>
      <c r="D1286" t="s">
        <v>26</v>
      </c>
      <c r="E1286">
        <v>30</v>
      </c>
      <c r="F1286" t="s">
        <v>27</v>
      </c>
      <c r="G1286" t="s">
        <v>38</v>
      </c>
      <c r="H1286" s="1">
        <v>43558</v>
      </c>
      <c r="I1286" s="2">
        <v>6.7</v>
      </c>
      <c r="J1286" t="s">
        <v>39</v>
      </c>
      <c r="K1286" s="3">
        <v>8950</v>
      </c>
      <c r="L1286" t="s">
        <v>30</v>
      </c>
      <c r="M1286">
        <v>3</v>
      </c>
      <c r="N1286">
        <v>4</v>
      </c>
      <c r="O1286">
        <v>32</v>
      </c>
      <c r="P1286" t="s">
        <v>21</v>
      </c>
      <c r="Q1286" s="1"/>
      <c r="U1286">
        <v>1</v>
      </c>
      <c r="V1286">
        <v>1</v>
      </c>
      <c r="W1286">
        <v>0</v>
      </c>
    </row>
    <row r="1287" spans="1:23" ht="16.5" x14ac:dyDescent="0.3">
      <c r="A1287" t="s">
        <v>1354</v>
      </c>
      <c r="B1287" t="s">
        <v>70</v>
      </c>
      <c r="C1287" t="s">
        <v>36</v>
      </c>
      <c r="D1287" t="s">
        <v>26</v>
      </c>
      <c r="E1287">
        <v>35</v>
      </c>
      <c r="F1287" t="s">
        <v>27</v>
      </c>
      <c r="G1287" t="s">
        <v>28</v>
      </c>
      <c r="H1287" s="1">
        <v>44968</v>
      </c>
      <c r="I1287" s="2">
        <v>2.7</v>
      </c>
      <c r="J1287" t="s">
        <v>29</v>
      </c>
      <c r="K1287" s="3">
        <v>4200</v>
      </c>
      <c r="L1287" t="s">
        <v>58</v>
      </c>
      <c r="M1287">
        <v>2</v>
      </c>
      <c r="N1287">
        <v>2</v>
      </c>
      <c r="O1287">
        <v>35</v>
      </c>
      <c r="P1287" t="s">
        <v>22</v>
      </c>
      <c r="Q1287" s="1">
        <v>45967</v>
      </c>
      <c r="R1287" t="s">
        <v>40</v>
      </c>
      <c r="S1287" t="s">
        <v>182</v>
      </c>
      <c r="T1287" t="s">
        <v>60</v>
      </c>
      <c r="U1287">
        <v>1</v>
      </c>
      <c r="V1287">
        <v>0</v>
      </c>
      <c r="W1287">
        <v>1</v>
      </c>
    </row>
    <row r="1288" spans="1:23" ht="16.5" x14ac:dyDescent="0.3">
      <c r="A1288" t="s">
        <v>1355</v>
      </c>
      <c r="B1288" t="s">
        <v>24</v>
      </c>
      <c r="C1288" t="s">
        <v>36</v>
      </c>
      <c r="D1288" t="s">
        <v>26</v>
      </c>
      <c r="E1288">
        <v>30</v>
      </c>
      <c r="F1288" t="s">
        <v>27</v>
      </c>
      <c r="G1288" t="s">
        <v>38</v>
      </c>
      <c r="H1288" s="1">
        <v>44967</v>
      </c>
      <c r="I1288" s="2">
        <v>2.9</v>
      </c>
      <c r="J1288" t="s">
        <v>29</v>
      </c>
      <c r="K1288" s="3">
        <v>2900</v>
      </c>
      <c r="L1288" t="s">
        <v>58</v>
      </c>
      <c r="M1288">
        <v>3</v>
      </c>
      <c r="N1288">
        <v>4</v>
      </c>
      <c r="O1288">
        <v>4</v>
      </c>
      <c r="P1288" t="s">
        <v>21</v>
      </c>
      <c r="Q1288" s="1"/>
      <c r="U1288">
        <v>1</v>
      </c>
      <c r="V1288">
        <v>1</v>
      </c>
      <c r="W1288">
        <v>0</v>
      </c>
    </row>
    <row r="1289" spans="1:23" ht="16.5" x14ac:dyDescent="0.3">
      <c r="A1289" t="s">
        <v>1356</v>
      </c>
      <c r="B1289" t="s">
        <v>44</v>
      </c>
      <c r="C1289" t="s">
        <v>25</v>
      </c>
      <c r="D1289" t="s">
        <v>37</v>
      </c>
      <c r="E1289">
        <v>27</v>
      </c>
      <c r="F1289" t="s">
        <v>27</v>
      </c>
      <c r="G1289" t="s">
        <v>28</v>
      </c>
      <c r="H1289" s="1">
        <v>44871</v>
      </c>
      <c r="I1289" s="2">
        <v>3.2</v>
      </c>
      <c r="J1289" t="s">
        <v>50</v>
      </c>
      <c r="K1289" s="3">
        <v>6300</v>
      </c>
      <c r="L1289" t="s">
        <v>30</v>
      </c>
      <c r="M1289">
        <v>4</v>
      </c>
      <c r="N1289">
        <v>3</v>
      </c>
      <c r="O1289">
        <v>16</v>
      </c>
      <c r="P1289" t="s">
        <v>21</v>
      </c>
      <c r="Q1289" s="1"/>
      <c r="U1289">
        <v>1</v>
      </c>
      <c r="V1289">
        <v>1</v>
      </c>
      <c r="W1289">
        <v>0</v>
      </c>
    </row>
    <row r="1290" spans="1:23" ht="16.5" x14ac:dyDescent="0.3">
      <c r="A1290" t="s">
        <v>1357</v>
      </c>
      <c r="B1290" t="s">
        <v>70</v>
      </c>
      <c r="C1290" t="s">
        <v>25</v>
      </c>
      <c r="D1290" t="s">
        <v>26</v>
      </c>
      <c r="E1290">
        <v>31</v>
      </c>
      <c r="F1290" t="s">
        <v>27</v>
      </c>
      <c r="G1290" t="s">
        <v>38</v>
      </c>
      <c r="H1290" s="1">
        <v>44079</v>
      </c>
      <c r="I1290" s="2">
        <v>4.3</v>
      </c>
      <c r="J1290" t="s">
        <v>50</v>
      </c>
      <c r="K1290" s="3">
        <v>4050</v>
      </c>
      <c r="L1290" t="s">
        <v>30</v>
      </c>
      <c r="M1290">
        <v>3</v>
      </c>
      <c r="N1290">
        <v>4</v>
      </c>
      <c r="O1290">
        <v>27</v>
      </c>
      <c r="P1290" t="s">
        <v>22</v>
      </c>
      <c r="Q1290" s="1">
        <v>45661</v>
      </c>
      <c r="R1290" t="s">
        <v>40</v>
      </c>
      <c r="S1290" t="s">
        <v>107</v>
      </c>
      <c r="T1290" t="s">
        <v>33</v>
      </c>
      <c r="U1290">
        <v>1</v>
      </c>
      <c r="V1290">
        <v>0</v>
      </c>
      <c r="W1290">
        <v>1</v>
      </c>
    </row>
    <row r="1291" spans="1:23" ht="16.5" x14ac:dyDescent="0.3">
      <c r="A1291" t="s">
        <v>1358</v>
      </c>
      <c r="B1291" t="s">
        <v>35</v>
      </c>
      <c r="C1291" t="s">
        <v>36</v>
      </c>
      <c r="D1291" t="s">
        <v>26</v>
      </c>
      <c r="E1291">
        <v>34</v>
      </c>
      <c r="F1291" t="s">
        <v>27</v>
      </c>
      <c r="G1291" t="s">
        <v>28</v>
      </c>
      <c r="H1291" s="1">
        <v>45417</v>
      </c>
      <c r="I1291" s="2">
        <v>1.7</v>
      </c>
      <c r="J1291" t="s">
        <v>29</v>
      </c>
      <c r="K1291" s="3">
        <v>3600</v>
      </c>
      <c r="L1291" t="s">
        <v>30</v>
      </c>
      <c r="M1291">
        <v>4</v>
      </c>
      <c r="N1291">
        <v>3</v>
      </c>
      <c r="O1291">
        <v>10</v>
      </c>
      <c r="P1291" t="s">
        <v>21</v>
      </c>
      <c r="Q1291" s="1"/>
      <c r="U1291">
        <v>1</v>
      </c>
      <c r="V1291">
        <v>1</v>
      </c>
      <c r="W1291">
        <v>0</v>
      </c>
    </row>
    <row r="1292" spans="1:23" ht="16.5" x14ac:dyDescent="0.3">
      <c r="A1292" t="s">
        <v>1359</v>
      </c>
      <c r="B1292" t="s">
        <v>44</v>
      </c>
      <c r="C1292" t="s">
        <v>36</v>
      </c>
      <c r="D1292" t="s">
        <v>37</v>
      </c>
      <c r="E1292">
        <v>40</v>
      </c>
      <c r="F1292" t="s">
        <v>46</v>
      </c>
      <c r="G1292" t="s">
        <v>38</v>
      </c>
      <c r="H1292" s="1">
        <v>42265</v>
      </c>
      <c r="I1292" s="2">
        <v>10.3</v>
      </c>
      <c r="J1292" t="s">
        <v>39</v>
      </c>
      <c r="K1292" s="3">
        <v>5500</v>
      </c>
      <c r="L1292" t="s">
        <v>30</v>
      </c>
      <c r="M1292">
        <v>5</v>
      </c>
      <c r="N1292">
        <v>3</v>
      </c>
      <c r="O1292">
        <v>12</v>
      </c>
      <c r="P1292" t="s">
        <v>21</v>
      </c>
      <c r="Q1292" s="1"/>
      <c r="U1292">
        <v>1</v>
      </c>
      <c r="V1292">
        <v>1</v>
      </c>
      <c r="W1292">
        <v>0</v>
      </c>
    </row>
    <row r="1293" spans="1:23" ht="16.5" x14ac:dyDescent="0.3">
      <c r="A1293" t="s">
        <v>1360</v>
      </c>
      <c r="B1293" t="s">
        <v>24</v>
      </c>
      <c r="C1293" t="s">
        <v>25</v>
      </c>
      <c r="D1293" t="s">
        <v>37</v>
      </c>
      <c r="E1293">
        <v>21</v>
      </c>
      <c r="F1293" t="s">
        <v>57</v>
      </c>
      <c r="G1293" t="s">
        <v>38</v>
      </c>
      <c r="H1293" s="1">
        <v>45925</v>
      </c>
      <c r="I1293" s="2">
        <v>0.3</v>
      </c>
      <c r="J1293" t="s">
        <v>64</v>
      </c>
      <c r="K1293" s="3">
        <v>2450</v>
      </c>
      <c r="L1293" t="s">
        <v>30</v>
      </c>
      <c r="M1293">
        <v>4</v>
      </c>
      <c r="N1293">
        <v>4</v>
      </c>
      <c r="O1293">
        <v>22</v>
      </c>
      <c r="P1293" t="s">
        <v>21</v>
      </c>
      <c r="Q1293" s="1"/>
      <c r="U1293">
        <v>1</v>
      </c>
      <c r="V1293">
        <v>1</v>
      </c>
      <c r="W1293">
        <v>0</v>
      </c>
    </row>
    <row r="1294" spans="1:23" ht="16.5" x14ac:dyDescent="0.3">
      <c r="A1294" t="s">
        <v>1361</v>
      </c>
      <c r="B1294" t="s">
        <v>35</v>
      </c>
      <c r="C1294" t="s">
        <v>25</v>
      </c>
      <c r="D1294" t="s">
        <v>37</v>
      </c>
      <c r="E1294">
        <v>25</v>
      </c>
      <c r="F1294" t="s">
        <v>57</v>
      </c>
      <c r="G1294" t="s">
        <v>52</v>
      </c>
      <c r="H1294" s="1">
        <v>45382</v>
      </c>
      <c r="I1294" s="2">
        <v>1.8</v>
      </c>
      <c r="J1294" t="s">
        <v>29</v>
      </c>
      <c r="K1294" s="3">
        <v>3500</v>
      </c>
      <c r="L1294" t="s">
        <v>30</v>
      </c>
      <c r="M1294">
        <v>2</v>
      </c>
      <c r="N1294">
        <v>3</v>
      </c>
      <c r="O1294">
        <v>11</v>
      </c>
      <c r="P1294" t="s">
        <v>21</v>
      </c>
      <c r="Q1294" s="1"/>
      <c r="U1294">
        <v>1</v>
      </c>
      <c r="V1294">
        <v>1</v>
      </c>
      <c r="W1294">
        <v>0</v>
      </c>
    </row>
    <row r="1295" spans="1:23" ht="16.5" x14ac:dyDescent="0.3">
      <c r="A1295" t="s">
        <v>1362</v>
      </c>
      <c r="B1295" t="s">
        <v>24</v>
      </c>
      <c r="C1295" t="s">
        <v>25</v>
      </c>
      <c r="D1295" t="s">
        <v>37</v>
      </c>
      <c r="E1295">
        <v>24</v>
      </c>
      <c r="F1295" t="s">
        <v>57</v>
      </c>
      <c r="G1295" t="s">
        <v>28</v>
      </c>
      <c r="H1295" s="1">
        <v>45675</v>
      </c>
      <c r="I1295" s="2">
        <v>1</v>
      </c>
      <c r="J1295" t="s">
        <v>64</v>
      </c>
      <c r="K1295" s="3">
        <v>3050</v>
      </c>
      <c r="L1295" t="s">
        <v>58</v>
      </c>
      <c r="M1295">
        <v>4</v>
      </c>
      <c r="N1295">
        <v>2</v>
      </c>
      <c r="O1295">
        <v>47</v>
      </c>
      <c r="P1295" t="s">
        <v>21</v>
      </c>
      <c r="Q1295" s="1"/>
      <c r="U1295">
        <v>1</v>
      </c>
      <c r="V1295">
        <v>1</v>
      </c>
      <c r="W1295">
        <v>0</v>
      </c>
    </row>
    <row r="1296" spans="1:23" ht="16.5" x14ac:dyDescent="0.3">
      <c r="A1296" t="s">
        <v>1363</v>
      </c>
      <c r="B1296" t="s">
        <v>48</v>
      </c>
      <c r="C1296" t="s">
        <v>36</v>
      </c>
      <c r="D1296" t="s">
        <v>37</v>
      </c>
      <c r="E1296">
        <v>31</v>
      </c>
      <c r="F1296" t="s">
        <v>27</v>
      </c>
      <c r="G1296" t="s">
        <v>38</v>
      </c>
      <c r="H1296" s="1">
        <v>44426</v>
      </c>
      <c r="I1296" s="2">
        <v>4.4000000000000004</v>
      </c>
      <c r="J1296" t="s">
        <v>50</v>
      </c>
      <c r="K1296" s="3">
        <v>7650</v>
      </c>
      <c r="L1296" t="s">
        <v>30</v>
      </c>
      <c r="M1296">
        <v>5</v>
      </c>
      <c r="N1296">
        <v>3</v>
      </c>
      <c r="O1296">
        <v>25</v>
      </c>
      <c r="P1296" t="s">
        <v>21</v>
      </c>
      <c r="Q1296" s="1"/>
      <c r="U1296">
        <v>1</v>
      </c>
      <c r="V1296">
        <v>1</v>
      </c>
      <c r="W1296">
        <v>0</v>
      </c>
    </row>
    <row r="1297" spans="1:23" ht="16.5" x14ac:dyDescent="0.3">
      <c r="A1297" t="s">
        <v>1364</v>
      </c>
      <c r="B1297" t="s">
        <v>73</v>
      </c>
      <c r="C1297" t="s">
        <v>36</v>
      </c>
      <c r="D1297" t="s">
        <v>26</v>
      </c>
      <c r="E1297">
        <v>28</v>
      </c>
      <c r="F1297" t="s">
        <v>27</v>
      </c>
      <c r="G1297" t="s">
        <v>28</v>
      </c>
      <c r="H1297" s="1">
        <v>44787</v>
      </c>
      <c r="I1297" s="2">
        <v>3.4</v>
      </c>
      <c r="J1297" t="s">
        <v>50</v>
      </c>
      <c r="K1297" s="3">
        <v>5100</v>
      </c>
      <c r="L1297" t="s">
        <v>30</v>
      </c>
      <c r="M1297">
        <v>3</v>
      </c>
      <c r="N1297">
        <v>3</v>
      </c>
      <c r="O1297">
        <v>20</v>
      </c>
      <c r="P1297" t="s">
        <v>21</v>
      </c>
      <c r="Q1297" s="1"/>
      <c r="U1297">
        <v>1</v>
      </c>
      <c r="V1297">
        <v>1</v>
      </c>
      <c r="W1297">
        <v>0</v>
      </c>
    </row>
    <row r="1298" spans="1:23" ht="16.5" x14ac:dyDescent="0.3">
      <c r="A1298" t="s">
        <v>1365</v>
      </c>
      <c r="B1298" t="s">
        <v>44</v>
      </c>
      <c r="C1298" t="s">
        <v>45</v>
      </c>
      <c r="D1298" t="s">
        <v>26</v>
      </c>
      <c r="E1298">
        <v>44</v>
      </c>
      <c r="F1298" t="s">
        <v>46</v>
      </c>
      <c r="G1298" t="s">
        <v>38</v>
      </c>
      <c r="H1298" s="1">
        <v>41896</v>
      </c>
      <c r="I1298" s="2">
        <v>11.3</v>
      </c>
      <c r="J1298" t="s">
        <v>39</v>
      </c>
      <c r="K1298" s="3">
        <v>8650</v>
      </c>
      <c r="L1298" t="s">
        <v>30</v>
      </c>
      <c r="M1298">
        <v>5</v>
      </c>
      <c r="N1298">
        <v>4</v>
      </c>
      <c r="O1298">
        <v>23</v>
      </c>
      <c r="P1298" t="s">
        <v>21</v>
      </c>
      <c r="Q1298" s="1"/>
      <c r="U1298">
        <v>1</v>
      </c>
      <c r="V1298">
        <v>1</v>
      </c>
      <c r="W1298">
        <v>0</v>
      </c>
    </row>
    <row r="1299" spans="1:23" ht="16.5" x14ac:dyDescent="0.3">
      <c r="A1299" t="s">
        <v>1366</v>
      </c>
      <c r="B1299" t="s">
        <v>73</v>
      </c>
      <c r="C1299" t="s">
        <v>45</v>
      </c>
      <c r="D1299" t="s">
        <v>37</v>
      </c>
      <c r="E1299">
        <v>42</v>
      </c>
      <c r="F1299" t="s">
        <v>46</v>
      </c>
      <c r="G1299" t="s">
        <v>28</v>
      </c>
      <c r="H1299" s="1">
        <v>41725</v>
      </c>
      <c r="I1299" s="2">
        <v>11.8</v>
      </c>
      <c r="J1299" t="s">
        <v>39</v>
      </c>
      <c r="K1299" s="3">
        <v>6650</v>
      </c>
      <c r="L1299" t="s">
        <v>30</v>
      </c>
      <c r="M1299">
        <v>5</v>
      </c>
      <c r="N1299">
        <v>3</v>
      </c>
      <c r="O1299">
        <v>16</v>
      </c>
      <c r="P1299" t="s">
        <v>21</v>
      </c>
      <c r="Q1299" s="1"/>
      <c r="U1299">
        <v>1</v>
      </c>
      <c r="V1299">
        <v>1</v>
      </c>
      <c r="W1299">
        <v>0</v>
      </c>
    </row>
    <row r="1300" spans="1:23" ht="16.5" x14ac:dyDescent="0.3">
      <c r="A1300" t="s">
        <v>1367</v>
      </c>
      <c r="B1300" t="s">
        <v>55</v>
      </c>
      <c r="C1300" t="s">
        <v>36</v>
      </c>
      <c r="D1300" t="s">
        <v>26</v>
      </c>
      <c r="E1300">
        <v>32</v>
      </c>
      <c r="F1300" t="s">
        <v>27</v>
      </c>
      <c r="G1300" t="s">
        <v>38</v>
      </c>
      <c r="H1300" s="1">
        <v>44079</v>
      </c>
      <c r="I1300" s="2">
        <v>5.3</v>
      </c>
      <c r="J1300" t="s">
        <v>39</v>
      </c>
      <c r="K1300" s="3">
        <v>6150</v>
      </c>
      <c r="L1300" t="s">
        <v>30</v>
      </c>
      <c r="M1300">
        <v>3</v>
      </c>
      <c r="N1300">
        <v>4</v>
      </c>
      <c r="O1300">
        <v>21</v>
      </c>
      <c r="P1300" t="s">
        <v>21</v>
      </c>
      <c r="Q1300" s="1"/>
      <c r="U1300">
        <v>1</v>
      </c>
      <c r="V1300">
        <v>1</v>
      </c>
      <c r="W1300">
        <v>0</v>
      </c>
    </row>
    <row r="1301" spans="1:23" ht="16.5" x14ac:dyDescent="0.3">
      <c r="A1301" t="s">
        <v>1368</v>
      </c>
      <c r="B1301" t="s">
        <v>24</v>
      </c>
      <c r="C1301" t="s">
        <v>45</v>
      </c>
      <c r="D1301" t="s">
        <v>26</v>
      </c>
      <c r="E1301">
        <v>31</v>
      </c>
      <c r="F1301" t="s">
        <v>27</v>
      </c>
      <c r="G1301" t="s">
        <v>38</v>
      </c>
      <c r="H1301" s="1">
        <v>44380</v>
      </c>
      <c r="I1301" s="2">
        <v>4.5</v>
      </c>
      <c r="J1301" t="s">
        <v>50</v>
      </c>
      <c r="K1301" s="3">
        <v>6400</v>
      </c>
      <c r="L1301" t="s">
        <v>30</v>
      </c>
      <c r="M1301">
        <v>3</v>
      </c>
      <c r="N1301">
        <v>4</v>
      </c>
      <c r="O1301">
        <v>16</v>
      </c>
      <c r="P1301" t="s">
        <v>21</v>
      </c>
      <c r="Q1301" s="1"/>
      <c r="U1301">
        <v>1</v>
      </c>
      <c r="V1301">
        <v>1</v>
      </c>
      <c r="W1301">
        <v>0</v>
      </c>
    </row>
    <row r="1302" spans="1:23" ht="16.5" x14ac:dyDescent="0.3">
      <c r="A1302" t="s">
        <v>1369</v>
      </c>
      <c r="B1302" t="s">
        <v>35</v>
      </c>
      <c r="C1302" t="s">
        <v>25</v>
      </c>
      <c r="D1302" t="s">
        <v>37</v>
      </c>
      <c r="E1302">
        <v>32</v>
      </c>
      <c r="F1302" t="s">
        <v>27</v>
      </c>
      <c r="G1302" t="s">
        <v>38</v>
      </c>
      <c r="H1302" s="1">
        <v>44550</v>
      </c>
      <c r="I1302" s="2">
        <v>4</v>
      </c>
      <c r="J1302" t="s">
        <v>50</v>
      </c>
      <c r="K1302" s="3">
        <v>3400</v>
      </c>
      <c r="L1302" t="s">
        <v>58</v>
      </c>
      <c r="M1302">
        <v>3</v>
      </c>
      <c r="N1302">
        <v>4</v>
      </c>
      <c r="O1302">
        <v>36</v>
      </c>
      <c r="P1302" t="s">
        <v>21</v>
      </c>
      <c r="Q1302" s="1"/>
      <c r="U1302">
        <v>1</v>
      </c>
      <c r="V1302">
        <v>1</v>
      </c>
      <c r="W1302">
        <v>0</v>
      </c>
    </row>
    <row r="1303" spans="1:23" ht="16.5" x14ac:dyDescent="0.3">
      <c r="A1303" t="s">
        <v>1370</v>
      </c>
      <c r="B1303" t="s">
        <v>48</v>
      </c>
      <c r="C1303" t="s">
        <v>36</v>
      </c>
      <c r="D1303" t="s">
        <v>37</v>
      </c>
      <c r="E1303">
        <v>39</v>
      </c>
      <c r="F1303" t="s">
        <v>46</v>
      </c>
      <c r="G1303" t="s">
        <v>38</v>
      </c>
      <c r="H1303" s="1">
        <v>44593</v>
      </c>
      <c r="I1303" s="2">
        <v>3.9</v>
      </c>
      <c r="J1303" t="s">
        <v>50</v>
      </c>
      <c r="K1303" s="3">
        <v>7700</v>
      </c>
      <c r="L1303" t="s">
        <v>58</v>
      </c>
      <c r="M1303">
        <v>2</v>
      </c>
      <c r="N1303">
        <v>3</v>
      </c>
      <c r="O1303">
        <v>30</v>
      </c>
      <c r="P1303" t="s">
        <v>21</v>
      </c>
      <c r="Q1303" s="1"/>
      <c r="U1303">
        <v>1</v>
      </c>
      <c r="V1303">
        <v>1</v>
      </c>
      <c r="W1303">
        <v>0</v>
      </c>
    </row>
    <row r="1304" spans="1:23" ht="16.5" x14ac:dyDescent="0.3">
      <c r="A1304" t="s">
        <v>1371</v>
      </c>
      <c r="B1304" t="s">
        <v>55</v>
      </c>
      <c r="C1304" t="s">
        <v>45</v>
      </c>
      <c r="D1304" t="s">
        <v>37</v>
      </c>
      <c r="E1304">
        <v>38</v>
      </c>
      <c r="F1304" t="s">
        <v>46</v>
      </c>
      <c r="G1304" t="s">
        <v>28</v>
      </c>
      <c r="H1304" s="1">
        <v>41175</v>
      </c>
      <c r="I1304" s="2">
        <v>13.3</v>
      </c>
      <c r="J1304" t="s">
        <v>39</v>
      </c>
      <c r="K1304" s="3">
        <v>9150</v>
      </c>
      <c r="L1304" t="s">
        <v>30</v>
      </c>
      <c r="M1304">
        <v>3</v>
      </c>
      <c r="N1304">
        <v>3</v>
      </c>
      <c r="O1304">
        <v>28</v>
      </c>
      <c r="P1304" t="s">
        <v>21</v>
      </c>
      <c r="Q1304" s="1"/>
      <c r="U1304">
        <v>1</v>
      </c>
      <c r="V1304">
        <v>1</v>
      </c>
      <c r="W1304">
        <v>0</v>
      </c>
    </row>
    <row r="1305" spans="1:23" ht="16.5" x14ac:dyDescent="0.3">
      <c r="A1305" t="s">
        <v>1372</v>
      </c>
      <c r="B1305" t="s">
        <v>70</v>
      </c>
      <c r="C1305" t="s">
        <v>25</v>
      </c>
      <c r="D1305" t="s">
        <v>37</v>
      </c>
      <c r="E1305">
        <v>21</v>
      </c>
      <c r="F1305" t="s">
        <v>57</v>
      </c>
      <c r="G1305" t="s">
        <v>38</v>
      </c>
      <c r="H1305" s="1">
        <v>45980</v>
      </c>
      <c r="I1305" s="2">
        <v>0.1</v>
      </c>
      <c r="J1305" t="s">
        <v>64</v>
      </c>
      <c r="K1305" s="3">
        <v>4250</v>
      </c>
      <c r="L1305" t="s">
        <v>58</v>
      </c>
      <c r="M1305">
        <v>4</v>
      </c>
      <c r="N1305">
        <v>2</v>
      </c>
      <c r="O1305">
        <v>24</v>
      </c>
      <c r="P1305" t="s">
        <v>21</v>
      </c>
      <c r="Q1305" s="1"/>
      <c r="U1305">
        <v>1</v>
      </c>
      <c r="V1305">
        <v>1</v>
      </c>
      <c r="W1305">
        <v>0</v>
      </c>
    </row>
    <row r="1306" spans="1:23" ht="16.5" x14ac:dyDescent="0.3">
      <c r="A1306" t="s">
        <v>1373</v>
      </c>
      <c r="B1306" t="s">
        <v>48</v>
      </c>
      <c r="C1306" t="s">
        <v>36</v>
      </c>
      <c r="D1306" t="s">
        <v>26</v>
      </c>
      <c r="E1306">
        <v>28</v>
      </c>
      <c r="F1306" t="s">
        <v>27</v>
      </c>
      <c r="G1306" t="s">
        <v>28</v>
      </c>
      <c r="H1306" s="1">
        <v>44508</v>
      </c>
      <c r="I1306" s="2">
        <v>3.2</v>
      </c>
      <c r="J1306" t="s">
        <v>50</v>
      </c>
      <c r="K1306" s="3">
        <v>7150</v>
      </c>
      <c r="L1306" t="s">
        <v>58</v>
      </c>
      <c r="M1306">
        <v>5</v>
      </c>
      <c r="N1306">
        <v>4</v>
      </c>
      <c r="O1306">
        <v>15</v>
      </c>
      <c r="P1306" t="s">
        <v>22</v>
      </c>
      <c r="Q1306" s="1">
        <v>45675</v>
      </c>
      <c r="R1306" t="s">
        <v>40</v>
      </c>
      <c r="S1306" t="s">
        <v>107</v>
      </c>
      <c r="T1306" t="s">
        <v>473</v>
      </c>
      <c r="U1306">
        <v>1</v>
      </c>
      <c r="V1306">
        <v>0</v>
      </c>
      <c r="W1306">
        <v>1</v>
      </c>
    </row>
    <row r="1307" spans="1:23" ht="16.5" x14ac:dyDescent="0.3">
      <c r="A1307" t="s">
        <v>1374</v>
      </c>
      <c r="B1307" t="s">
        <v>35</v>
      </c>
      <c r="C1307" t="s">
        <v>87</v>
      </c>
      <c r="D1307" t="s">
        <v>26</v>
      </c>
      <c r="E1307">
        <v>48</v>
      </c>
      <c r="F1307" t="s">
        <v>88</v>
      </c>
      <c r="G1307" t="s">
        <v>28</v>
      </c>
      <c r="H1307" s="1">
        <v>44894</v>
      </c>
      <c r="I1307" s="2">
        <v>3.1</v>
      </c>
      <c r="J1307" t="s">
        <v>50</v>
      </c>
      <c r="K1307" s="3">
        <v>9050</v>
      </c>
      <c r="L1307" t="s">
        <v>30</v>
      </c>
      <c r="M1307">
        <v>3</v>
      </c>
      <c r="N1307">
        <v>3</v>
      </c>
      <c r="O1307">
        <v>43</v>
      </c>
      <c r="P1307" t="s">
        <v>21</v>
      </c>
      <c r="Q1307" s="1"/>
      <c r="U1307">
        <v>1</v>
      </c>
      <c r="V1307">
        <v>1</v>
      </c>
      <c r="W1307">
        <v>0</v>
      </c>
    </row>
    <row r="1308" spans="1:23" ht="16.5" x14ac:dyDescent="0.3">
      <c r="A1308" t="s">
        <v>1375</v>
      </c>
      <c r="B1308" t="s">
        <v>35</v>
      </c>
      <c r="C1308" t="s">
        <v>25</v>
      </c>
      <c r="D1308" t="s">
        <v>26</v>
      </c>
      <c r="E1308">
        <v>34</v>
      </c>
      <c r="F1308" t="s">
        <v>27</v>
      </c>
      <c r="G1308" t="s">
        <v>28</v>
      </c>
      <c r="H1308" s="1">
        <v>44992</v>
      </c>
      <c r="I1308" s="2">
        <v>2.8</v>
      </c>
      <c r="J1308" t="s">
        <v>29</v>
      </c>
      <c r="K1308" s="3">
        <v>2700</v>
      </c>
      <c r="L1308" t="s">
        <v>30</v>
      </c>
      <c r="M1308">
        <v>5</v>
      </c>
      <c r="N1308">
        <v>4</v>
      </c>
      <c r="O1308">
        <v>34</v>
      </c>
      <c r="P1308" t="s">
        <v>21</v>
      </c>
      <c r="Q1308" s="1"/>
      <c r="U1308">
        <v>1</v>
      </c>
      <c r="V1308">
        <v>1</v>
      </c>
      <c r="W1308">
        <v>0</v>
      </c>
    </row>
    <row r="1309" spans="1:23" ht="16.5" x14ac:dyDescent="0.3">
      <c r="A1309" t="s">
        <v>1376</v>
      </c>
      <c r="B1309" t="s">
        <v>48</v>
      </c>
      <c r="C1309" t="s">
        <v>25</v>
      </c>
      <c r="D1309" t="s">
        <v>37</v>
      </c>
      <c r="E1309">
        <v>27</v>
      </c>
      <c r="F1309" t="s">
        <v>27</v>
      </c>
      <c r="G1309" t="s">
        <v>28</v>
      </c>
      <c r="H1309" s="1">
        <v>45077</v>
      </c>
      <c r="I1309" s="2">
        <v>2.6</v>
      </c>
      <c r="J1309" t="s">
        <v>29</v>
      </c>
      <c r="K1309" s="3">
        <v>6400</v>
      </c>
      <c r="L1309" t="s">
        <v>30</v>
      </c>
      <c r="M1309">
        <v>4</v>
      </c>
      <c r="N1309">
        <v>4</v>
      </c>
      <c r="O1309">
        <v>24</v>
      </c>
      <c r="P1309" t="s">
        <v>21</v>
      </c>
      <c r="Q1309" s="1"/>
      <c r="U1309">
        <v>1</v>
      </c>
      <c r="V1309">
        <v>1</v>
      </c>
      <c r="W1309">
        <v>0</v>
      </c>
    </row>
    <row r="1310" spans="1:23" ht="16.5" x14ac:dyDescent="0.3">
      <c r="A1310" t="s">
        <v>1377</v>
      </c>
      <c r="B1310" t="s">
        <v>70</v>
      </c>
      <c r="C1310" t="s">
        <v>36</v>
      </c>
      <c r="D1310" t="s">
        <v>37</v>
      </c>
      <c r="E1310">
        <v>33</v>
      </c>
      <c r="F1310" t="s">
        <v>27</v>
      </c>
      <c r="G1310" t="s">
        <v>38</v>
      </c>
      <c r="H1310" s="1">
        <v>45219</v>
      </c>
      <c r="I1310" s="2">
        <v>2.2000000000000002</v>
      </c>
      <c r="J1310" t="s">
        <v>29</v>
      </c>
      <c r="K1310" s="3">
        <v>5600</v>
      </c>
      <c r="L1310" t="s">
        <v>30</v>
      </c>
      <c r="M1310">
        <v>3</v>
      </c>
      <c r="N1310">
        <v>4</v>
      </c>
      <c r="O1310">
        <v>25</v>
      </c>
      <c r="P1310" t="s">
        <v>21</v>
      </c>
      <c r="Q1310" s="1"/>
      <c r="U1310">
        <v>1</v>
      </c>
      <c r="V1310">
        <v>1</v>
      </c>
      <c r="W1310">
        <v>0</v>
      </c>
    </row>
    <row r="1311" spans="1:23" ht="16.5" x14ac:dyDescent="0.3">
      <c r="A1311" t="s">
        <v>1378</v>
      </c>
      <c r="B1311" t="s">
        <v>48</v>
      </c>
      <c r="C1311" t="s">
        <v>45</v>
      </c>
      <c r="D1311" t="s">
        <v>37</v>
      </c>
      <c r="E1311">
        <v>35</v>
      </c>
      <c r="F1311" t="s">
        <v>27</v>
      </c>
      <c r="G1311" t="s">
        <v>52</v>
      </c>
      <c r="H1311" s="1">
        <v>44246</v>
      </c>
      <c r="I1311" s="2">
        <v>4.9000000000000004</v>
      </c>
      <c r="J1311" t="s">
        <v>50</v>
      </c>
      <c r="K1311" s="3">
        <v>12350</v>
      </c>
      <c r="L1311" t="s">
        <v>58</v>
      </c>
      <c r="M1311">
        <v>2</v>
      </c>
      <c r="N1311">
        <v>3</v>
      </c>
      <c r="O1311">
        <v>20</v>
      </c>
      <c r="P1311" t="s">
        <v>21</v>
      </c>
      <c r="Q1311" s="1"/>
      <c r="U1311">
        <v>1</v>
      </c>
      <c r="V1311">
        <v>1</v>
      </c>
      <c r="W1311">
        <v>0</v>
      </c>
    </row>
    <row r="1312" spans="1:23" ht="16.5" x14ac:dyDescent="0.3">
      <c r="A1312" t="s">
        <v>1379</v>
      </c>
      <c r="B1312" t="s">
        <v>24</v>
      </c>
      <c r="C1312" t="s">
        <v>25</v>
      </c>
      <c r="D1312" t="s">
        <v>37</v>
      </c>
      <c r="E1312">
        <v>22</v>
      </c>
      <c r="F1312" t="s">
        <v>57</v>
      </c>
      <c r="G1312" t="s">
        <v>38</v>
      </c>
      <c r="H1312" s="1">
        <v>45790</v>
      </c>
      <c r="I1312" s="2">
        <v>0.6</v>
      </c>
      <c r="J1312" t="s">
        <v>64</v>
      </c>
      <c r="K1312" s="3">
        <v>2250</v>
      </c>
      <c r="L1312" t="s">
        <v>30</v>
      </c>
      <c r="M1312">
        <v>4</v>
      </c>
      <c r="N1312">
        <v>3</v>
      </c>
      <c r="O1312">
        <v>35</v>
      </c>
      <c r="P1312" t="s">
        <v>21</v>
      </c>
      <c r="Q1312" s="1"/>
      <c r="U1312">
        <v>1</v>
      </c>
      <c r="V1312">
        <v>1</v>
      </c>
      <c r="W1312">
        <v>0</v>
      </c>
    </row>
    <row r="1313" spans="1:23" ht="16.5" x14ac:dyDescent="0.3">
      <c r="A1313" t="s">
        <v>1380</v>
      </c>
      <c r="B1313" t="s">
        <v>48</v>
      </c>
      <c r="C1313" t="s">
        <v>36</v>
      </c>
      <c r="D1313" t="s">
        <v>26</v>
      </c>
      <c r="E1313">
        <v>31</v>
      </c>
      <c r="F1313" t="s">
        <v>27</v>
      </c>
      <c r="G1313" t="s">
        <v>38</v>
      </c>
      <c r="H1313" s="1">
        <v>44032</v>
      </c>
      <c r="I1313" s="2">
        <v>5.4</v>
      </c>
      <c r="J1313" t="s">
        <v>39</v>
      </c>
      <c r="K1313" s="3">
        <v>8000</v>
      </c>
      <c r="L1313" t="s">
        <v>30</v>
      </c>
      <c r="M1313">
        <v>5</v>
      </c>
      <c r="N1313">
        <v>3</v>
      </c>
      <c r="O1313">
        <v>25</v>
      </c>
      <c r="P1313" t="s">
        <v>21</v>
      </c>
      <c r="Q1313" s="1"/>
      <c r="U1313">
        <v>1</v>
      </c>
      <c r="V1313">
        <v>1</v>
      </c>
      <c r="W1313">
        <v>0</v>
      </c>
    </row>
    <row r="1314" spans="1:23" ht="16.5" x14ac:dyDescent="0.3">
      <c r="A1314" t="s">
        <v>1381</v>
      </c>
      <c r="B1314" t="s">
        <v>55</v>
      </c>
      <c r="C1314" t="s">
        <v>25</v>
      </c>
      <c r="D1314" t="s">
        <v>26</v>
      </c>
      <c r="E1314">
        <v>23</v>
      </c>
      <c r="F1314" t="s">
        <v>57</v>
      </c>
      <c r="G1314" t="s">
        <v>38</v>
      </c>
      <c r="H1314" s="1">
        <v>45649</v>
      </c>
      <c r="I1314" s="2">
        <v>1</v>
      </c>
      <c r="J1314" t="s">
        <v>64</v>
      </c>
      <c r="K1314" s="3">
        <v>4700</v>
      </c>
      <c r="L1314" t="s">
        <v>30</v>
      </c>
      <c r="M1314">
        <v>3</v>
      </c>
      <c r="N1314">
        <v>5</v>
      </c>
      <c r="O1314">
        <v>23</v>
      </c>
      <c r="P1314" t="s">
        <v>21</v>
      </c>
      <c r="Q1314" s="1"/>
      <c r="U1314">
        <v>1</v>
      </c>
      <c r="V1314">
        <v>1</v>
      </c>
      <c r="W1314">
        <v>0</v>
      </c>
    </row>
    <row r="1315" spans="1:23" ht="16.5" x14ac:dyDescent="0.3">
      <c r="A1315" t="s">
        <v>1382</v>
      </c>
      <c r="B1315" t="s">
        <v>35</v>
      </c>
      <c r="C1315" t="s">
        <v>36</v>
      </c>
      <c r="D1315" t="s">
        <v>37</v>
      </c>
      <c r="E1315">
        <v>36</v>
      </c>
      <c r="F1315" t="s">
        <v>46</v>
      </c>
      <c r="G1315" t="s">
        <v>28</v>
      </c>
      <c r="H1315" s="1">
        <v>44492</v>
      </c>
      <c r="I1315" s="2">
        <v>4.2</v>
      </c>
      <c r="J1315" t="s">
        <v>50</v>
      </c>
      <c r="K1315" s="3">
        <v>4750</v>
      </c>
      <c r="L1315" t="s">
        <v>30</v>
      </c>
      <c r="M1315">
        <v>3</v>
      </c>
      <c r="N1315">
        <v>2</v>
      </c>
      <c r="O1315">
        <v>19</v>
      </c>
      <c r="P1315" t="s">
        <v>21</v>
      </c>
      <c r="Q1315" s="1"/>
      <c r="U1315">
        <v>1</v>
      </c>
      <c r="V1315">
        <v>1</v>
      </c>
      <c r="W1315">
        <v>0</v>
      </c>
    </row>
    <row r="1316" spans="1:23" ht="16.5" x14ac:dyDescent="0.3">
      <c r="A1316" t="s">
        <v>1383</v>
      </c>
      <c r="B1316" t="s">
        <v>24</v>
      </c>
      <c r="C1316" t="s">
        <v>87</v>
      </c>
      <c r="D1316" t="s">
        <v>26</v>
      </c>
      <c r="E1316">
        <v>50</v>
      </c>
      <c r="F1316" t="s">
        <v>88</v>
      </c>
      <c r="G1316" t="s">
        <v>38</v>
      </c>
      <c r="H1316" s="1">
        <v>44757</v>
      </c>
      <c r="I1316" s="2">
        <v>3.5</v>
      </c>
      <c r="J1316" t="s">
        <v>50</v>
      </c>
      <c r="K1316" s="3">
        <v>5950</v>
      </c>
      <c r="L1316" t="s">
        <v>58</v>
      </c>
      <c r="M1316">
        <v>3</v>
      </c>
      <c r="N1316">
        <v>3</v>
      </c>
      <c r="O1316">
        <v>28</v>
      </c>
      <c r="P1316" t="s">
        <v>21</v>
      </c>
      <c r="Q1316" s="1"/>
      <c r="U1316">
        <v>1</v>
      </c>
      <c r="V1316">
        <v>1</v>
      </c>
      <c r="W1316">
        <v>0</v>
      </c>
    </row>
    <row r="1317" spans="1:23" ht="16.5" x14ac:dyDescent="0.3">
      <c r="A1317" t="s">
        <v>1384</v>
      </c>
      <c r="B1317" t="s">
        <v>48</v>
      </c>
      <c r="C1317" t="s">
        <v>87</v>
      </c>
      <c r="D1317" t="s">
        <v>37</v>
      </c>
      <c r="E1317">
        <v>45</v>
      </c>
      <c r="F1317" t="s">
        <v>46</v>
      </c>
      <c r="G1317" t="s">
        <v>38</v>
      </c>
      <c r="H1317" s="1">
        <v>43067</v>
      </c>
      <c r="I1317" s="2">
        <v>8.1</v>
      </c>
      <c r="J1317" t="s">
        <v>39</v>
      </c>
      <c r="K1317" s="3">
        <v>13950</v>
      </c>
      <c r="L1317" t="s">
        <v>30</v>
      </c>
      <c r="M1317">
        <v>4</v>
      </c>
      <c r="N1317">
        <v>3</v>
      </c>
      <c r="O1317">
        <v>22</v>
      </c>
      <c r="P1317" t="s">
        <v>21</v>
      </c>
      <c r="Q1317" s="1"/>
      <c r="U1317">
        <v>1</v>
      </c>
      <c r="V1317">
        <v>1</v>
      </c>
      <c r="W1317">
        <v>0</v>
      </c>
    </row>
    <row r="1318" spans="1:23" ht="16.5" x14ac:dyDescent="0.3">
      <c r="A1318" t="s">
        <v>1385</v>
      </c>
      <c r="B1318" t="s">
        <v>35</v>
      </c>
      <c r="C1318" t="s">
        <v>25</v>
      </c>
      <c r="D1318" t="s">
        <v>37</v>
      </c>
      <c r="E1318">
        <v>21</v>
      </c>
      <c r="F1318" t="s">
        <v>57</v>
      </c>
      <c r="G1318" t="s">
        <v>28</v>
      </c>
      <c r="H1318" s="1">
        <v>45993</v>
      </c>
      <c r="I1318" s="2">
        <v>0.1</v>
      </c>
      <c r="J1318" t="s">
        <v>64</v>
      </c>
      <c r="K1318" s="3">
        <v>3150</v>
      </c>
      <c r="L1318" t="s">
        <v>30</v>
      </c>
      <c r="M1318">
        <v>3</v>
      </c>
      <c r="N1318">
        <v>3</v>
      </c>
      <c r="O1318">
        <v>14</v>
      </c>
      <c r="P1318" t="s">
        <v>21</v>
      </c>
      <c r="Q1318" s="1"/>
      <c r="U1318">
        <v>1</v>
      </c>
      <c r="V1318">
        <v>1</v>
      </c>
      <c r="W1318">
        <v>0</v>
      </c>
    </row>
    <row r="1319" spans="1:23" ht="16.5" x14ac:dyDescent="0.3">
      <c r="A1319" t="s">
        <v>1386</v>
      </c>
      <c r="B1319" t="s">
        <v>48</v>
      </c>
      <c r="C1319" t="s">
        <v>25</v>
      </c>
      <c r="D1319" t="s">
        <v>37</v>
      </c>
      <c r="E1319">
        <v>21</v>
      </c>
      <c r="F1319" t="s">
        <v>57</v>
      </c>
      <c r="G1319" t="s">
        <v>38</v>
      </c>
      <c r="H1319" s="1">
        <v>45979</v>
      </c>
      <c r="I1319" s="2">
        <v>0.1</v>
      </c>
      <c r="J1319" t="s">
        <v>64</v>
      </c>
      <c r="K1319" s="3">
        <v>6250</v>
      </c>
      <c r="L1319" t="s">
        <v>30</v>
      </c>
      <c r="M1319">
        <v>3</v>
      </c>
      <c r="N1319">
        <v>3</v>
      </c>
      <c r="O1319">
        <v>25</v>
      </c>
      <c r="P1319" t="s">
        <v>22</v>
      </c>
      <c r="Q1319" s="1">
        <v>46017</v>
      </c>
      <c r="R1319" t="s">
        <v>40</v>
      </c>
      <c r="S1319" t="s">
        <v>92</v>
      </c>
      <c r="T1319" t="s">
        <v>42</v>
      </c>
      <c r="U1319">
        <v>1</v>
      </c>
      <c r="V1319">
        <v>0</v>
      </c>
      <c r="W1319">
        <v>1</v>
      </c>
    </row>
    <row r="1320" spans="1:23" ht="16.5" x14ac:dyDescent="0.3">
      <c r="A1320" t="s">
        <v>1387</v>
      </c>
      <c r="B1320" t="s">
        <v>70</v>
      </c>
      <c r="C1320" t="s">
        <v>25</v>
      </c>
      <c r="D1320" t="s">
        <v>26</v>
      </c>
      <c r="E1320">
        <v>23</v>
      </c>
      <c r="F1320" t="s">
        <v>57</v>
      </c>
      <c r="G1320" t="s">
        <v>38</v>
      </c>
      <c r="H1320" s="1">
        <v>45728</v>
      </c>
      <c r="I1320" s="2">
        <v>0.6</v>
      </c>
      <c r="J1320" t="s">
        <v>64</v>
      </c>
      <c r="K1320" s="3">
        <v>3350</v>
      </c>
      <c r="L1320" t="s">
        <v>58</v>
      </c>
      <c r="M1320">
        <v>5</v>
      </c>
      <c r="N1320">
        <v>5</v>
      </c>
      <c r="O1320">
        <v>13</v>
      </c>
      <c r="P1320" t="s">
        <v>22</v>
      </c>
      <c r="Q1320" s="1">
        <v>45965</v>
      </c>
      <c r="R1320" t="s">
        <v>40</v>
      </c>
      <c r="S1320" t="s">
        <v>182</v>
      </c>
      <c r="T1320" t="s">
        <v>33</v>
      </c>
      <c r="U1320">
        <v>1</v>
      </c>
      <c r="V1320">
        <v>0</v>
      </c>
      <c r="W1320">
        <v>1</v>
      </c>
    </row>
    <row r="1321" spans="1:23" ht="16.5" x14ac:dyDescent="0.3">
      <c r="A1321" t="s">
        <v>1388</v>
      </c>
      <c r="B1321" t="s">
        <v>35</v>
      </c>
      <c r="C1321" t="s">
        <v>25</v>
      </c>
      <c r="D1321" t="s">
        <v>37</v>
      </c>
      <c r="E1321">
        <v>27</v>
      </c>
      <c r="F1321" t="s">
        <v>27</v>
      </c>
      <c r="G1321" t="s">
        <v>38</v>
      </c>
      <c r="H1321" s="1">
        <v>45495</v>
      </c>
      <c r="I1321" s="2">
        <v>1.4</v>
      </c>
      <c r="J1321" t="s">
        <v>29</v>
      </c>
      <c r="K1321" s="3">
        <v>3950</v>
      </c>
      <c r="L1321" t="s">
        <v>30</v>
      </c>
      <c r="M1321">
        <v>3</v>
      </c>
      <c r="N1321">
        <v>3</v>
      </c>
      <c r="O1321">
        <v>37</v>
      </c>
      <c r="P1321" t="s">
        <v>21</v>
      </c>
      <c r="Q1321" s="1"/>
      <c r="U1321">
        <v>1</v>
      </c>
      <c r="V1321">
        <v>1</v>
      </c>
      <c r="W1321">
        <v>0</v>
      </c>
    </row>
    <row r="1322" spans="1:23" ht="16.5" x14ac:dyDescent="0.3">
      <c r="A1322" t="s">
        <v>1389</v>
      </c>
      <c r="B1322" t="s">
        <v>24</v>
      </c>
      <c r="C1322" t="s">
        <v>36</v>
      </c>
      <c r="D1322" t="s">
        <v>37</v>
      </c>
      <c r="E1322">
        <v>35</v>
      </c>
      <c r="F1322" t="s">
        <v>27</v>
      </c>
      <c r="G1322" t="s">
        <v>28</v>
      </c>
      <c r="H1322" s="1">
        <v>43318</v>
      </c>
      <c r="I1322" s="2">
        <v>7.4</v>
      </c>
      <c r="J1322" t="s">
        <v>39</v>
      </c>
      <c r="K1322" s="3">
        <v>3650</v>
      </c>
      <c r="L1322" t="s">
        <v>30</v>
      </c>
      <c r="M1322">
        <v>3</v>
      </c>
      <c r="N1322">
        <v>4</v>
      </c>
      <c r="O1322">
        <v>21</v>
      </c>
      <c r="P1322" t="s">
        <v>21</v>
      </c>
      <c r="Q1322" s="1"/>
      <c r="U1322">
        <v>1</v>
      </c>
      <c r="V1322">
        <v>1</v>
      </c>
      <c r="W1322">
        <v>0</v>
      </c>
    </row>
    <row r="1323" spans="1:23" ht="16.5" x14ac:dyDescent="0.3">
      <c r="A1323" t="s">
        <v>1390</v>
      </c>
      <c r="B1323" t="s">
        <v>24</v>
      </c>
      <c r="C1323" t="s">
        <v>25</v>
      </c>
      <c r="D1323" t="s">
        <v>26</v>
      </c>
      <c r="E1323">
        <v>32</v>
      </c>
      <c r="F1323" t="s">
        <v>27</v>
      </c>
      <c r="G1323" t="s">
        <v>38</v>
      </c>
      <c r="H1323" s="1">
        <v>43149</v>
      </c>
      <c r="I1323" s="2">
        <v>7.9</v>
      </c>
      <c r="J1323" t="s">
        <v>39</v>
      </c>
      <c r="K1323" s="3">
        <v>3800</v>
      </c>
      <c r="L1323" t="s">
        <v>30</v>
      </c>
      <c r="M1323">
        <v>4</v>
      </c>
      <c r="N1323">
        <v>3</v>
      </c>
      <c r="O1323">
        <v>15</v>
      </c>
      <c r="P1323" t="s">
        <v>21</v>
      </c>
      <c r="Q1323" s="1"/>
      <c r="U1323">
        <v>1</v>
      </c>
      <c r="V1323">
        <v>1</v>
      </c>
      <c r="W1323">
        <v>0</v>
      </c>
    </row>
    <row r="1324" spans="1:23" ht="16.5" x14ac:dyDescent="0.3">
      <c r="A1324" t="s">
        <v>1391</v>
      </c>
      <c r="B1324" t="s">
        <v>35</v>
      </c>
      <c r="C1324" t="s">
        <v>36</v>
      </c>
      <c r="D1324" t="s">
        <v>26</v>
      </c>
      <c r="E1324">
        <v>35</v>
      </c>
      <c r="F1324" t="s">
        <v>27</v>
      </c>
      <c r="G1324" t="s">
        <v>38</v>
      </c>
      <c r="H1324" s="1">
        <v>45046</v>
      </c>
      <c r="I1324" s="2">
        <v>2</v>
      </c>
      <c r="J1324" t="s">
        <v>29</v>
      </c>
      <c r="K1324" s="3">
        <v>4400</v>
      </c>
      <c r="L1324" t="s">
        <v>30</v>
      </c>
      <c r="M1324">
        <v>5</v>
      </c>
      <c r="N1324">
        <v>2</v>
      </c>
      <c r="O1324">
        <v>11</v>
      </c>
      <c r="P1324" t="s">
        <v>22</v>
      </c>
      <c r="Q1324" s="1">
        <v>45775</v>
      </c>
      <c r="R1324" t="s">
        <v>40</v>
      </c>
      <c r="S1324" t="s">
        <v>153</v>
      </c>
      <c r="T1324" t="s">
        <v>473</v>
      </c>
      <c r="U1324">
        <v>1</v>
      </c>
      <c r="V1324">
        <v>0</v>
      </c>
      <c r="W1324">
        <v>1</v>
      </c>
    </row>
    <row r="1325" spans="1:23" ht="16.5" x14ac:dyDescent="0.3">
      <c r="A1325" t="s">
        <v>1392</v>
      </c>
      <c r="B1325" t="s">
        <v>24</v>
      </c>
      <c r="C1325" t="s">
        <v>25</v>
      </c>
      <c r="D1325" t="s">
        <v>37</v>
      </c>
      <c r="E1325">
        <v>24</v>
      </c>
      <c r="F1325" t="s">
        <v>57</v>
      </c>
      <c r="G1325" t="s">
        <v>38</v>
      </c>
      <c r="H1325" s="1">
        <v>45790</v>
      </c>
      <c r="I1325" s="2">
        <v>0.6</v>
      </c>
      <c r="J1325" t="s">
        <v>64</v>
      </c>
      <c r="K1325" s="3">
        <v>2400</v>
      </c>
      <c r="L1325" t="s">
        <v>30</v>
      </c>
      <c r="M1325">
        <v>3</v>
      </c>
      <c r="N1325">
        <v>3</v>
      </c>
      <c r="O1325">
        <v>7</v>
      </c>
      <c r="P1325" t="s">
        <v>21</v>
      </c>
      <c r="Q1325" s="1"/>
      <c r="U1325">
        <v>1</v>
      </c>
      <c r="V1325">
        <v>1</v>
      </c>
      <c r="W1325">
        <v>0</v>
      </c>
    </row>
    <row r="1326" spans="1:23" ht="16.5" x14ac:dyDescent="0.3">
      <c r="A1326" t="s">
        <v>1393</v>
      </c>
      <c r="B1326" t="s">
        <v>24</v>
      </c>
      <c r="C1326" t="s">
        <v>36</v>
      </c>
      <c r="D1326" t="s">
        <v>26</v>
      </c>
      <c r="E1326">
        <v>39</v>
      </c>
      <c r="F1326" t="s">
        <v>46</v>
      </c>
      <c r="G1326" t="s">
        <v>38</v>
      </c>
      <c r="H1326" s="1">
        <v>40920</v>
      </c>
      <c r="I1326" s="2">
        <v>14</v>
      </c>
      <c r="J1326" t="s">
        <v>39</v>
      </c>
      <c r="K1326" s="3">
        <v>4100</v>
      </c>
      <c r="L1326" t="s">
        <v>30</v>
      </c>
      <c r="M1326">
        <v>5</v>
      </c>
      <c r="N1326">
        <v>3</v>
      </c>
      <c r="O1326">
        <v>9</v>
      </c>
      <c r="P1326" t="s">
        <v>21</v>
      </c>
      <c r="Q1326" s="1"/>
      <c r="U1326">
        <v>1</v>
      </c>
      <c r="V1326">
        <v>1</v>
      </c>
      <c r="W1326">
        <v>0</v>
      </c>
    </row>
    <row r="1327" spans="1:23" ht="16.5" x14ac:dyDescent="0.3">
      <c r="A1327" t="s">
        <v>1394</v>
      </c>
      <c r="B1327" t="s">
        <v>70</v>
      </c>
      <c r="C1327" t="s">
        <v>36</v>
      </c>
      <c r="D1327" t="s">
        <v>37</v>
      </c>
      <c r="E1327">
        <v>24</v>
      </c>
      <c r="F1327" t="s">
        <v>57</v>
      </c>
      <c r="G1327" t="s">
        <v>38</v>
      </c>
      <c r="H1327" s="1">
        <v>45881</v>
      </c>
      <c r="I1327" s="2">
        <v>0.4</v>
      </c>
      <c r="J1327" t="s">
        <v>64</v>
      </c>
      <c r="K1327" s="3">
        <v>5650</v>
      </c>
      <c r="L1327" t="s">
        <v>30</v>
      </c>
      <c r="M1327">
        <v>3</v>
      </c>
      <c r="N1327">
        <v>3</v>
      </c>
      <c r="O1327">
        <v>27</v>
      </c>
      <c r="P1327" t="s">
        <v>21</v>
      </c>
      <c r="Q1327" s="1"/>
      <c r="U1327">
        <v>1</v>
      </c>
      <c r="V1327">
        <v>1</v>
      </c>
      <c r="W1327">
        <v>0</v>
      </c>
    </row>
    <row r="1328" spans="1:23" ht="16.5" x14ac:dyDescent="0.3">
      <c r="A1328" t="s">
        <v>1395</v>
      </c>
      <c r="B1328" t="s">
        <v>44</v>
      </c>
      <c r="C1328" t="s">
        <v>25</v>
      </c>
      <c r="D1328" t="s">
        <v>26</v>
      </c>
      <c r="E1328">
        <v>29</v>
      </c>
      <c r="F1328" t="s">
        <v>27</v>
      </c>
      <c r="G1328" t="s">
        <v>28</v>
      </c>
      <c r="H1328" s="1">
        <v>43797</v>
      </c>
      <c r="I1328" s="2">
        <v>6.1</v>
      </c>
      <c r="J1328" t="s">
        <v>39</v>
      </c>
      <c r="K1328" s="3">
        <v>4450</v>
      </c>
      <c r="L1328" t="s">
        <v>30</v>
      </c>
      <c r="M1328">
        <v>2</v>
      </c>
      <c r="N1328">
        <v>2</v>
      </c>
      <c r="O1328">
        <v>43</v>
      </c>
      <c r="P1328" t="s">
        <v>21</v>
      </c>
      <c r="Q1328" s="1"/>
      <c r="U1328">
        <v>1</v>
      </c>
      <c r="V1328">
        <v>1</v>
      </c>
      <c r="W1328">
        <v>0</v>
      </c>
    </row>
    <row r="1329" spans="1:23" ht="16.5" x14ac:dyDescent="0.3">
      <c r="A1329" t="s">
        <v>1396</v>
      </c>
      <c r="B1329" t="s">
        <v>35</v>
      </c>
      <c r="C1329" t="s">
        <v>87</v>
      </c>
      <c r="D1329" t="s">
        <v>26</v>
      </c>
      <c r="E1329">
        <v>49</v>
      </c>
      <c r="F1329" t="s">
        <v>88</v>
      </c>
      <c r="G1329" t="s">
        <v>28</v>
      </c>
      <c r="H1329" s="1">
        <v>41889</v>
      </c>
      <c r="I1329" s="2">
        <v>11.3</v>
      </c>
      <c r="J1329" t="s">
        <v>39</v>
      </c>
      <c r="K1329" s="3">
        <v>8200</v>
      </c>
      <c r="L1329" t="s">
        <v>30</v>
      </c>
      <c r="M1329">
        <v>4</v>
      </c>
      <c r="N1329">
        <v>3</v>
      </c>
      <c r="O1329">
        <v>23</v>
      </c>
      <c r="P1329" t="s">
        <v>21</v>
      </c>
      <c r="Q1329" s="1"/>
      <c r="U1329">
        <v>1</v>
      </c>
      <c r="V1329">
        <v>1</v>
      </c>
      <c r="W1329">
        <v>0</v>
      </c>
    </row>
    <row r="1330" spans="1:23" ht="16.5" x14ac:dyDescent="0.3">
      <c r="A1330" t="s">
        <v>1397</v>
      </c>
      <c r="B1330" t="s">
        <v>73</v>
      </c>
      <c r="C1330" t="s">
        <v>45</v>
      </c>
      <c r="D1330" t="s">
        <v>26</v>
      </c>
      <c r="E1330">
        <v>42</v>
      </c>
      <c r="F1330" t="s">
        <v>46</v>
      </c>
      <c r="G1330" t="s">
        <v>38</v>
      </c>
      <c r="H1330" s="1">
        <v>40637</v>
      </c>
      <c r="I1330" s="2">
        <v>14.5</v>
      </c>
      <c r="J1330" t="s">
        <v>39</v>
      </c>
      <c r="K1330" s="3">
        <v>6750</v>
      </c>
      <c r="L1330" t="s">
        <v>30</v>
      </c>
      <c r="M1330">
        <v>3</v>
      </c>
      <c r="N1330">
        <v>5</v>
      </c>
      <c r="O1330">
        <v>35</v>
      </c>
      <c r="P1330" t="s">
        <v>22</v>
      </c>
      <c r="Q1330" s="1">
        <v>45948</v>
      </c>
      <c r="R1330" t="s">
        <v>40</v>
      </c>
      <c r="S1330" t="s">
        <v>206</v>
      </c>
      <c r="T1330" t="s">
        <v>42</v>
      </c>
      <c r="U1330">
        <v>1</v>
      </c>
      <c r="V1330">
        <v>0</v>
      </c>
      <c r="W1330">
        <v>1</v>
      </c>
    </row>
    <row r="1331" spans="1:23" ht="16.5" x14ac:dyDescent="0.3">
      <c r="A1331" t="s">
        <v>1398</v>
      </c>
      <c r="B1331" t="s">
        <v>35</v>
      </c>
      <c r="C1331" t="s">
        <v>36</v>
      </c>
      <c r="D1331" t="s">
        <v>37</v>
      </c>
      <c r="E1331">
        <v>21</v>
      </c>
      <c r="F1331" t="s">
        <v>57</v>
      </c>
      <c r="G1331" t="s">
        <v>38</v>
      </c>
      <c r="H1331" s="1">
        <v>46001</v>
      </c>
      <c r="I1331" s="2">
        <v>0.1</v>
      </c>
      <c r="J1331" t="s">
        <v>64</v>
      </c>
      <c r="K1331" s="3">
        <v>4900</v>
      </c>
      <c r="L1331" t="s">
        <v>30</v>
      </c>
      <c r="M1331">
        <v>3</v>
      </c>
      <c r="N1331">
        <v>3</v>
      </c>
      <c r="O1331">
        <v>27</v>
      </c>
      <c r="P1331" t="s">
        <v>21</v>
      </c>
      <c r="Q1331" s="1"/>
      <c r="U1331">
        <v>1</v>
      </c>
      <c r="V1331">
        <v>1</v>
      </c>
      <c r="W1331">
        <v>0</v>
      </c>
    </row>
    <row r="1332" spans="1:23" ht="16.5" x14ac:dyDescent="0.3">
      <c r="A1332" t="s">
        <v>1399</v>
      </c>
      <c r="B1332" t="s">
        <v>48</v>
      </c>
      <c r="C1332" t="s">
        <v>25</v>
      </c>
      <c r="D1332" t="s">
        <v>37</v>
      </c>
      <c r="E1332">
        <v>21</v>
      </c>
      <c r="F1332" t="s">
        <v>57</v>
      </c>
      <c r="G1332" t="s">
        <v>38</v>
      </c>
      <c r="H1332" s="1">
        <v>45941</v>
      </c>
      <c r="I1332" s="2">
        <v>0.2</v>
      </c>
      <c r="J1332" t="s">
        <v>64</v>
      </c>
      <c r="K1332" s="3">
        <v>6900</v>
      </c>
      <c r="L1332" t="s">
        <v>30</v>
      </c>
      <c r="M1332">
        <v>3</v>
      </c>
      <c r="N1332">
        <v>4</v>
      </c>
      <c r="O1332">
        <v>32</v>
      </c>
      <c r="P1332" t="s">
        <v>21</v>
      </c>
      <c r="Q1332" s="1"/>
      <c r="U1332">
        <v>1</v>
      </c>
      <c r="V1332">
        <v>1</v>
      </c>
      <c r="W1332">
        <v>0</v>
      </c>
    </row>
    <row r="1333" spans="1:23" ht="16.5" x14ac:dyDescent="0.3">
      <c r="A1333" t="s">
        <v>1400</v>
      </c>
      <c r="B1333" t="s">
        <v>35</v>
      </c>
      <c r="C1333" t="s">
        <v>25</v>
      </c>
      <c r="D1333" t="s">
        <v>26</v>
      </c>
      <c r="E1333">
        <v>21</v>
      </c>
      <c r="F1333" t="s">
        <v>57</v>
      </c>
      <c r="G1333" t="s">
        <v>28</v>
      </c>
      <c r="H1333" s="1">
        <v>45943</v>
      </c>
      <c r="I1333" s="2">
        <v>0.2</v>
      </c>
      <c r="J1333" t="s">
        <v>64</v>
      </c>
      <c r="K1333" s="3">
        <v>4500</v>
      </c>
      <c r="L1333" t="s">
        <v>58</v>
      </c>
      <c r="M1333">
        <v>4</v>
      </c>
      <c r="N1333">
        <v>4</v>
      </c>
      <c r="O1333">
        <v>43</v>
      </c>
      <c r="P1333" t="s">
        <v>21</v>
      </c>
      <c r="Q1333" s="1"/>
      <c r="U1333">
        <v>1</v>
      </c>
      <c r="V1333">
        <v>1</v>
      </c>
      <c r="W1333">
        <v>0</v>
      </c>
    </row>
    <row r="1334" spans="1:23" ht="16.5" x14ac:dyDescent="0.3">
      <c r="A1334" t="s">
        <v>1401</v>
      </c>
      <c r="B1334" t="s">
        <v>24</v>
      </c>
      <c r="C1334" t="s">
        <v>25</v>
      </c>
      <c r="D1334" t="s">
        <v>26</v>
      </c>
      <c r="E1334">
        <v>21</v>
      </c>
      <c r="F1334" t="s">
        <v>57</v>
      </c>
      <c r="G1334" t="s">
        <v>38</v>
      </c>
      <c r="H1334" s="1">
        <v>45913</v>
      </c>
      <c r="I1334" s="2">
        <v>0.2</v>
      </c>
      <c r="J1334" t="s">
        <v>64</v>
      </c>
      <c r="K1334" s="3">
        <v>2900</v>
      </c>
      <c r="L1334" t="s">
        <v>30</v>
      </c>
      <c r="M1334">
        <v>4</v>
      </c>
      <c r="N1334">
        <v>3</v>
      </c>
      <c r="O1334">
        <v>24</v>
      </c>
      <c r="P1334" t="s">
        <v>22</v>
      </c>
      <c r="Q1334" s="1">
        <v>45980</v>
      </c>
      <c r="R1334" t="s">
        <v>40</v>
      </c>
      <c r="S1334" t="s">
        <v>182</v>
      </c>
      <c r="T1334" t="s">
        <v>60</v>
      </c>
      <c r="U1334">
        <v>1</v>
      </c>
      <c r="V1334">
        <v>0</v>
      </c>
      <c r="W1334">
        <v>1</v>
      </c>
    </row>
    <row r="1335" spans="1:23" ht="16.5" x14ac:dyDescent="0.3">
      <c r="A1335" t="s">
        <v>1402</v>
      </c>
      <c r="B1335" t="s">
        <v>70</v>
      </c>
      <c r="C1335" t="s">
        <v>25</v>
      </c>
      <c r="D1335" t="s">
        <v>26</v>
      </c>
      <c r="E1335">
        <v>21</v>
      </c>
      <c r="F1335" t="s">
        <v>57</v>
      </c>
      <c r="G1335" t="s">
        <v>38</v>
      </c>
      <c r="H1335" s="1">
        <v>45958</v>
      </c>
      <c r="I1335" s="2">
        <v>0.1</v>
      </c>
      <c r="J1335" t="s">
        <v>64</v>
      </c>
      <c r="K1335" s="3">
        <v>4250</v>
      </c>
      <c r="L1335" t="s">
        <v>58</v>
      </c>
      <c r="M1335">
        <v>2</v>
      </c>
      <c r="N1335">
        <v>4</v>
      </c>
      <c r="O1335">
        <v>13</v>
      </c>
      <c r="P1335" t="s">
        <v>22</v>
      </c>
      <c r="Q1335" s="1">
        <v>45990</v>
      </c>
      <c r="R1335" t="s">
        <v>40</v>
      </c>
      <c r="S1335" t="s">
        <v>182</v>
      </c>
      <c r="T1335" t="s">
        <v>60</v>
      </c>
      <c r="U1335">
        <v>1</v>
      </c>
      <c r="V1335">
        <v>0</v>
      </c>
      <c r="W1335">
        <v>1</v>
      </c>
    </row>
    <row r="1336" spans="1:23" ht="16.5" x14ac:dyDescent="0.3">
      <c r="A1336" t="s">
        <v>1403</v>
      </c>
      <c r="B1336" t="s">
        <v>73</v>
      </c>
      <c r="C1336" t="s">
        <v>45</v>
      </c>
      <c r="D1336" t="s">
        <v>37</v>
      </c>
      <c r="E1336">
        <v>39</v>
      </c>
      <c r="F1336" t="s">
        <v>46</v>
      </c>
      <c r="G1336" t="s">
        <v>52</v>
      </c>
      <c r="H1336" s="1">
        <v>41012</v>
      </c>
      <c r="I1336" s="2">
        <v>13.7</v>
      </c>
      <c r="J1336" t="s">
        <v>39</v>
      </c>
      <c r="K1336" s="3">
        <v>8100</v>
      </c>
      <c r="L1336" t="s">
        <v>58</v>
      </c>
      <c r="M1336">
        <v>3</v>
      </c>
      <c r="N1336">
        <v>3</v>
      </c>
      <c r="O1336">
        <v>29</v>
      </c>
      <c r="P1336" t="s">
        <v>21</v>
      </c>
      <c r="Q1336" s="1"/>
      <c r="U1336">
        <v>1</v>
      </c>
      <c r="V1336">
        <v>1</v>
      </c>
      <c r="W1336">
        <v>0</v>
      </c>
    </row>
    <row r="1337" spans="1:23" ht="16.5" x14ac:dyDescent="0.3">
      <c r="A1337" t="s">
        <v>1404</v>
      </c>
      <c r="B1337" t="s">
        <v>35</v>
      </c>
      <c r="C1337" t="s">
        <v>36</v>
      </c>
      <c r="D1337" t="s">
        <v>37</v>
      </c>
      <c r="E1337">
        <v>25</v>
      </c>
      <c r="F1337" t="s">
        <v>57</v>
      </c>
      <c r="G1337" t="s">
        <v>28</v>
      </c>
      <c r="H1337" s="1">
        <v>45138</v>
      </c>
      <c r="I1337" s="2">
        <v>2.4</v>
      </c>
      <c r="J1337" t="s">
        <v>29</v>
      </c>
      <c r="K1337" s="3">
        <v>3450</v>
      </c>
      <c r="L1337" t="s">
        <v>30</v>
      </c>
      <c r="M1337">
        <v>3</v>
      </c>
      <c r="N1337">
        <v>3</v>
      </c>
      <c r="O1337">
        <v>15</v>
      </c>
      <c r="P1337" t="s">
        <v>21</v>
      </c>
      <c r="Q1337" s="1"/>
      <c r="U1337">
        <v>1</v>
      </c>
      <c r="V1337">
        <v>1</v>
      </c>
      <c r="W1337">
        <v>0</v>
      </c>
    </row>
    <row r="1338" spans="1:23" ht="16.5" x14ac:dyDescent="0.3">
      <c r="A1338" t="s">
        <v>1405</v>
      </c>
      <c r="B1338" t="s">
        <v>35</v>
      </c>
      <c r="C1338" t="s">
        <v>25</v>
      </c>
      <c r="D1338" t="s">
        <v>37</v>
      </c>
      <c r="E1338">
        <v>24</v>
      </c>
      <c r="F1338" t="s">
        <v>57</v>
      </c>
      <c r="G1338" t="s">
        <v>38</v>
      </c>
      <c r="H1338" s="1">
        <v>45362</v>
      </c>
      <c r="I1338" s="2">
        <v>1.8</v>
      </c>
      <c r="J1338" t="s">
        <v>29</v>
      </c>
      <c r="K1338" s="3">
        <v>3650</v>
      </c>
      <c r="L1338" t="s">
        <v>30</v>
      </c>
      <c r="M1338">
        <v>4</v>
      </c>
      <c r="N1338">
        <v>3</v>
      </c>
      <c r="O1338">
        <v>24</v>
      </c>
      <c r="P1338" t="s">
        <v>21</v>
      </c>
      <c r="Q1338" s="1"/>
      <c r="U1338">
        <v>1</v>
      </c>
      <c r="V1338">
        <v>1</v>
      </c>
      <c r="W1338">
        <v>0</v>
      </c>
    </row>
    <row r="1339" spans="1:23" ht="16.5" x14ac:dyDescent="0.3">
      <c r="A1339" t="s">
        <v>1406</v>
      </c>
      <c r="B1339" t="s">
        <v>73</v>
      </c>
      <c r="C1339" t="s">
        <v>25</v>
      </c>
      <c r="D1339" t="s">
        <v>26</v>
      </c>
      <c r="E1339">
        <v>28</v>
      </c>
      <c r="F1339" t="s">
        <v>27</v>
      </c>
      <c r="G1339" t="s">
        <v>38</v>
      </c>
      <c r="H1339" s="1">
        <v>45504</v>
      </c>
      <c r="I1339" s="2">
        <v>1.4</v>
      </c>
      <c r="J1339" t="s">
        <v>29</v>
      </c>
      <c r="K1339" s="3">
        <v>3600</v>
      </c>
      <c r="L1339" t="s">
        <v>58</v>
      </c>
      <c r="M1339">
        <v>3</v>
      </c>
      <c r="N1339">
        <v>3</v>
      </c>
      <c r="O1339">
        <v>16</v>
      </c>
      <c r="P1339" t="s">
        <v>21</v>
      </c>
      <c r="Q1339" s="1"/>
      <c r="U1339">
        <v>1</v>
      </c>
      <c r="V1339">
        <v>1</v>
      </c>
      <c r="W1339">
        <v>0</v>
      </c>
    </row>
    <row r="1340" spans="1:23" ht="16.5" x14ac:dyDescent="0.3">
      <c r="A1340" t="s">
        <v>1407</v>
      </c>
      <c r="B1340" t="s">
        <v>35</v>
      </c>
      <c r="C1340" t="s">
        <v>36</v>
      </c>
      <c r="D1340" t="s">
        <v>26</v>
      </c>
      <c r="E1340">
        <v>31</v>
      </c>
      <c r="F1340" t="s">
        <v>27</v>
      </c>
      <c r="G1340" t="s">
        <v>38</v>
      </c>
      <c r="H1340" s="1">
        <v>43343</v>
      </c>
      <c r="I1340" s="2">
        <v>7.3</v>
      </c>
      <c r="J1340" t="s">
        <v>39</v>
      </c>
      <c r="K1340" s="3">
        <v>4900</v>
      </c>
      <c r="L1340" t="s">
        <v>58</v>
      </c>
      <c r="M1340">
        <v>3</v>
      </c>
      <c r="N1340">
        <v>4</v>
      </c>
      <c r="O1340">
        <v>37</v>
      </c>
      <c r="P1340" t="s">
        <v>21</v>
      </c>
      <c r="Q1340" s="1"/>
      <c r="U1340">
        <v>1</v>
      </c>
      <c r="V1340">
        <v>1</v>
      </c>
      <c r="W1340">
        <v>0</v>
      </c>
    </row>
    <row r="1341" spans="1:23" ht="16.5" x14ac:dyDescent="0.3">
      <c r="A1341" t="s">
        <v>1408</v>
      </c>
      <c r="B1341" t="s">
        <v>70</v>
      </c>
      <c r="C1341" t="s">
        <v>45</v>
      </c>
      <c r="D1341" t="s">
        <v>37</v>
      </c>
      <c r="E1341">
        <v>38</v>
      </c>
      <c r="F1341" t="s">
        <v>46</v>
      </c>
      <c r="G1341" t="s">
        <v>38</v>
      </c>
      <c r="H1341" s="1">
        <v>43391</v>
      </c>
      <c r="I1341" s="2">
        <v>7.2</v>
      </c>
      <c r="J1341" t="s">
        <v>39</v>
      </c>
      <c r="K1341" s="3">
        <v>8100</v>
      </c>
      <c r="L1341" t="s">
        <v>30</v>
      </c>
      <c r="M1341">
        <v>3</v>
      </c>
      <c r="N1341">
        <v>3</v>
      </c>
      <c r="O1341">
        <v>42</v>
      </c>
      <c r="P1341" t="s">
        <v>21</v>
      </c>
      <c r="Q1341" s="1"/>
      <c r="U1341">
        <v>1</v>
      </c>
      <c r="V1341">
        <v>1</v>
      </c>
      <c r="W1341">
        <v>0</v>
      </c>
    </row>
    <row r="1342" spans="1:23" ht="16.5" x14ac:dyDescent="0.3">
      <c r="A1342" t="s">
        <v>1409</v>
      </c>
      <c r="B1342" t="s">
        <v>35</v>
      </c>
      <c r="C1342" t="s">
        <v>36</v>
      </c>
      <c r="D1342" t="s">
        <v>37</v>
      </c>
      <c r="E1342">
        <v>39</v>
      </c>
      <c r="F1342" t="s">
        <v>46</v>
      </c>
      <c r="G1342" t="s">
        <v>38</v>
      </c>
      <c r="H1342" s="1">
        <v>45057</v>
      </c>
      <c r="I1342" s="2">
        <v>2.6</v>
      </c>
      <c r="J1342" t="s">
        <v>29</v>
      </c>
      <c r="K1342" s="3">
        <v>4650</v>
      </c>
      <c r="L1342" t="s">
        <v>30</v>
      </c>
      <c r="M1342">
        <v>2</v>
      </c>
      <c r="N1342">
        <v>4</v>
      </c>
      <c r="O1342">
        <v>20</v>
      </c>
      <c r="P1342" t="s">
        <v>21</v>
      </c>
      <c r="Q1342" s="1"/>
      <c r="U1342">
        <v>1</v>
      </c>
      <c r="V1342">
        <v>1</v>
      </c>
      <c r="W1342">
        <v>0</v>
      </c>
    </row>
    <row r="1343" spans="1:23" ht="16.5" x14ac:dyDescent="0.3">
      <c r="A1343" t="s">
        <v>1410</v>
      </c>
      <c r="B1343" t="s">
        <v>35</v>
      </c>
      <c r="C1343" t="s">
        <v>25</v>
      </c>
      <c r="D1343" t="s">
        <v>26</v>
      </c>
      <c r="E1343">
        <v>33</v>
      </c>
      <c r="F1343" t="s">
        <v>27</v>
      </c>
      <c r="G1343" t="s">
        <v>38</v>
      </c>
      <c r="H1343" s="1">
        <v>43927</v>
      </c>
      <c r="I1343" s="2">
        <v>4.8</v>
      </c>
      <c r="J1343" t="s">
        <v>50</v>
      </c>
      <c r="K1343" s="3">
        <v>3250</v>
      </c>
      <c r="L1343" t="s">
        <v>58</v>
      </c>
      <c r="M1343">
        <v>2</v>
      </c>
      <c r="N1343">
        <v>3</v>
      </c>
      <c r="O1343">
        <v>12</v>
      </c>
      <c r="P1343" t="s">
        <v>22</v>
      </c>
      <c r="Q1343" s="1">
        <v>45665</v>
      </c>
      <c r="R1343" t="s">
        <v>40</v>
      </c>
      <c r="S1343" t="s">
        <v>107</v>
      </c>
      <c r="T1343" t="s">
        <v>60</v>
      </c>
      <c r="U1343">
        <v>1</v>
      </c>
      <c r="V1343">
        <v>0</v>
      </c>
      <c r="W1343">
        <v>1</v>
      </c>
    </row>
    <row r="1344" spans="1:23" ht="16.5" x14ac:dyDescent="0.3">
      <c r="A1344" t="s">
        <v>1411</v>
      </c>
      <c r="B1344" t="s">
        <v>24</v>
      </c>
      <c r="C1344" t="s">
        <v>87</v>
      </c>
      <c r="D1344" t="s">
        <v>37</v>
      </c>
      <c r="E1344">
        <v>48</v>
      </c>
      <c r="F1344" t="s">
        <v>88</v>
      </c>
      <c r="G1344" t="s">
        <v>38</v>
      </c>
      <c r="H1344" s="1">
        <v>43248</v>
      </c>
      <c r="I1344" s="2">
        <v>7.6</v>
      </c>
      <c r="J1344" t="s">
        <v>39</v>
      </c>
      <c r="K1344" s="3">
        <v>7050</v>
      </c>
      <c r="L1344" t="s">
        <v>30</v>
      </c>
      <c r="M1344">
        <v>1</v>
      </c>
      <c r="N1344">
        <v>3</v>
      </c>
      <c r="O1344">
        <v>20</v>
      </c>
      <c r="P1344" t="s">
        <v>21</v>
      </c>
      <c r="Q1344" s="1"/>
      <c r="U1344">
        <v>1</v>
      </c>
      <c r="V1344">
        <v>1</v>
      </c>
      <c r="W1344">
        <v>0</v>
      </c>
    </row>
    <row r="1345" spans="1:23" ht="16.5" x14ac:dyDescent="0.3">
      <c r="A1345" t="s">
        <v>1412</v>
      </c>
      <c r="B1345" t="s">
        <v>70</v>
      </c>
      <c r="C1345" t="s">
        <v>87</v>
      </c>
      <c r="D1345" t="s">
        <v>37</v>
      </c>
      <c r="E1345">
        <v>41</v>
      </c>
      <c r="F1345" t="s">
        <v>46</v>
      </c>
      <c r="G1345" t="s">
        <v>38</v>
      </c>
      <c r="H1345" s="1">
        <v>44948</v>
      </c>
      <c r="I1345" s="2">
        <v>2.9</v>
      </c>
      <c r="J1345" t="s">
        <v>29</v>
      </c>
      <c r="K1345" s="3">
        <v>11700</v>
      </c>
      <c r="L1345" t="s">
        <v>30</v>
      </c>
      <c r="M1345">
        <v>1</v>
      </c>
      <c r="N1345">
        <v>3</v>
      </c>
      <c r="O1345">
        <v>14</v>
      </c>
      <c r="P1345" t="s">
        <v>21</v>
      </c>
      <c r="Q1345" s="1"/>
      <c r="U1345">
        <v>1</v>
      </c>
      <c r="V1345">
        <v>1</v>
      </c>
      <c r="W1345">
        <v>0</v>
      </c>
    </row>
    <row r="1346" spans="1:23" ht="16.5" x14ac:dyDescent="0.3">
      <c r="A1346" t="s">
        <v>1413</v>
      </c>
      <c r="B1346" t="s">
        <v>24</v>
      </c>
      <c r="C1346" t="s">
        <v>87</v>
      </c>
      <c r="D1346" t="s">
        <v>37</v>
      </c>
      <c r="E1346">
        <v>35</v>
      </c>
      <c r="F1346" t="s">
        <v>27</v>
      </c>
      <c r="G1346" t="s">
        <v>52</v>
      </c>
      <c r="H1346" s="1">
        <v>44390</v>
      </c>
      <c r="I1346" s="2">
        <v>4.5</v>
      </c>
      <c r="J1346" t="s">
        <v>50</v>
      </c>
      <c r="K1346" s="3">
        <v>7950</v>
      </c>
      <c r="L1346" t="s">
        <v>30</v>
      </c>
      <c r="M1346">
        <v>5</v>
      </c>
      <c r="N1346">
        <v>3</v>
      </c>
      <c r="O1346">
        <v>34</v>
      </c>
      <c r="P1346" t="s">
        <v>21</v>
      </c>
      <c r="Q1346" s="1"/>
      <c r="U1346">
        <v>1</v>
      </c>
      <c r="V1346">
        <v>1</v>
      </c>
      <c r="W1346">
        <v>0</v>
      </c>
    </row>
    <row r="1347" spans="1:23" ht="16.5" x14ac:dyDescent="0.3">
      <c r="A1347" t="s">
        <v>1414</v>
      </c>
      <c r="B1347" t="s">
        <v>70</v>
      </c>
      <c r="C1347" t="s">
        <v>87</v>
      </c>
      <c r="D1347" t="s">
        <v>37</v>
      </c>
      <c r="E1347">
        <v>34</v>
      </c>
      <c r="F1347" t="s">
        <v>27</v>
      </c>
      <c r="G1347" t="s">
        <v>38</v>
      </c>
      <c r="H1347" s="1">
        <v>44510</v>
      </c>
      <c r="I1347" s="2">
        <v>4.0999999999999996</v>
      </c>
      <c r="J1347" t="s">
        <v>50</v>
      </c>
      <c r="K1347" s="3">
        <v>10500</v>
      </c>
      <c r="L1347" t="s">
        <v>58</v>
      </c>
      <c r="M1347">
        <v>2</v>
      </c>
      <c r="N1347">
        <v>3</v>
      </c>
      <c r="O1347">
        <v>13</v>
      </c>
      <c r="P1347" t="s">
        <v>21</v>
      </c>
      <c r="Q1347" s="1"/>
      <c r="U1347">
        <v>1</v>
      </c>
      <c r="V1347">
        <v>1</v>
      </c>
      <c r="W1347">
        <v>0</v>
      </c>
    </row>
    <row r="1348" spans="1:23" ht="16.5" x14ac:dyDescent="0.3">
      <c r="A1348" t="s">
        <v>1415</v>
      </c>
      <c r="B1348" t="s">
        <v>24</v>
      </c>
      <c r="C1348" t="s">
        <v>25</v>
      </c>
      <c r="D1348" t="s">
        <v>37</v>
      </c>
      <c r="E1348">
        <v>32</v>
      </c>
      <c r="F1348" t="s">
        <v>27</v>
      </c>
      <c r="G1348" t="s">
        <v>28</v>
      </c>
      <c r="H1348" s="1">
        <v>43193</v>
      </c>
      <c r="I1348" s="2">
        <v>7.7</v>
      </c>
      <c r="J1348" t="s">
        <v>39</v>
      </c>
      <c r="K1348" s="3">
        <v>2650</v>
      </c>
      <c r="L1348" t="s">
        <v>58</v>
      </c>
      <c r="M1348">
        <v>4</v>
      </c>
      <c r="N1348">
        <v>2</v>
      </c>
      <c r="O1348">
        <v>34</v>
      </c>
      <c r="P1348" t="s">
        <v>21</v>
      </c>
      <c r="Q1348" s="1"/>
      <c r="U1348">
        <v>1</v>
      </c>
      <c r="V1348">
        <v>1</v>
      </c>
      <c r="W1348">
        <v>0</v>
      </c>
    </row>
    <row r="1349" spans="1:23" ht="16.5" x14ac:dyDescent="0.3">
      <c r="A1349" t="s">
        <v>1416</v>
      </c>
      <c r="B1349" t="s">
        <v>35</v>
      </c>
      <c r="C1349" t="s">
        <v>36</v>
      </c>
      <c r="D1349" t="s">
        <v>37</v>
      </c>
      <c r="E1349">
        <v>37</v>
      </c>
      <c r="F1349" t="s">
        <v>46</v>
      </c>
      <c r="G1349" t="s">
        <v>28</v>
      </c>
      <c r="H1349" s="1">
        <v>43078</v>
      </c>
      <c r="I1349" s="2">
        <v>8.1</v>
      </c>
      <c r="J1349" t="s">
        <v>39</v>
      </c>
      <c r="K1349" s="3">
        <v>4000</v>
      </c>
      <c r="L1349" t="s">
        <v>58</v>
      </c>
      <c r="M1349">
        <v>2</v>
      </c>
      <c r="N1349">
        <v>3</v>
      </c>
      <c r="O1349">
        <v>27</v>
      </c>
      <c r="P1349" t="s">
        <v>21</v>
      </c>
      <c r="Q1349" s="1"/>
      <c r="U1349">
        <v>1</v>
      </c>
      <c r="V1349">
        <v>1</v>
      </c>
      <c r="W1349">
        <v>0</v>
      </c>
    </row>
    <row r="1350" spans="1:23" ht="16.5" x14ac:dyDescent="0.3">
      <c r="A1350" t="s">
        <v>1417</v>
      </c>
      <c r="B1350" t="s">
        <v>55</v>
      </c>
      <c r="C1350" t="s">
        <v>45</v>
      </c>
      <c r="D1350" t="s">
        <v>26</v>
      </c>
      <c r="E1350">
        <v>43</v>
      </c>
      <c r="F1350" t="s">
        <v>46</v>
      </c>
      <c r="G1350" t="s">
        <v>52</v>
      </c>
      <c r="H1350" s="1">
        <v>43547</v>
      </c>
      <c r="I1350" s="2">
        <v>6.8</v>
      </c>
      <c r="J1350" t="s">
        <v>39</v>
      </c>
      <c r="K1350" s="3">
        <v>7800</v>
      </c>
      <c r="L1350" t="s">
        <v>30</v>
      </c>
      <c r="M1350">
        <v>3</v>
      </c>
      <c r="N1350">
        <v>3</v>
      </c>
      <c r="O1350">
        <v>25</v>
      </c>
      <c r="P1350" t="s">
        <v>21</v>
      </c>
      <c r="Q1350" s="1"/>
      <c r="U1350">
        <v>1</v>
      </c>
      <c r="V1350">
        <v>1</v>
      </c>
      <c r="W1350">
        <v>0</v>
      </c>
    </row>
    <row r="1351" spans="1:23" ht="16.5" x14ac:dyDescent="0.3">
      <c r="A1351" t="s">
        <v>1418</v>
      </c>
      <c r="B1351" t="s">
        <v>24</v>
      </c>
      <c r="C1351" t="s">
        <v>45</v>
      </c>
      <c r="D1351" t="s">
        <v>37</v>
      </c>
      <c r="E1351">
        <v>40</v>
      </c>
      <c r="F1351" t="s">
        <v>46</v>
      </c>
      <c r="G1351" t="s">
        <v>28</v>
      </c>
      <c r="H1351" s="1">
        <v>44629</v>
      </c>
      <c r="I1351" s="2">
        <v>3.8</v>
      </c>
      <c r="J1351" t="s">
        <v>50</v>
      </c>
      <c r="K1351" s="3">
        <v>4100</v>
      </c>
      <c r="L1351" t="s">
        <v>30</v>
      </c>
      <c r="M1351">
        <v>3</v>
      </c>
      <c r="N1351">
        <v>3</v>
      </c>
      <c r="O1351">
        <v>23</v>
      </c>
      <c r="P1351" t="s">
        <v>21</v>
      </c>
      <c r="Q1351" s="1"/>
      <c r="U1351">
        <v>1</v>
      </c>
      <c r="V1351">
        <v>1</v>
      </c>
      <c r="W1351">
        <v>0</v>
      </c>
    </row>
    <row r="1352" spans="1:23" ht="16.5" x14ac:dyDescent="0.3">
      <c r="A1352" t="s">
        <v>1419</v>
      </c>
      <c r="B1352" t="s">
        <v>70</v>
      </c>
      <c r="C1352" t="s">
        <v>25</v>
      </c>
      <c r="D1352" t="s">
        <v>37</v>
      </c>
      <c r="E1352">
        <v>21</v>
      </c>
      <c r="F1352" t="s">
        <v>57</v>
      </c>
      <c r="G1352" t="s">
        <v>52</v>
      </c>
      <c r="H1352" s="1">
        <v>45962</v>
      </c>
      <c r="I1352" s="2">
        <v>0.2</v>
      </c>
      <c r="J1352" t="s">
        <v>64</v>
      </c>
      <c r="K1352" s="3">
        <v>3500</v>
      </c>
      <c r="L1352" t="s">
        <v>58</v>
      </c>
      <c r="M1352">
        <v>3</v>
      </c>
      <c r="N1352">
        <v>4</v>
      </c>
      <c r="O1352">
        <v>20</v>
      </c>
      <c r="P1352" t="s">
        <v>21</v>
      </c>
      <c r="Q1352" s="1"/>
      <c r="U1352">
        <v>1</v>
      </c>
      <c r="V1352">
        <v>1</v>
      </c>
      <c r="W1352">
        <v>0</v>
      </c>
    </row>
    <row r="1353" spans="1:23" ht="16.5" x14ac:dyDescent="0.3">
      <c r="A1353" t="s">
        <v>1420</v>
      </c>
      <c r="B1353" t="s">
        <v>70</v>
      </c>
      <c r="C1353" t="s">
        <v>36</v>
      </c>
      <c r="D1353" t="s">
        <v>37</v>
      </c>
      <c r="E1353">
        <v>36</v>
      </c>
      <c r="F1353" t="s">
        <v>46</v>
      </c>
      <c r="G1353" t="s">
        <v>52</v>
      </c>
      <c r="H1353" s="1">
        <v>44085</v>
      </c>
      <c r="I1353" s="2">
        <v>5.3</v>
      </c>
      <c r="J1353" t="s">
        <v>39</v>
      </c>
      <c r="K1353" s="3">
        <v>5000</v>
      </c>
      <c r="L1353" t="s">
        <v>30</v>
      </c>
      <c r="M1353">
        <v>3</v>
      </c>
      <c r="N1353">
        <v>3</v>
      </c>
      <c r="O1353">
        <v>32</v>
      </c>
      <c r="P1353" t="s">
        <v>21</v>
      </c>
      <c r="Q1353" s="1"/>
      <c r="U1353">
        <v>1</v>
      </c>
      <c r="V1353">
        <v>1</v>
      </c>
      <c r="W1353">
        <v>0</v>
      </c>
    </row>
    <row r="1354" spans="1:23" ht="16.5" x14ac:dyDescent="0.3">
      <c r="A1354" t="s">
        <v>1421</v>
      </c>
      <c r="B1354" t="s">
        <v>55</v>
      </c>
      <c r="C1354" t="s">
        <v>25</v>
      </c>
      <c r="D1354" t="s">
        <v>37</v>
      </c>
      <c r="E1354">
        <v>24</v>
      </c>
      <c r="F1354" t="s">
        <v>57</v>
      </c>
      <c r="G1354" t="s">
        <v>28</v>
      </c>
      <c r="H1354" s="1">
        <v>45542</v>
      </c>
      <c r="I1354" s="2">
        <v>1.3</v>
      </c>
      <c r="J1354" t="s">
        <v>29</v>
      </c>
      <c r="K1354" s="3">
        <v>4900</v>
      </c>
      <c r="L1354" t="s">
        <v>30</v>
      </c>
      <c r="M1354">
        <v>4</v>
      </c>
      <c r="N1354">
        <v>3</v>
      </c>
      <c r="O1354">
        <v>13</v>
      </c>
      <c r="P1354" t="s">
        <v>21</v>
      </c>
      <c r="Q1354" s="1"/>
      <c r="U1354">
        <v>1</v>
      </c>
      <c r="V1354">
        <v>1</v>
      </c>
      <c r="W1354">
        <v>0</v>
      </c>
    </row>
    <row r="1355" spans="1:23" ht="16.5" x14ac:dyDescent="0.3">
      <c r="A1355" t="s">
        <v>1422</v>
      </c>
      <c r="B1355" t="s">
        <v>70</v>
      </c>
      <c r="C1355" t="s">
        <v>25</v>
      </c>
      <c r="D1355" t="s">
        <v>26</v>
      </c>
      <c r="E1355">
        <v>28</v>
      </c>
      <c r="F1355" t="s">
        <v>27</v>
      </c>
      <c r="G1355" t="s">
        <v>38</v>
      </c>
      <c r="H1355" s="1">
        <v>45129</v>
      </c>
      <c r="I1355" s="2">
        <v>2.4</v>
      </c>
      <c r="J1355" t="s">
        <v>29</v>
      </c>
      <c r="K1355" s="3">
        <v>4750</v>
      </c>
      <c r="L1355" t="s">
        <v>58</v>
      </c>
      <c r="M1355">
        <v>2</v>
      </c>
      <c r="N1355">
        <v>2</v>
      </c>
      <c r="O1355">
        <v>12</v>
      </c>
      <c r="P1355" t="s">
        <v>21</v>
      </c>
      <c r="Q1355" s="1"/>
      <c r="U1355">
        <v>1</v>
      </c>
      <c r="V1355">
        <v>1</v>
      </c>
      <c r="W1355">
        <v>0</v>
      </c>
    </row>
    <row r="1356" spans="1:23" ht="16.5" x14ac:dyDescent="0.3">
      <c r="A1356" t="s">
        <v>1423</v>
      </c>
      <c r="B1356" t="s">
        <v>35</v>
      </c>
      <c r="C1356" t="s">
        <v>25</v>
      </c>
      <c r="D1356" t="s">
        <v>26</v>
      </c>
      <c r="E1356">
        <v>26</v>
      </c>
      <c r="F1356" t="s">
        <v>27</v>
      </c>
      <c r="G1356" t="s">
        <v>38</v>
      </c>
      <c r="H1356" s="1">
        <v>45171</v>
      </c>
      <c r="I1356" s="2">
        <v>2.2999999999999998</v>
      </c>
      <c r="J1356" t="s">
        <v>29</v>
      </c>
      <c r="K1356" s="3">
        <v>3000</v>
      </c>
      <c r="L1356" t="s">
        <v>30</v>
      </c>
      <c r="M1356">
        <v>3</v>
      </c>
      <c r="N1356">
        <v>4</v>
      </c>
      <c r="O1356">
        <v>20</v>
      </c>
      <c r="P1356" t="s">
        <v>21</v>
      </c>
      <c r="Q1356" s="1"/>
      <c r="U1356">
        <v>1</v>
      </c>
      <c r="V1356">
        <v>1</v>
      </c>
      <c r="W1356">
        <v>0</v>
      </c>
    </row>
    <row r="1357" spans="1:23" ht="16.5" x14ac:dyDescent="0.3">
      <c r="A1357" t="s">
        <v>1424</v>
      </c>
      <c r="B1357" t="s">
        <v>48</v>
      </c>
      <c r="C1357" t="s">
        <v>25</v>
      </c>
      <c r="D1357" t="s">
        <v>26</v>
      </c>
      <c r="E1357">
        <v>23</v>
      </c>
      <c r="F1357" t="s">
        <v>57</v>
      </c>
      <c r="G1357" t="s">
        <v>38</v>
      </c>
      <c r="H1357" s="1">
        <v>45848</v>
      </c>
      <c r="I1357" s="2">
        <v>0.5</v>
      </c>
      <c r="J1357" t="s">
        <v>64</v>
      </c>
      <c r="K1357" s="3">
        <v>7050</v>
      </c>
      <c r="L1357" t="s">
        <v>30</v>
      </c>
      <c r="M1357">
        <v>5</v>
      </c>
      <c r="N1357">
        <v>4</v>
      </c>
      <c r="O1357">
        <v>28</v>
      </c>
      <c r="P1357" t="s">
        <v>21</v>
      </c>
      <c r="Q1357" s="1"/>
      <c r="U1357">
        <v>1</v>
      </c>
      <c r="V1357">
        <v>1</v>
      </c>
      <c r="W1357">
        <v>0</v>
      </c>
    </row>
    <row r="1358" spans="1:23" ht="16.5" x14ac:dyDescent="0.3">
      <c r="A1358" t="s">
        <v>1425</v>
      </c>
      <c r="B1358" t="s">
        <v>24</v>
      </c>
      <c r="C1358" t="s">
        <v>25</v>
      </c>
      <c r="D1358" t="s">
        <v>26</v>
      </c>
      <c r="E1358">
        <v>29</v>
      </c>
      <c r="F1358" t="s">
        <v>27</v>
      </c>
      <c r="G1358" t="s">
        <v>28</v>
      </c>
      <c r="H1358" s="1">
        <v>43746</v>
      </c>
      <c r="I1358" s="2">
        <v>6.2</v>
      </c>
      <c r="J1358" t="s">
        <v>39</v>
      </c>
      <c r="K1358" s="3">
        <v>3200</v>
      </c>
      <c r="L1358" t="s">
        <v>30</v>
      </c>
      <c r="M1358">
        <v>5</v>
      </c>
      <c r="N1358">
        <v>3</v>
      </c>
      <c r="O1358">
        <v>23</v>
      </c>
      <c r="P1358" t="s">
        <v>21</v>
      </c>
      <c r="Q1358" s="1"/>
      <c r="U1358">
        <v>1</v>
      </c>
      <c r="V1358">
        <v>1</v>
      </c>
      <c r="W1358">
        <v>0</v>
      </c>
    </row>
    <row r="1359" spans="1:23" ht="16.5" x14ac:dyDescent="0.3">
      <c r="A1359" t="s">
        <v>1426</v>
      </c>
      <c r="B1359" t="s">
        <v>35</v>
      </c>
      <c r="C1359" t="s">
        <v>36</v>
      </c>
      <c r="D1359" t="s">
        <v>26</v>
      </c>
      <c r="E1359">
        <v>32</v>
      </c>
      <c r="F1359" t="s">
        <v>27</v>
      </c>
      <c r="G1359" t="s">
        <v>38</v>
      </c>
      <c r="H1359" s="1">
        <v>45440</v>
      </c>
      <c r="I1359" s="2">
        <v>1.6</v>
      </c>
      <c r="J1359" t="s">
        <v>29</v>
      </c>
      <c r="K1359" s="3">
        <v>4100</v>
      </c>
      <c r="L1359" t="s">
        <v>30</v>
      </c>
      <c r="M1359">
        <v>4</v>
      </c>
      <c r="N1359">
        <v>3</v>
      </c>
      <c r="O1359">
        <v>45</v>
      </c>
      <c r="P1359" t="s">
        <v>21</v>
      </c>
      <c r="Q1359" s="1"/>
      <c r="U1359">
        <v>1</v>
      </c>
      <c r="V1359">
        <v>1</v>
      </c>
      <c r="W1359">
        <v>0</v>
      </c>
    </row>
    <row r="1360" spans="1:23" ht="16.5" x14ac:dyDescent="0.3">
      <c r="A1360" t="s">
        <v>1427</v>
      </c>
      <c r="B1360" t="s">
        <v>70</v>
      </c>
      <c r="C1360" t="s">
        <v>36</v>
      </c>
      <c r="D1360" t="s">
        <v>26</v>
      </c>
      <c r="E1360">
        <v>41</v>
      </c>
      <c r="F1360" t="s">
        <v>46</v>
      </c>
      <c r="G1360" t="s">
        <v>38</v>
      </c>
      <c r="H1360" s="1">
        <v>44377</v>
      </c>
      <c r="I1360" s="2">
        <v>4.5</v>
      </c>
      <c r="J1360" t="s">
        <v>50</v>
      </c>
      <c r="K1360" s="3">
        <v>5400</v>
      </c>
      <c r="L1360" t="s">
        <v>30</v>
      </c>
      <c r="M1360">
        <v>3</v>
      </c>
      <c r="N1360">
        <v>3</v>
      </c>
      <c r="O1360">
        <v>21</v>
      </c>
      <c r="P1360" t="s">
        <v>21</v>
      </c>
      <c r="Q1360" s="1"/>
      <c r="U1360">
        <v>1</v>
      </c>
      <c r="V1360">
        <v>1</v>
      </c>
      <c r="W1360">
        <v>0</v>
      </c>
    </row>
    <row r="1361" spans="1:23" ht="16.5" x14ac:dyDescent="0.3">
      <c r="A1361" t="s">
        <v>1428</v>
      </c>
      <c r="B1361" t="s">
        <v>70</v>
      </c>
      <c r="C1361" t="s">
        <v>45</v>
      </c>
      <c r="D1361" t="s">
        <v>26</v>
      </c>
      <c r="E1361">
        <v>50</v>
      </c>
      <c r="F1361" t="s">
        <v>88</v>
      </c>
      <c r="G1361" t="s">
        <v>38</v>
      </c>
      <c r="H1361" s="1">
        <v>44498</v>
      </c>
      <c r="I1361" s="2">
        <v>4.2</v>
      </c>
      <c r="J1361" t="s">
        <v>50</v>
      </c>
      <c r="K1361" s="3">
        <v>7450</v>
      </c>
      <c r="L1361" t="s">
        <v>30</v>
      </c>
      <c r="M1361">
        <v>5</v>
      </c>
      <c r="N1361">
        <v>4</v>
      </c>
      <c r="O1361">
        <v>20</v>
      </c>
      <c r="P1361" t="s">
        <v>21</v>
      </c>
      <c r="Q1361" s="1"/>
      <c r="U1361">
        <v>1</v>
      </c>
      <c r="V1361">
        <v>1</v>
      </c>
      <c r="W1361">
        <v>0</v>
      </c>
    </row>
    <row r="1362" spans="1:23" ht="16.5" x14ac:dyDescent="0.3">
      <c r="A1362" t="s">
        <v>1429</v>
      </c>
      <c r="B1362" t="s">
        <v>35</v>
      </c>
      <c r="C1362" t="s">
        <v>25</v>
      </c>
      <c r="D1362" t="s">
        <v>37</v>
      </c>
      <c r="E1362">
        <v>25</v>
      </c>
      <c r="F1362" t="s">
        <v>57</v>
      </c>
      <c r="G1362" t="s">
        <v>28</v>
      </c>
      <c r="H1362" s="1">
        <v>45843</v>
      </c>
      <c r="I1362" s="2">
        <v>0.5</v>
      </c>
      <c r="J1362" t="s">
        <v>64</v>
      </c>
      <c r="K1362" s="3">
        <v>3700</v>
      </c>
      <c r="L1362" t="s">
        <v>30</v>
      </c>
      <c r="M1362">
        <v>5</v>
      </c>
      <c r="N1362">
        <v>4</v>
      </c>
      <c r="O1362">
        <v>27</v>
      </c>
      <c r="P1362" t="s">
        <v>21</v>
      </c>
      <c r="Q1362" s="1"/>
      <c r="U1362">
        <v>1</v>
      </c>
      <c r="V1362">
        <v>1</v>
      </c>
      <c r="W1362">
        <v>0</v>
      </c>
    </row>
    <row r="1363" spans="1:23" ht="16.5" x14ac:dyDescent="0.3">
      <c r="A1363" t="s">
        <v>1430</v>
      </c>
      <c r="B1363" t="s">
        <v>55</v>
      </c>
      <c r="C1363" t="s">
        <v>25</v>
      </c>
      <c r="D1363" t="s">
        <v>37</v>
      </c>
      <c r="E1363">
        <v>27</v>
      </c>
      <c r="F1363" t="s">
        <v>27</v>
      </c>
      <c r="G1363" t="s">
        <v>38</v>
      </c>
      <c r="H1363" s="1">
        <v>44336</v>
      </c>
      <c r="I1363" s="2">
        <v>4.5999999999999996</v>
      </c>
      <c r="J1363" t="s">
        <v>50</v>
      </c>
      <c r="K1363" s="3">
        <v>3900</v>
      </c>
      <c r="L1363" t="s">
        <v>30</v>
      </c>
      <c r="M1363">
        <v>3</v>
      </c>
      <c r="N1363">
        <v>3</v>
      </c>
      <c r="O1363">
        <v>26</v>
      </c>
      <c r="P1363" t="s">
        <v>21</v>
      </c>
      <c r="Q1363" s="1"/>
      <c r="U1363">
        <v>1</v>
      </c>
      <c r="V1363">
        <v>1</v>
      </c>
      <c r="W1363">
        <v>0</v>
      </c>
    </row>
    <row r="1364" spans="1:23" ht="16.5" x14ac:dyDescent="0.3">
      <c r="A1364" t="s">
        <v>1431</v>
      </c>
      <c r="B1364" t="s">
        <v>55</v>
      </c>
      <c r="C1364" t="s">
        <v>87</v>
      </c>
      <c r="D1364" t="s">
        <v>37</v>
      </c>
      <c r="E1364">
        <v>46</v>
      </c>
      <c r="F1364" t="s">
        <v>88</v>
      </c>
      <c r="G1364" t="s">
        <v>38</v>
      </c>
      <c r="H1364" s="1">
        <v>44008</v>
      </c>
      <c r="I1364" s="2">
        <v>5.5</v>
      </c>
      <c r="J1364" t="s">
        <v>39</v>
      </c>
      <c r="K1364" s="3">
        <v>11800</v>
      </c>
      <c r="L1364" t="s">
        <v>58</v>
      </c>
      <c r="M1364">
        <v>3</v>
      </c>
      <c r="N1364">
        <v>3</v>
      </c>
      <c r="O1364">
        <v>2</v>
      </c>
      <c r="P1364" t="s">
        <v>21</v>
      </c>
      <c r="Q1364" s="1"/>
      <c r="U1364">
        <v>1</v>
      </c>
      <c r="V1364">
        <v>1</v>
      </c>
      <c r="W1364">
        <v>0</v>
      </c>
    </row>
    <row r="1365" spans="1:23" ht="16.5" x14ac:dyDescent="0.3">
      <c r="A1365" t="s">
        <v>1432</v>
      </c>
      <c r="B1365" t="s">
        <v>44</v>
      </c>
      <c r="C1365" t="s">
        <v>36</v>
      </c>
      <c r="D1365" t="s">
        <v>26</v>
      </c>
      <c r="E1365">
        <v>29</v>
      </c>
      <c r="F1365" t="s">
        <v>27</v>
      </c>
      <c r="G1365" t="s">
        <v>38</v>
      </c>
      <c r="H1365" s="1">
        <v>44062</v>
      </c>
      <c r="I1365" s="2">
        <v>5.4</v>
      </c>
      <c r="J1365" t="s">
        <v>39</v>
      </c>
      <c r="K1365" s="3">
        <v>6250</v>
      </c>
      <c r="L1365" t="s">
        <v>58</v>
      </c>
      <c r="M1365">
        <v>3</v>
      </c>
      <c r="N1365">
        <v>4</v>
      </c>
      <c r="O1365">
        <v>22</v>
      </c>
      <c r="P1365" t="s">
        <v>21</v>
      </c>
      <c r="Q1365" s="1"/>
      <c r="U1365">
        <v>1</v>
      </c>
      <c r="V1365">
        <v>1</v>
      </c>
      <c r="W1365">
        <v>0</v>
      </c>
    </row>
    <row r="1366" spans="1:23" ht="16.5" x14ac:dyDescent="0.3">
      <c r="A1366" t="s">
        <v>1433</v>
      </c>
      <c r="B1366" t="s">
        <v>24</v>
      </c>
      <c r="C1366" t="s">
        <v>36</v>
      </c>
      <c r="D1366" t="s">
        <v>37</v>
      </c>
      <c r="E1366">
        <v>33</v>
      </c>
      <c r="F1366" t="s">
        <v>27</v>
      </c>
      <c r="G1366" t="s">
        <v>38</v>
      </c>
      <c r="H1366" s="1">
        <v>45005</v>
      </c>
      <c r="I1366" s="2">
        <v>1.3</v>
      </c>
      <c r="J1366" t="s">
        <v>29</v>
      </c>
      <c r="K1366" s="3">
        <v>4300</v>
      </c>
      <c r="L1366" t="s">
        <v>30</v>
      </c>
      <c r="M1366">
        <v>5</v>
      </c>
      <c r="N1366">
        <v>4</v>
      </c>
      <c r="O1366">
        <v>38</v>
      </c>
      <c r="P1366" t="s">
        <v>22</v>
      </c>
      <c r="Q1366" s="1">
        <v>45474</v>
      </c>
      <c r="R1366" t="s">
        <v>31</v>
      </c>
      <c r="S1366" t="s">
        <v>84</v>
      </c>
      <c r="T1366" t="s">
        <v>33</v>
      </c>
      <c r="U1366">
        <v>1</v>
      </c>
      <c r="V1366">
        <v>0</v>
      </c>
      <c r="W1366">
        <v>1</v>
      </c>
    </row>
    <row r="1367" spans="1:23" ht="16.5" x14ac:dyDescent="0.3">
      <c r="A1367" t="s">
        <v>1434</v>
      </c>
      <c r="B1367" t="s">
        <v>70</v>
      </c>
      <c r="C1367" t="s">
        <v>25</v>
      </c>
      <c r="D1367" t="s">
        <v>37</v>
      </c>
      <c r="E1367">
        <v>25</v>
      </c>
      <c r="F1367" t="s">
        <v>57</v>
      </c>
      <c r="G1367" t="s">
        <v>28</v>
      </c>
      <c r="H1367" s="1">
        <v>45134</v>
      </c>
      <c r="I1367" s="2">
        <v>1.5</v>
      </c>
      <c r="J1367" t="s">
        <v>29</v>
      </c>
      <c r="K1367" s="3">
        <v>4950</v>
      </c>
      <c r="L1367" t="s">
        <v>30</v>
      </c>
      <c r="M1367">
        <v>4</v>
      </c>
      <c r="N1367">
        <v>3</v>
      </c>
      <c r="O1367">
        <v>14</v>
      </c>
      <c r="P1367" t="s">
        <v>22</v>
      </c>
      <c r="Q1367" s="1">
        <v>45668</v>
      </c>
      <c r="R1367" t="s">
        <v>40</v>
      </c>
      <c r="S1367" t="s">
        <v>107</v>
      </c>
      <c r="T1367" t="s">
        <v>473</v>
      </c>
      <c r="U1367">
        <v>1</v>
      </c>
      <c r="V1367">
        <v>0</v>
      </c>
      <c r="W1367">
        <v>1</v>
      </c>
    </row>
    <row r="1368" spans="1:23" ht="16.5" x14ac:dyDescent="0.3">
      <c r="A1368" t="s">
        <v>1435</v>
      </c>
      <c r="B1368" t="s">
        <v>70</v>
      </c>
      <c r="C1368" t="s">
        <v>25</v>
      </c>
      <c r="D1368" t="s">
        <v>26</v>
      </c>
      <c r="E1368">
        <v>30</v>
      </c>
      <c r="F1368" t="s">
        <v>27</v>
      </c>
      <c r="G1368" t="s">
        <v>38</v>
      </c>
      <c r="H1368" s="1">
        <v>45336</v>
      </c>
      <c r="I1368" s="2">
        <v>1.9</v>
      </c>
      <c r="J1368" t="s">
        <v>29</v>
      </c>
      <c r="K1368" s="3">
        <v>3950</v>
      </c>
      <c r="L1368" t="s">
        <v>30</v>
      </c>
      <c r="M1368">
        <v>4</v>
      </c>
      <c r="N1368">
        <v>3</v>
      </c>
      <c r="O1368">
        <v>30</v>
      </c>
      <c r="P1368" t="s">
        <v>21</v>
      </c>
      <c r="Q1368" s="1"/>
      <c r="U1368">
        <v>1</v>
      </c>
      <c r="V1368">
        <v>1</v>
      </c>
      <c r="W1368">
        <v>0</v>
      </c>
    </row>
    <row r="1369" spans="1:23" ht="16.5" x14ac:dyDescent="0.3">
      <c r="A1369" t="s">
        <v>1436</v>
      </c>
      <c r="B1369" t="s">
        <v>44</v>
      </c>
      <c r="C1369" t="s">
        <v>36</v>
      </c>
      <c r="D1369" t="s">
        <v>37</v>
      </c>
      <c r="E1369">
        <v>36</v>
      </c>
      <c r="F1369" t="s">
        <v>46</v>
      </c>
      <c r="G1369" t="s">
        <v>38</v>
      </c>
      <c r="H1369" s="1">
        <v>42582</v>
      </c>
      <c r="I1369" s="2">
        <v>9.4</v>
      </c>
      <c r="J1369" t="s">
        <v>39</v>
      </c>
      <c r="K1369" s="3">
        <v>6450</v>
      </c>
      <c r="L1369" t="s">
        <v>30</v>
      </c>
      <c r="M1369">
        <v>5</v>
      </c>
      <c r="N1369">
        <v>4</v>
      </c>
      <c r="O1369">
        <v>33</v>
      </c>
      <c r="P1369" t="s">
        <v>21</v>
      </c>
      <c r="Q1369" s="1"/>
      <c r="U1369">
        <v>1</v>
      </c>
      <c r="V1369">
        <v>1</v>
      </c>
      <c r="W1369">
        <v>0</v>
      </c>
    </row>
    <row r="1370" spans="1:23" ht="16.5" x14ac:dyDescent="0.3">
      <c r="A1370" t="s">
        <v>1437</v>
      </c>
      <c r="B1370" t="s">
        <v>70</v>
      </c>
      <c r="C1370" t="s">
        <v>25</v>
      </c>
      <c r="D1370" t="s">
        <v>37</v>
      </c>
      <c r="E1370">
        <v>29</v>
      </c>
      <c r="F1370" t="s">
        <v>27</v>
      </c>
      <c r="G1370" t="s">
        <v>38</v>
      </c>
      <c r="H1370" s="1">
        <v>44582</v>
      </c>
      <c r="I1370" s="2">
        <v>2.2000000000000002</v>
      </c>
      <c r="J1370" t="s">
        <v>29</v>
      </c>
      <c r="K1370" s="3">
        <v>3750</v>
      </c>
      <c r="L1370" t="s">
        <v>58</v>
      </c>
      <c r="M1370">
        <v>2</v>
      </c>
      <c r="N1370">
        <v>3</v>
      </c>
      <c r="O1370">
        <v>29</v>
      </c>
      <c r="P1370" t="s">
        <v>22</v>
      </c>
      <c r="Q1370" s="1">
        <v>45372</v>
      </c>
      <c r="R1370" t="s">
        <v>31</v>
      </c>
      <c r="S1370" t="s">
        <v>59</v>
      </c>
      <c r="T1370" t="s">
        <v>33</v>
      </c>
      <c r="U1370">
        <v>1</v>
      </c>
      <c r="V1370">
        <v>0</v>
      </c>
      <c r="W1370">
        <v>1</v>
      </c>
    </row>
    <row r="1371" spans="1:23" ht="16.5" x14ac:dyDescent="0.3">
      <c r="A1371" t="s">
        <v>1438</v>
      </c>
      <c r="B1371" t="s">
        <v>44</v>
      </c>
      <c r="C1371" t="s">
        <v>25</v>
      </c>
      <c r="D1371" t="s">
        <v>26</v>
      </c>
      <c r="E1371">
        <v>21</v>
      </c>
      <c r="F1371" t="s">
        <v>57</v>
      </c>
      <c r="G1371" t="s">
        <v>38</v>
      </c>
      <c r="H1371" s="1">
        <v>45969</v>
      </c>
      <c r="I1371" s="2">
        <v>0.1</v>
      </c>
      <c r="J1371" t="s">
        <v>64</v>
      </c>
      <c r="K1371" s="3">
        <v>4350</v>
      </c>
      <c r="L1371" t="s">
        <v>30</v>
      </c>
      <c r="M1371">
        <v>3</v>
      </c>
      <c r="N1371">
        <v>3</v>
      </c>
      <c r="O1371">
        <v>16</v>
      </c>
      <c r="P1371" t="s">
        <v>21</v>
      </c>
      <c r="Q1371" s="1"/>
      <c r="U1371">
        <v>1</v>
      </c>
      <c r="V1371">
        <v>1</v>
      </c>
      <c r="W1371">
        <v>0</v>
      </c>
    </row>
    <row r="1372" spans="1:23" ht="16.5" x14ac:dyDescent="0.3">
      <c r="A1372" t="s">
        <v>1439</v>
      </c>
      <c r="B1372" t="s">
        <v>55</v>
      </c>
      <c r="C1372" t="s">
        <v>36</v>
      </c>
      <c r="D1372" t="s">
        <v>26</v>
      </c>
      <c r="E1372">
        <v>33</v>
      </c>
      <c r="F1372" t="s">
        <v>27</v>
      </c>
      <c r="G1372" t="s">
        <v>38</v>
      </c>
      <c r="H1372" s="1">
        <v>44524</v>
      </c>
      <c r="I1372" s="2">
        <v>4.0999999999999996</v>
      </c>
      <c r="J1372" t="s">
        <v>50</v>
      </c>
      <c r="K1372" s="3">
        <v>5950</v>
      </c>
      <c r="L1372" t="s">
        <v>58</v>
      </c>
      <c r="M1372">
        <v>4</v>
      </c>
      <c r="N1372">
        <v>3</v>
      </c>
      <c r="O1372">
        <v>11</v>
      </c>
      <c r="P1372" t="s">
        <v>21</v>
      </c>
      <c r="Q1372" s="1"/>
      <c r="U1372">
        <v>1</v>
      </c>
      <c r="V1372">
        <v>1</v>
      </c>
      <c r="W1372">
        <v>0</v>
      </c>
    </row>
    <row r="1373" spans="1:23" ht="16.5" x14ac:dyDescent="0.3">
      <c r="A1373" t="s">
        <v>1440</v>
      </c>
      <c r="B1373" t="s">
        <v>73</v>
      </c>
      <c r="C1373" t="s">
        <v>25</v>
      </c>
      <c r="D1373" t="s">
        <v>26</v>
      </c>
      <c r="E1373">
        <v>28</v>
      </c>
      <c r="F1373" t="s">
        <v>27</v>
      </c>
      <c r="G1373" t="s">
        <v>52</v>
      </c>
      <c r="H1373" s="1">
        <v>44903</v>
      </c>
      <c r="I1373" s="2">
        <v>3.1</v>
      </c>
      <c r="J1373" t="s">
        <v>50</v>
      </c>
      <c r="K1373" s="3">
        <v>4050</v>
      </c>
      <c r="L1373" t="s">
        <v>58</v>
      </c>
      <c r="M1373">
        <v>3</v>
      </c>
      <c r="N1373">
        <v>4</v>
      </c>
      <c r="O1373">
        <v>19</v>
      </c>
      <c r="P1373" t="s">
        <v>21</v>
      </c>
      <c r="Q1373" s="1"/>
      <c r="U1373">
        <v>1</v>
      </c>
      <c r="V1373">
        <v>1</v>
      </c>
      <c r="W1373">
        <v>0</v>
      </c>
    </row>
    <row r="1374" spans="1:23" ht="16.5" x14ac:dyDescent="0.3">
      <c r="A1374" t="s">
        <v>1441</v>
      </c>
      <c r="B1374" t="s">
        <v>55</v>
      </c>
      <c r="C1374" t="s">
        <v>25</v>
      </c>
      <c r="D1374" t="s">
        <v>26</v>
      </c>
      <c r="E1374">
        <v>31</v>
      </c>
      <c r="F1374" t="s">
        <v>27</v>
      </c>
      <c r="G1374" t="s">
        <v>38</v>
      </c>
      <c r="H1374" s="1">
        <v>44507</v>
      </c>
      <c r="I1374" s="2">
        <v>3.6</v>
      </c>
      <c r="J1374" t="s">
        <v>50</v>
      </c>
      <c r="K1374" s="3">
        <v>4150</v>
      </c>
      <c r="L1374" t="s">
        <v>30</v>
      </c>
      <c r="M1374">
        <v>3</v>
      </c>
      <c r="N1374">
        <v>4</v>
      </c>
      <c r="O1374">
        <v>31</v>
      </c>
      <c r="P1374" t="s">
        <v>22</v>
      </c>
      <c r="Q1374" s="1">
        <v>45818</v>
      </c>
      <c r="R1374" t="s">
        <v>40</v>
      </c>
      <c r="S1374" t="s">
        <v>32</v>
      </c>
      <c r="T1374" t="s">
        <v>473</v>
      </c>
      <c r="U1374">
        <v>1</v>
      </c>
      <c r="V1374">
        <v>0</v>
      </c>
      <c r="W1374">
        <v>1</v>
      </c>
    </row>
    <row r="1375" spans="1:23" ht="16.5" x14ac:dyDescent="0.3">
      <c r="A1375" t="s">
        <v>1442</v>
      </c>
      <c r="B1375" t="s">
        <v>35</v>
      </c>
      <c r="C1375" t="s">
        <v>45</v>
      </c>
      <c r="D1375" t="s">
        <v>37</v>
      </c>
      <c r="E1375">
        <v>36</v>
      </c>
      <c r="F1375" t="s">
        <v>46</v>
      </c>
      <c r="G1375" t="s">
        <v>38</v>
      </c>
      <c r="H1375" s="1">
        <v>43024</v>
      </c>
      <c r="I1375" s="2">
        <v>8.1999999999999993</v>
      </c>
      <c r="J1375" t="s">
        <v>39</v>
      </c>
      <c r="K1375" s="3">
        <v>7050</v>
      </c>
      <c r="L1375" t="s">
        <v>58</v>
      </c>
      <c r="M1375">
        <v>3</v>
      </c>
      <c r="N1375">
        <v>2</v>
      </c>
      <c r="O1375">
        <v>26</v>
      </c>
      <c r="P1375" t="s">
        <v>21</v>
      </c>
      <c r="Q1375" s="1"/>
      <c r="U1375">
        <v>1</v>
      </c>
      <c r="V1375">
        <v>1</v>
      </c>
      <c r="W1375">
        <v>0</v>
      </c>
    </row>
    <row r="1376" spans="1:23" ht="16.5" x14ac:dyDescent="0.3">
      <c r="A1376" t="s">
        <v>1443</v>
      </c>
      <c r="B1376" t="s">
        <v>48</v>
      </c>
      <c r="C1376" t="s">
        <v>25</v>
      </c>
      <c r="D1376" t="s">
        <v>26</v>
      </c>
      <c r="E1376">
        <v>23</v>
      </c>
      <c r="F1376" t="s">
        <v>57</v>
      </c>
      <c r="G1376" t="s">
        <v>38</v>
      </c>
      <c r="H1376" s="1">
        <v>45810</v>
      </c>
      <c r="I1376" s="2">
        <v>0.6</v>
      </c>
      <c r="J1376" t="s">
        <v>64</v>
      </c>
      <c r="K1376" s="3">
        <v>5300</v>
      </c>
      <c r="L1376" t="s">
        <v>30</v>
      </c>
      <c r="M1376">
        <v>4</v>
      </c>
      <c r="N1376">
        <v>3</v>
      </c>
      <c r="O1376">
        <v>30</v>
      </c>
      <c r="P1376" t="s">
        <v>21</v>
      </c>
      <c r="Q1376" s="1"/>
      <c r="U1376">
        <v>1</v>
      </c>
      <c r="V1376">
        <v>1</v>
      </c>
      <c r="W1376">
        <v>0</v>
      </c>
    </row>
    <row r="1377" spans="1:23" ht="16.5" x14ac:dyDescent="0.3">
      <c r="A1377" t="s">
        <v>1444</v>
      </c>
      <c r="B1377" t="s">
        <v>55</v>
      </c>
      <c r="C1377" t="s">
        <v>87</v>
      </c>
      <c r="D1377" t="s">
        <v>26</v>
      </c>
      <c r="E1377">
        <v>45</v>
      </c>
      <c r="F1377" t="s">
        <v>46</v>
      </c>
      <c r="G1377" t="s">
        <v>38</v>
      </c>
      <c r="H1377" s="1">
        <v>40726</v>
      </c>
      <c r="I1377" s="2">
        <v>14.5</v>
      </c>
      <c r="J1377" t="s">
        <v>39</v>
      </c>
      <c r="K1377" s="3">
        <v>11200</v>
      </c>
      <c r="L1377" t="s">
        <v>58</v>
      </c>
      <c r="M1377">
        <v>2</v>
      </c>
      <c r="N1377">
        <v>4</v>
      </c>
      <c r="O1377">
        <v>28</v>
      </c>
      <c r="P1377" t="s">
        <v>21</v>
      </c>
      <c r="Q1377" s="1"/>
      <c r="U1377">
        <v>1</v>
      </c>
      <c r="V1377">
        <v>1</v>
      </c>
      <c r="W1377">
        <v>0</v>
      </c>
    </row>
    <row r="1378" spans="1:23" ht="16.5" x14ac:dyDescent="0.3">
      <c r="A1378" t="s">
        <v>1445</v>
      </c>
      <c r="B1378" t="s">
        <v>73</v>
      </c>
      <c r="C1378" t="s">
        <v>36</v>
      </c>
      <c r="D1378" t="s">
        <v>37</v>
      </c>
      <c r="E1378">
        <v>29</v>
      </c>
      <c r="F1378" t="s">
        <v>27</v>
      </c>
      <c r="G1378" t="s">
        <v>38</v>
      </c>
      <c r="H1378" s="1">
        <v>45369</v>
      </c>
      <c r="I1378" s="2">
        <v>1.8</v>
      </c>
      <c r="J1378" t="s">
        <v>29</v>
      </c>
      <c r="K1378" s="3">
        <v>4650</v>
      </c>
      <c r="L1378" t="s">
        <v>30</v>
      </c>
      <c r="M1378">
        <v>3</v>
      </c>
      <c r="N1378">
        <v>4</v>
      </c>
      <c r="O1378">
        <v>12</v>
      </c>
      <c r="P1378" t="s">
        <v>21</v>
      </c>
      <c r="Q1378" s="1"/>
      <c r="U1378">
        <v>1</v>
      </c>
      <c r="V1378">
        <v>1</v>
      </c>
      <c r="W1378">
        <v>0</v>
      </c>
    </row>
    <row r="1379" spans="1:23" ht="16.5" x14ac:dyDescent="0.3">
      <c r="A1379" t="s">
        <v>1446</v>
      </c>
      <c r="B1379" t="s">
        <v>24</v>
      </c>
      <c r="C1379" t="s">
        <v>25</v>
      </c>
      <c r="D1379" t="s">
        <v>26</v>
      </c>
      <c r="E1379">
        <v>21</v>
      </c>
      <c r="F1379" t="s">
        <v>57</v>
      </c>
      <c r="G1379" t="s">
        <v>38</v>
      </c>
      <c r="H1379" s="1">
        <v>45965</v>
      </c>
      <c r="I1379" s="2">
        <v>0.2</v>
      </c>
      <c r="J1379" t="s">
        <v>64</v>
      </c>
      <c r="K1379" s="3">
        <v>2500</v>
      </c>
      <c r="L1379" t="s">
        <v>30</v>
      </c>
      <c r="M1379">
        <v>4</v>
      </c>
      <c r="N1379">
        <v>4</v>
      </c>
      <c r="O1379">
        <v>28</v>
      </c>
      <c r="P1379" t="s">
        <v>21</v>
      </c>
      <c r="Q1379" s="1"/>
      <c r="U1379">
        <v>1</v>
      </c>
      <c r="V1379">
        <v>1</v>
      </c>
      <c r="W1379">
        <v>0</v>
      </c>
    </row>
    <row r="1380" spans="1:23" ht="16.5" x14ac:dyDescent="0.3">
      <c r="A1380" t="s">
        <v>1447</v>
      </c>
      <c r="B1380" t="s">
        <v>24</v>
      </c>
      <c r="C1380" t="s">
        <v>25</v>
      </c>
      <c r="D1380" t="s">
        <v>37</v>
      </c>
      <c r="E1380">
        <v>29</v>
      </c>
      <c r="F1380" t="s">
        <v>27</v>
      </c>
      <c r="G1380" t="s">
        <v>38</v>
      </c>
      <c r="H1380" s="1">
        <v>44236</v>
      </c>
      <c r="I1380" s="2">
        <v>4.5</v>
      </c>
      <c r="J1380" t="s">
        <v>50</v>
      </c>
      <c r="K1380" s="3">
        <v>3500</v>
      </c>
      <c r="L1380" t="s">
        <v>58</v>
      </c>
      <c r="M1380">
        <v>3</v>
      </c>
      <c r="N1380">
        <v>3</v>
      </c>
      <c r="O1380">
        <v>26</v>
      </c>
      <c r="P1380" t="s">
        <v>22</v>
      </c>
      <c r="Q1380" s="1">
        <v>45869</v>
      </c>
      <c r="R1380" t="s">
        <v>40</v>
      </c>
      <c r="S1380" t="s">
        <v>84</v>
      </c>
      <c r="T1380" t="s">
        <v>151</v>
      </c>
      <c r="U1380">
        <v>1</v>
      </c>
      <c r="V1380">
        <v>0</v>
      </c>
      <c r="W1380">
        <v>1</v>
      </c>
    </row>
    <row r="1381" spans="1:23" ht="16.5" x14ac:dyDescent="0.3">
      <c r="A1381" t="s">
        <v>1448</v>
      </c>
      <c r="B1381" t="s">
        <v>24</v>
      </c>
      <c r="C1381" t="s">
        <v>25</v>
      </c>
      <c r="D1381" t="s">
        <v>37</v>
      </c>
      <c r="E1381">
        <v>30</v>
      </c>
      <c r="F1381" t="s">
        <v>27</v>
      </c>
      <c r="G1381" t="s">
        <v>52</v>
      </c>
      <c r="H1381" s="1">
        <v>45394</v>
      </c>
      <c r="I1381" s="2">
        <v>1.5</v>
      </c>
      <c r="J1381" t="s">
        <v>29</v>
      </c>
      <c r="K1381" s="3">
        <v>2500</v>
      </c>
      <c r="L1381" t="s">
        <v>58</v>
      </c>
      <c r="M1381">
        <v>4</v>
      </c>
      <c r="N1381">
        <v>4</v>
      </c>
      <c r="O1381">
        <v>37</v>
      </c>
      <c r="P1381" t="s">
        <v>22</v>
      </c>
      <c r="Q1381" s="1">
        <v>45929</v>
      </c>
      <c r="R1381" t="s">
        <v>40</v>
      </c>
      <c r="S1381" t="s">
        <v>259</v>
      </c>
      <c r="T1381" t="s">
        <v>33</v>
      </c>
      <c r="U1381">
        <v>1</v>
      </c>
      <c r="V1381">
        <v>0</v>
      </c>
      <c r="W1381">
        <v>1</v>
      </c>
    </row>
    <row r="1382" spans="1:23" ht="16.5" x14ac:dyDescent="0.3">
      <c r="A1382" t="s">
        <v>1449</v>
      </c>
      <c r="B1382" t="s">
        <v>24</v>
      </c>
      <c r="C1382" t="s">
        <v>36</v>
      </c>
      <c r="D1382" t="s">
        <v>37</v>
      </c>
      <c r="E1382">
        <v>24</v>
      </c>
      <c r="F1382" t="s">
        <v>57</v>
      </c>
      <c r="G1382" t="s">
        <v>28</v>
      </c>
      <c r="H1382" s="1">
        <v>45502</v>
      </c>
      <c r="I1382" s="2">
        <v>1.4</v>
      </c>
      <c r="J1382" t="s">
        <v>29</v>
      </c>
      <c r="K1382" s="3">
        <v>3250</v>
      </c>
      <c r="L1382" t="s">
        <v>58</v>
      </c>
      <c r="M1382">
        <v>3</v>
      </c>
      <c r="N1382">
        <v>3</v>
      </c>
      <c r="O1382">
        <v>22</v>
      </c>
      <c r="P1382" t="s">
        <v>21</v>
      </c>
      <c r="Q1382" s="1"/>
      <c r="U1382">
        <v>1</v>
      </c>
      <c r="V1382">
        <v>1</v>
      </c>
      <c r="W1382">
        <v>0</v>
      </c>
    </row>
    <row r="1383" spans="1:23" ht="16.5" x14ac:dyDescent="0.3">
      <c r="A1383" t="s">
        <v>1450</v>
      </c>
      <c r="B1383" t="s">
        <v>55</v>
      </c>
      <c r="C1383" t="s">
        <v>45</v>
      </c>
      <c r="D1383" t="s">
        <v>37</v>
      </c>
      <c r="E1383">
        <v>39</v>
      </c>
      <c r="F1383" t="s">
        <v>46</v>
      </c>
      <c r="G1383" t="s">
        <v>38</v>
      </c>
      <c r="H1383" s="1">
        <v>44243</v>
      </c>
      <c r="I1383" s="2">
        <v>4.3</v>
      </c>
      <c r="J1383" t="s">
        <v>50</v>
      </c>
      <c r="K1383" s="3">
        <v>7200</v>
      </c>
      <c r="L1383" t="s">
        <v>30</v>
      </c>
      <c r="M1383">
        <v>3</v>
      </c>
      <c r="N1383">
        <v>3</v>
      </c>
      <c r="O1383">
        <v>33</v>
      </c>
      <c r="P1383" t="s">
        <v>22</v>
      </c>
      <c r="Q1383" s="1">
        <v>45802</v>
      </c>
      <c r="R1383" t="s">
        <v>40</v>
      </c>
      <c r="S1383" t="s">
        <v>169</v>
      </c>
      <c r="T1383" t="s">
        <v>33</v>
      </c>
      <c r="U1383">
        <v>1</v>
      </c>
      <c r="V1383">
        <v>0</v>
      </c>
      <c r="W1383">
        <v>1</v>
      </c>
    </row>
    <row r="1384" spans="1:23" ht="16.5" x14ac:dyDescent="0.3">
      <c r="A1384" t="s">
        <v>1451</v>
      </c>
      <c r="B1384" t="s">
        <v>70</v>
      </c>
      <c r="C1384" t="s">
        <v>36</v>
      </c>
      <c r="D1384" t="s">
        <v>26</v>
      </c>
      <c r="E1384">
        <v>29</v>
      </c>
      <c r="F1384" t="s">
        <v>27</v>
      </c>
      <c r="G1384" t="s">
        <v>38</v>
      </c>
      <c r="H1384" s="1">
        <v>43931</v>
      </c>
      <c r="I1384" s="2">
        <v>5.7</v>
      </c>
      <c r="J1384" t="s">
        <v>39</v>
      </c>
      <c r="K1384" s="3">
        <v>4700</v>
      </c>
      <c r="L1384" t="s">
        <v>30</v>
      </c>
      <c r="M1384">
        <v>3</v>
      </c>
      <c r="N1384">
        <v>3</v>
      </c>
      <c r="O1384">
        <v>38</v>
      </c>
      <c r="P1384" t="s">
        <v>21</v>
      </c>
      <c r="Q1384" s="1"/>
      <c r="U1384">
        <v>1</v>
      </c>
      <c r="V1384">
        <v>1</v>
      </c>
      <c r="W1384">
        <v>0</v>
      </c>
    </row>
    <row r="1385" spans="1:23" ht="16.5" x14ac:dyDescent="0.3">
      <c r="A1385" t="s">
        <v>1452</v>
      </c>
      <c r="B1385" t="s">
        <v>55</v>
      </c>
      <c r="C1385" t="s">
        <v>45</v>
      </c>
      <c r="D1385" t="s">
        <v>37</v>
      </c>
      <c r="E1385">
        <v>30</v>
      </c>
      <c r="F1385" t="s">
        <v>27</v>
      </c>
      <c r="G1385" t="s">
        <v>38</v>
      </c>
      <c r="H1385" s="1">
        <v>45116</v>
      </c>
      <c r="I1385" s="2">
        <v>2.5</v>
      </c>
      <c r="J1385" t="s">
        <v>29</v>
      </c>
      <c r="K1385" s="3">
        <v>8800</v>
      </c>
      <c r="L1385" t="s">
        <v>58</v>
      </c>
      <c r="M1385">
        <v>4</v>
      </c>
      <c r="N1385">
        <v>3</v>
      </c>
      <c r="O1385">
        <v>29</v>
      </c>
      <c r="P1385" t="s">
        <v>21</v>
      </c>
      <c r="Q1385" s="1"/>
      <c r="U1385">
        <v>1</v>
      </c>
      <c r="V1385">
        <v>1</v>
      </c>
      <c r="W1385">
        <v>0</v>
      </c>
    </row>
    <row r="1386" spans="1:23" ht="16.5" x14ac:dyDescent="0.3">
      <c r="A1386" t="s">
        <v>1453</v>
      </c>
      <c r="B1386" t="s">
        <v>73</v>
      </c>
      <c r="C1386" t="s">
        <v>25</v>
      </c>
      <c r="D1386" t="s">
        <v>26</v>
      </c>
      <c r="E1386">
        <v>29</v>
      </c>
      <c r="F1386" t="s">
        <v>27</v>
      </c>
      <c r="G1386" t="s">
        <v>52</v>
      </c>
      <c r="H1386" s="1">
        <v>45416</v>
      </c>
      <c r="I1386" s="2">
        <v>1.7</v>
      </c>
      <c r="J1386" t="s">
        <v>29</v>
      </c>
      <c r="K1386" s="3">
        <v>3900</v>
      </c>
      <c r="L1386" t="s">
        <v>30</v>
      </c>
      <c r="M1386">
        <v>3</v>
      </c>
      <c r="N1386">
        <v>4</v>
      </c>
      <c r="O1386">
        <v>34</v>
      </c>
      <c r="P1386" t="s">
        <v>21</v>
      </c>
      <c r="Q1386" s="1"/>
      <c r="U1386">
        <v>1</v>
      </c>
      <c r="V1386">
        <v>1</v>
      </c>
      <c r="W1386">
        <v>0</v>
      </c>
    </row>
    <row r="1387" spans="1:23" ht="16.5" x14ac:dyDescent="0.3">
      <c r="A1387" t="s">
        <v>1454</v>
      </c>
      <c r="B1387" t="s">
        <v>35</v>
      </c>
      <c r="C1387" t="s">
        <v>45</v>
      </c>
      <c r="D1387" t="s">
        <v>37</v>
      </c>
      <c r="E1387">
        <v>46</v>
      </c>
      <c r="F1387" t="s">
        <v>88</v>
      </c>
      <c r="G1387" t="s">
        <v>38</v>
      </c>
      <c r="H1387" s="1">
        <v>41935</v>
      </c>
      <c r="I1387" s="2">
        <v>11.2</v>
      </c>
      <c r="J1387" t="s">
        <v>39</v>
      </c>
      <c r="K1387" s="3">
        <v>6150</v>
      </c>
      <c r="L1387" t="s">
        <v>30</v>
      </c>
      <c r="M1387">
        <v>2</v>
      </c>
      <c r="N1387">
        <v>5</v>
      </c>
      <c r="O1387">
        <v>25</v>
      </c>
      <c r="P1387" t="s">
        <v>21</v>
      </c>
      <c r="Q1387" s="1"/>
      <c r="U1387">
        <v>1</v>
      </c>
      <c r="V1387">
        <v>1</v>
      </c>
      <c r="W1387">
        <v>0</v>
      </c>
    </row>
    <row r="1388" spans="1:23" ht="16.5" x14ac:dyDescent="0.3">
      <c r="A1388" t="s">
        <v>1455</v>
      </c>
      <c r="B1388" t="s">
        <v>44</v>
      </c>
      <c r="C1388" t="s">
        <v>45</v>
      </c>
      <c r="D1388" t="s">
        <v>26</v>
      </c>
      <c r="E1388">
        <v>28</v>
      </c>
      <c r="F1388" t="s">
        <v>27</v>
      </c>
      <c r="G1388" t="s">
        <v>38</v>
      </c>
      <c r="H1388" s="1">
        <v>44500</v>
      </c>
      <c r="I1388" s="2">
        <v>4.2</v>
      </c>
      <c r="J1388" t="s">
        <v>50</v>
      </c>
      <c r="K1388" s="3">
        <v>9500</v>
      </c>
      <c r="L1388" t="s">
        <v>30</v>
      </c>
      <c r="M1388">
        <v>4</v>
      </c>
      <c r="N1388">
        <v>4</v>
      </c>
      <c r="O1388">
        <v>6</v>
      </c>
      <c r="P1388" t="s">
        <v>21</v>
      </c>
      <c r="Q1388" s="1"/>
      <c r="U1388">
        <v>1</v>
      </c>
      <c r="V1388">
        <v>1</v>
      </c>
      <c r="W1388">
        <v>0</v>
      </c>
    </row>
    <row r="1389" spans="1:23" ht="16.5" x14ac:dyDescent="0.3">
      <c r="A1389" t="s">
        <v>1456</v>
      </c>
      <c r="B1389" t="s">
        <v>48</v>
      </c>
      <c r="C1389" t="s">
        <v>45</v>
      </c>
      <c r="D1389" t="s">
        <v>26</v>
      </c>
      <c r="E1389">
        <v>38</v>
      </c>
      <c r="F1389" t="s">
        <v>46</v>
      </c>
      <c r="G1389" t="s">
        <v>38</v>
      </c>
      <c r="H1389" s="1">
        <v>41846</v>
      </c>
      <c r="I1389" s="2">
        <v>11.4</v>
      </c>
      <c r="J1389" t="s">
        <v>39</v>
      </c>
      <c r="K1389" s="3">
        <v>10950</v>
      </c>
      <c r="L1389" t="s">
        <v>30</v>
      </c>
      <c r="M1389">
        <v>1</v>
      </c>
      <c r="N1389">
        <v>4</v>
      </c>
      <c r="O1389">
        <v>16</v>
      </c>
      <c r="P1389" t="s">
        <v>21</v>
      </c>
      <c r="Q1389" s="1"/>
      <c r="U1389">
        <v>1</v>
      </c>
      <c r="V1389">
        <v>1</v>
      </c>
      <c r="W1389">
        <v>0</v>
      </c>
    </row>
    <row r="1390" spans="1:23" ht="16.5" x14ac:dyDescent="0.3">
      <c r="A1390" t="s">
        <v>1457</v>
      </c>
      <c r="B1390" t="s">
        <v>55</v>
      </c>
      <c r="C1390" t="s">
        <v>25</v>
      </c>
      <c r="D1390" t="s">
        <v>37</v>
      </c>
      <c r="E1390">
        <v>28</v>
      </c>
      <c r="F1390" t="s">
        <v>27</v>
      </c>
      <c r="G1390" t="s">
        <v>28</v>
      </c>
      <c r="H1390" s="1">
        <v>45266</v>
      </c>
      <c r="I1390" s="2">
        <v>2.1</v>
      </c>
      <c r="J1390" t="s">
        <v>29</v>
      </c>
      <c r="K1390" s="3">
        <v>4150</v>
      </c>
      <c r="L1390" t="s">
        <v>30</v>
      </c>
      <c r="M1390">
        <v>4</v>
      </c>
      <c r="N1390">
        <v>4</v>
      </c>
      <c r="O1390">
        <v>21</v>
      </c>
      <c r="P1390" t="s">
        <v>21</v>
      </c>
      <c r="Q1390" s="1"/>
      <c r="U1390">
        <v>1</v>
      </c>
      <c r="V1390">
        <v>1</v>
      </c>
      <c r="W1390">
        <v>0</v>
      </c>
    </row>
    <row r="1391" spans="1:23" ht="16.5" x14ac:dyDescent="0.3">
      <c r="A1391" t="s">
        <v>1458</v>
      </c>
      <c r="B1391" t="s">
        <v>73</v>
      </c>
      <c r="C1391" t="s">
        <v>45</v>
      </c>
      <c r="D1391" t="s">
        <v>37</v>
      </c>
      <c r="E1391">
        <v>41</v>
      </c>
      <c r="F1391" t="s">
        <v>46</v>
      </c>
      <c r="G1391" t="s">
        <v>28</v>
      </c>
      <c r="H1391" s="1">
        <v>43300</v>
      </c>
      <c r="I1391" s="2">
        <v>7.5</v>
      </c>
      <c r="J1391" t="s">
        <v>39</v>
      </c>
      <c r="K1391" s="3">
        <v>6750</v>
      </c>
      <c r="L1391" t="s">
        <v>30</v>
      </c>
      <c r="M1391">
        <v>4</v>
      </c>
      <c r="N1391">
        <v>2</v>
      </c>
      <c r="O1391">
        <v>27</v>
      </c>
      <c r="P1391" t="s">
        <v>21</v>
      </c>
      <c r="Q1391" s="1"/>
      <c r="U1391">
        <v>1</v>
      </c>
      <c r="V1391">
        <v>1</v>
      </c>
      <c r="W1391">
        <v>0</v>
      </c>
    </row>
    <row r="1392" spans="1:23" ht="16.5" x14ac:dyDescent="0.3">
      <c r="A1392" t="s">
        <v>1459</v>
      </c>
      <c r="B1392" t="s">
        <v>70</v>
      </c>
      <c r="C1392" t="s">
        <v>36</v>
      </c>
      <c r="D1392" t="s">
        <v>26</v>
      </c>
      <c r="E1392">
        <v>35</v>
      </c>
      <c r="F1392" t="s">
        <v>27</v>
      </c>
      <c r="G1392" t="s">
        <v>38</v>
      </c>
      <c r="H1392" s="1">
        <v>44190</v>
      </c>
      <c r="I1392" s="2">
        <v>5</v>
      </c>
      <c r="J1392" t="s">
        <v>50</v>
      </c>
      <c r="K1392" s="3">
        <v>5500</v>
      </c>
      <c r="L1392" t="s">
        <v>30</v>
      </c>
      <c r="M1392">
        <v>4</v>
      </c>
      <c r="N1392">
        <v>4</v>
      </c>
      <c r="O1392">
        <v>15</v>
      </c>
      <c r="P1392" t="s">
        <v>21</v>
      </c>
      <c r="Q1392" s="1"/>
      <c r="U1392">
        <v>1</v>
      </c>
      <c r="V1392">
        <v>1</v>
      </c>
      <c r="W1392">
        <v>0</v>
      </c>
    </row>
    <row r="1393" spans="1:23" ht="16.5" x14ac:dyDescent="0.3">
      <c r="A1393" t="s">
        <v>1460</v>
      </c>
      <c r="B1393" t="s">
        <v>24</v>
      </c>
      <c r="C1393" t="s">
        <v>25</v>
      </c>
      <c r="D1393" t="s">
        <v>26</v>
      </c>
      <c r="E1393">
        <v>35</v>
      </c>
      <c r="F1393" t="s">
        <v>27</v>
      </c>
      <c r="G1393" t="s">
        <v>38</v>
      </c>
      <c r="H1393" s="1">
        <v>42378</v>
      </c>
      <c r="I1393" s="2">
        <v>10</v>
      </c>
      <c r="J1393" t="s">
        <v>39</v>
      </c>
      <c r="K1393" s="3">
        <v>2850</v>
      </c>
      <c r="L1393" t="s">
        <v>30</v>
      </c>
      <c r="M1393">
        <v>4</v>
      </c>
      <c r="N1393">
        <v>4</v>
      </c>
      <c r="O1393">
        <v>43</v>
      </c>
      <c r="P1393" t="s">
        <v>21</v>
      </c>
      <c r="Q1393" s="1"/>
      <c r="U1393">
        <v>1</v>
      </c>
      <c r="V1393">
        <v>1</v>
      </c>
      <c r="W1393">
        <v>0</v>
      </c>
    </row>
    <row r="1394" spans="1:23" ht="16.5" x14ac:dyDescent="0.3">
      <c r="A1394" t="s">
        <v>1461</v>
      </c>
      <c r="B1394" t="s">
        <v>24</v>
      </c>
      <c r="C1394" t="s">
        <v>25</v>
      </c>
      <c r="D1394" t="s">
        <v>37</v>
      </c>
      <c r="E1394">
        <v>24</v>
      </c>
      <c r="F1394" t="s">
        <v>57</v>
      </c>
      <c r="G1394" t="s">
        <v>38</v>
      </c>
      <c r="H1394" s="1">
        <v>45151</v>
      </c>
      <c r="I1394" s="2">
        <v>0.4</v>
      </c>
      <c r="J1394" t="s">
        <v>64</v>
      </c>
      <c r="K1394" s="3">
        <v>3000</v>
      </c>
      <c r="L1394" t="s">
        <v>58</v>
      </c>
      <c r="M1394">
        <v>3</v>
      </c>
      <c r="N1394">
        <v>4</v>
      </c>
      <c r="O1394">
        <v>31</v>
      </c>
      <c r="P1394" t="s">
        <v>22</v>
      </c>
      <c r="Q1394" s="1">
        <v>45309</v>
      </c>
      <c r="R1394" t="s">
        <v>31</v>
      </c>
      <c r="S1394" t="s">
        <v>107</v>
      </c>
      <c r="T1394" t="s">
        <v>60</v>
      </c>
      <c r="U1394">
        <v>1</v>
      </c>
      <c r="V1394">
        <v>0</v>
      </c>
      <c r="W1394">
        <v>1</v>
      </c>
    </row>
    <row r="1395" spans="1:23" ht="16.5" x14ac:dyDescent="0.3">
      <c r="A1395" t="s">
        <v>1462</v>
      </c>
      <c r="B1395" t="s">
        <v>24</v>
      </c>
      <c r="C1395" t="s">
        <v>25</v>
      </c>
      <c r="D1395" t="s">
        <v>26</v>
      </c>
      <c r="E1395">
        <v>30</v>
      </c>
      <c r="F1395" t="s">
        <v>27</v>
      </c>
      <c r="G1395" t="s">
        <v>28</v>
      </c>
      <c r="H1395" s="1">
        <v>44324</v>
      </c>
      <c r="I1395" s="2">
        <v>4.5999999999999996</v>
      </c>
      <c r="J1395" t="s">
        <v>50</v>
      </c>
      <c r="K1395" s="3">
        <v>3350</v>
      </c>
      <c r="L1395" t="s">
        <v>58</v>
      </c>
      <c r="M1395">
        <v>3</v>
      </c>
      <c r="N1395">
        <v>3</v>
      </c>
      <c r="O1395">
        <v>45</v>
      </c>
      <c r="P1395" t="s">
        <v>21</v>
      </c>
      <c r="Q1395" s="1"/>
      <c r="U1395">
        <v>1</v>
      </c>
      <c r="V1395">
        <v>1</v>
      </c>
      <c r="W1395">
        <v>0</v>
      </c>
    </row>
    <row r="1396" spans="1:23" ht="16.5" x14ac:dyDescent="0.3">
      <c r="A1396" t="s">
        <v>1463</v>
      </c>
      <c r="B1396" t="s">
        <v>70</v>
      </c>
      <c r="C1396" t="s">
        <v>36</v>
      </c>
      <c r="D1396" t="s">
        <v>26</v>
      </c>
      <c r="E1396">
        <v>32</v>
      </c>
      <c r="F1396" t="s">
        <v>27</v>
      </c>
      <c r="G1396" t="s">
        <v>38</v>
      </c>
      <c r="H1396" s="1">
        <v>43313</v>
      </c>
      <c r="I1396" s="2">
        <v>7.4</v>
      </c>
      <c r="J1396" t="s">
        <v>39</v>
      </c>
      <c r="K1396" s="3">
        <v>4900</v>
      </c>
      <c r="L1396" t="s">
        <v>30</v>
      </c>
      <c r="M1396">
        <v>3</v>
      </c>
      <c r="N1396">
        <v>3</v>
      </c>
      <c r="O1396">
        <v>17</v>
      </c>
      <c r="P1396" t="s">
        <v>21</v>
      </c>
      <c r="Q1396" s="1"/>
      <c r="U1396">
        <v>1</v>
      </c>
      <c r="V1396">
        <v>1</v>
      </c>
      <c r="W1396">
        <v>0</v>
      </c>
    </row>
    <row r="1397" spans="1:23" ht="16.5" x14ac:dyDescent="0.3">
      <c r="A1397" t="s">
        <v>1464</v>
      </c>
      <c r="B1397" t="s">
        <v>73</v>
      </c>
      <c r="C1397" t="s">
        <v>45</v>
      </c>
      <c r="D1397" t="s">
        <v>26</v>
      </c>
      <c r="E1397">
        <v>34</v>
      </c>
      <c r="F1397" t="s">
        <v>27</v>
      </c>
      <c r="G1397" t="s">
        <v>52</v>
      </c>
      <c r="H1397" s="1">
        <v>43331</v>
      </c>
      <c r="I1397" s="2">
        <v>7.4</v>
      </c>
      <c r="J1397" t="s">
        <v>39</v>
      </c>
      <c r="K1397" s="3">
        <v>6950</v>
      </c>
      <c r="L1397" t="s">
        <v>30</v>
      </c>
      <c r="M1397">
        <v>3</v>
      </c>
      <c r="N1397">
        <v>3</v>
      </c>
      <c r="O1397">
        <v>34</v>
      </c>
      <c r="P1397" t="s">
        <v>21</v>
      </c>
      <c r="Q1397" s="1"/>
      <c r="U1397">
        <v>1</v>
      </c>
      <c r="V1397">
        <v>1</v>
      </c>
      <c r="W1397">
        <v>0</v>
      </c>
    </row>
    <row r="1398" spans="1:23" ht="16.5" x14ac:dyDescent="0.3">
      <c r="A1398" t="s">
        <v>1465</v>
      </c>
      <c r="B1398" t="s">
        <v>48</v>
      </c>
      <c r="C1398" t="s">
        <v>36</v>
      </c>
      <c r="D1398" t="s">
        <v>37</v>
      </c>
      <c r="E1398">
        <v>36</v>
      </c>
      <c r="F1398" t="s">
        <v>46</v>
      </c>
      <c r="G1398" t="s">
        <v>28</v>
      </c>
      <c r="H1398" s="1">
        <v>44205</v>
      </c>
      <c r="I1398" s="2">
        <v>5</v>
      </c>
      <c r="J1398" t="s">
        <v>50</v>
      </c>
      <c r="K1398" s="3">
        <v>6950</v>
      </c>
      <c r="L1398" t="s">
        <v>30</v>
      </c>
      <c r="M1398">
        <v>3</v>
      </c>
      <c r="N1398">
        <v>3</v>
      </c>
      <c r="O1398">
        <v>22</v>
      </c>
      <c r="P1398" t="s">
        <v>21</v>
      </c>
      <c r="Q1398" s="1"/>
      <c r="U1398">
        <v>1</v>
      </c>
      <c r="V1398">
        <v>1</v>
      </c>
      <c r="W1398">
        <v>0</v>
      </c>
    </row>
    <row r="1399" spans="1:23" ht="16.5" x14ac:dyDescent="0.3">
      <c r="A1399" t="s">
        <v>1466</v>
      </c>
      <c r="B1399" t="s">
        <v>44</v>
      </c>
      <c r="C1399" t="s">
        <v>36</v>
      </c>
      <c r="D1399" t="s">
        <v>26</v>
      </c>
      <c r="E1399">
        <v>36</v>
      </c>
      <c r="F1399" t="s">
        <v>46</v>
      </c>
      <c r="G1399" t="s">
        <v>38</v>
      </c>
      <c r="H1399" s="1">
        <v>42375</v>
      </c>
      <c r="I1399" s="2">
        <v>10</v>
      </c>
      <c r="J1399" t="s">
        <v>39</v>
      </c>
      <c r="K1399" s="3">
        <v>6150</v>
      </c>
      <c r="L1399" t="s">
        <v>58</v>
      </c>
      <c r="M1399">
        <v>2</v>
      </c>
      <c r="N1399">
        <v>2</v>
      </c>
      <c r="O1399">
        <v>19</v>
      </c>
      <c r="P1399" t="s">
        <v>21</v>
      </c>
      <c r="Q1399" s="1"/>
      <c r="U1399">
        <v>1</v>
      </c>
      <c r="V1399">
        <v>1</v>
      </c>
      <c r="W1399">
        <v>0</v>
      </c>
    </row>
    <row r="1400" spans="1:23" ht="16.5" x14ac:dyDescent="0.3">
      <c r="A1400" t="s">
        <v>1467</v>
      </c>
      <c r="B1400" t="s">
        <v>48</v>
      </c>
      <c r="C1400" t="s">
        <v>45</v>
      </c>
      <c r="D1400" t="s">
        <v>37</v>
      </c>
      <c r="E1400">
        <v>27</v>
      </c>
      <c r="F1400" t="s">
        <v>27</v>
      </c>
      <c r="G1400" t="s">
        <v>38</v>
      </c>
      <c r="H1400" s="1">
        <v>45678</v>
      </c>
      <c r="I1400" s="2">
        <v>0.9</v>
      </c>
      <c r="J1400" t="s">
        <v>64</v>
      </c>
      <c r="K1400" s="3">
        <v>10500</v>
      </c>
      <c r="L1400" t="s">
        <v>30</v>
      </c>
      <c r="M1400">
        <v>3</v>
      </c>
      <c r="N1400">
        <v>3</v>
      </c>
      <c r="O1400">
        <v>16</v>
      </c>
      <c r="P1400" t="s">
        <v>21</v>
      </c>
      <c r="Q1400" s="1"/>
      <c r="U1400">
        <v>1</v>
      </c>
      <c r="V1400">
        <v>1</v>
      </c>
      <c r="W1400">
        <v>0</v>
      </c>
    </row>
    <row r="1401" spans="1:23" ht="16.5" x14ac:dyDescent="0.3">
      <c r="A1401" t="s">
        <v>1468</v>
      </c>
      <c r="B1401" t="s">
        <v>24</v>
      </c>
      <c r="C1401" t="s">
        <v>45</v>
      </c>
      <c r="D1401" t="s">
        <v>26</v>
      </c>
      <c r="E1401">
        <v>40</v>
      </c>
      <c r="F1401" t="s">
        <v>46</v>
      </c>
      <c r="G1401" t="s">
        <v>28</v>
      </c>
      <c r="H1401" s="1">
        <v>44571</v>
      </c>
      <c r="I1401" s="2">
        <v>4</v>
      </c>
      <c r="J1401" t="s">
        <v>50</v>
      </c>
      <c r="K1401" s="3">
        <v>4700</v>
      </c>
      <c r="L1401" t="s">
        <v>58</v>
      </c>
      <c r="M1401">
        <v>3</v>
      </c>
      <c r="N1401">
        <v>3</v>
      </c>
      <c r="O1401">
        <v>15</v>
      </c>
      <c r="P1401" t="s">
        <v>21</v>
      </c>
      <c r="Q1401" s="1"/>
      <c r="U1401">
        <v>1</v>
      </c>
      <c r="V1401">
        <v>1</v>
      </c>
      <c r="W1401">
        <v>0</v>
      </c>
    </row>
    <row r="1402" spans="1:23" ht="16.5" x14ac:dyDescent="0.3">
      <c r="A1402" t="s">
        <v>1469</v>
      </c>
      <c r="B1402" t="s">
        <v>24</v>
      </c>
      <c r="C1402" t="s">
        <v>25</v>
      </c>
      <c r="D1402" t="s">
        <v>26</v>
      </c>
      <c r="E1402">
        <v>28</v>
      </c>
      <c r="F1402" t="s">
        <v>27</v>
      </c>
      <c r="G1402" t="s">
        <v>38</v>
      </c>
      <c r="H1402" s="1">
        <v>44780</v>
      </c>
      <c r="I1402" s="2">
        <v>1.6</v>
      </c>
      <c r="J1402" t="s">
        <v>29</v>
      </c>
      <c r="K1402" s="3">
        <v>3450</v>
      </c>
      <c r="L1402" t="s">
        <v>58</v>
      </c>
      <c r="M1402">
        <v>2</v>
      </c>
      <c r="N1402">
        <v>4</v>
      </c>
      <c r="O1402">
        <v>6</v>
      </c>
      <c r="P1402" t="s">
        <v>22</v>
      </c>
      <c r="Q1402" s="1">
        <v>45348</v>
      </c>
      <c r="R1402" t="s">
        <v>31</v>
      </c>
      <c r="S1402" t="s">
        <v>103</v>
      </c>
      <c r="T1402" t="s">
        <v>151</v>
      </c>
      <c r="U1402">
        <v>1</v>
      </c>
      <c r="V1402">
        <v>0</v>
      </c>
      <c r="W1402">
        <v>1</v>
      </c>
    </row>
    <row r="1403" spans="1:23" ht="16.5" x14ac:dyDescent="0.3">
      <c r="A1403" t="s">
        <v>1470</v>
      </c>
      <c r="B1403" t="s">
        <v>24</v>
      </c>
      <c r="C1403" t="s">
        <v>25</v>
      </c>
      <c r="D1403" t="s">
        <v>37</v>
      </c>
      <c r="E1403">
        <v>25</v>
      </c>
      <c r="F1403" t="s">
        <v>57</v>
      </c>
      <c r="G1403" t="s">
        <v>38</v>
      </c>
      <c r="H1403" s="1">
        <v>44999</v>
      </c>
      <c r="I1403" s="2">
        <v>2.8</v>
      </c>
      <c r="J1403" t="s">
        <v>29</v>
      </c>
      <c r="K1403" s="3">
        <v>3450</v>
      </c>
      <c r="L1403" t="s">
        <v>30</v>
      </c>
      <c r="M1403">
        <v>4</v>
      </c>
      <c r="N1403">
        <v>4</v>
      </c>
      <c r="O1403">
        <v>37</v>
      </c>
      <c r="P1403" t="s">
        <v>21</v>
      </c>
      <c r="Q1403" s="1"/>
      <c r="U1403">
        <v>1</v>
      </c>
      <c r="V1403">
        <v>1</v>
      </c>
      <c r="W1403">
        <v>0</v>
      </c>
    </row>
    <row r="1404" spans="1:23" ht="16.5" x14ac:dyDescent="0.3">
      <c r="A1404" t="s">
        <v>1471</v>
      </c>
      <c r="B1404" t="s">
        <v>48</v>
      </c>
      <c r="C1404" t="s">
        <v>45</v>
      </c>
      <c r="D1404" t="s">
        <v>37</v>
      </c>
      <c r="E1404">
        <v>46</v>
      </c>
      <c r="F1404" t="s">
        <v>88</v>
      </c>
      <c r="G1404" t="s">
        <v>38</v>
      </c>
      <c r="H1404" s="1">
        <v>40795</v>
      </c>
      <c r="I1404" s="2">
        <v>14.3</v>
      </c>
      <c r="J1404" t="s">
        <v>39</v>
      </c>
      <c r="K1404" s="3">
        <v>11800</v>
      </c>
      <c r="L1404" t="s">
        <v>30</v>
      </c>
      <c r="M1404">
        <v>5</v>
      </c>
      <c r="N1404">
        <v>2</v>
      </c>
      <c r="O1404">
        <v>36</v>
      </c>
      <c r="P1404" t="s">
        <v>21</v>
      </c>
      <c r="Q1404" s="1"/>
      <c r="U1404">
        <v>1</v>
      </c>
      <c r="V1404">
        <v>1</v>
      </c>
      <c r="W1404">
        <v>0</v>
      </c>
    </row>
    <row r="1405" spans="1:23" ht="16.5" x14ac:dyDescent="0.3">
      <c r="A1405" t="s">
        <v>1472</v>
      </c>
      <c r="B1405" t="s">
        <v>35</v>
      </c>
      <c r="C1405" t="s">
        <v>36</v>
      </c>
      <c r="D1405" t="s">
        <v>37</v>
      </c>
      <c r="E1405">
        <v>35</v>
      </c>
      <c r="F1405" t="s">
        <v>27</v>
      </c>
      <c r="G1405" t="s">
        <v>28</v>
      </c>
      <c r="H1405" s="1">
        <v>42587</v>
      </c>
      <c r="I1405" s="2">
        <v>9.4</v>
      </c>
      <c r="J1405" t="s">
        <v>39</v>
      </c>
      <c r="K1405" s="3">
        <v>4450</v>
      </c>
      <c r="L1405" t="s">
        <v>58</v>
      </c>
      <c r="M1405">
        <v>5</v>
      </c>
      <c r="N1405">
        <v>3</v>
      </c>
      <c r="O1405">
        <v>11</v>
      </c>
      <c r="P1405" t="s">
        <v>21</v>
      </c>
      <c r="Q1405" s="1"/>
      <c r="U1405">
        <v>1</v>
      </c>
      <c r="V1405">
        <v>1</v>
      </c>
      <c r="W1405">
        <v>0</v>
      </c>
    </row>
    <row r="1406" spans="1:23" ht="16.5" x14ac:dyDescent="0.3">
      <c r="A1406" t="s">
        <v>1473</v>
      </c>
      <c r="B1406" t="s">
        <v>55</v>
      </c>
      <c r="C1406" t="s">
        <v>45</v>
      </c>
      <c r="D1406" t="s">
        <v>26</v>
      </c>
      <c r="E1406">
        <v>38</v>
      </c>
      <c r="F1406" t="s">
        <v>46</v>
      </c>
      <c r="G1406" t="s">
        <v>28</v>
      </c>
      <c r="H1406" s="1">
        <v>42024</v>
      </c>
      <c r="I1406" s="2">
        <v>10.9</v>
      </c>
      <c r="J1406" t="s">
        <v>39</v>
      </c>
      <c r="K1406" s="3">
        <v>7400</v>
      </c>
      <c r="L1406" t="s">
        <v>30</v>
      </c>
      <c r="M1406">
        <v>3</v>
      </c>
      <c r="N1406">
        <v>5</v>
      </c>
      <c r="O1406">
        <v>36</v>
      </c>
      <c r="P1406" t="s">
        <v>21</v>
      </c>
      <c r="Q1406" s="1"/>
      <c r="U1406">
        <v>1</v>
      </c>
      <c r="V1406">
        <v>1</v>
      </c>
      <c r="W1406">
        <v>0</v>
      </c>
    </row>
    <row r="1407" spans="1:23" ht="16.5" x14ac:dyDescent="0.3">
      <c r="A1407" t="s">
        <v>1474</v>
      </c>
      <c r="B1407" t="s">
        <v>48</v>
      </c>
      <c r="C1407" t="s">
        <v>25</v>
      </c>
      <c r="D1407" t="s">
        <v>37</v>
      </c>
      <c r="E1407">
        <v>21</v>
      </c>
      <c r="F1407" t="s">
        <v>57</v>
      </c>
      <c r="G1407" t="s">
        <v>52</v>
      </c>
      <c r="H1407" s="1">
        <v>45965</v>
      </c>
      <c r="I1407" s="2">
        <v>0.2</v>
      </c>
      <c r="J1407" t="s">
        <v>64</v>
      </c>
      <c r="K1407" s="3">
        <v>6600</v>
      </c>
      <c r="L1407" t="s">
        <v>30</v>
      </c>
      <c r="M1407">
        <v>3</v>
      </c>
      <c r="N1407">
        <v>4</v>
      </c>
      <c r="O1407">
        <v>14</v>
      </c>
      <c r="P1407" t="s">
        <v>21</v>
      </c>
      <c r="Q1407" s="1"/>
      <c r="U1407">
        <v>1</v>
      </c>
      <c r="V1407">
        <v>1</v>
      </c>
      <c r="W1407">
        <v>0</v>
      </c>
    </row>
    <row r="1408" spans="1:23" ht="16.5" x14ac:dyDescent="0.3">
      <c r="A1408" t="s">
        <v>1475</v>
      </c>
      <c r="B1408" t="s">
        <v>48</v>
      </c>
      <c r="C1408" t="s">
        <v>25</v>
      </c>
      <c r="D1408" t="s">
        <v>37</v>
      </c>
      <c r="E1408">
        <v>22</v>
      </c>
      <c r="F1408" t="s">
        <v>57</v>
      </c>
      <c r="G1408" t="s">
        <v>38</v>
      </c>
      <c r="H1408" s="1">
        <v>45956</v>
      </c>
      <c r="I1408" s="2">
        <v>0.2</v>
      </c>
      <c r="J1408" t="s">
        <v>64</v>
      </c>
      <c r="K1408" s="3">
        <v>7150</v>
      </c>
      <c r="L1408" t="s">
        <v>58</v>
      </c>
      <c r="M1408">
        <v>5</v>
      </c>
      <c r="N1408">
        <v>2</v>
      </c>
      <c r="O1408">
        <v>28</v>
      </c>
      <c r="P1408" t="s">
        <v>21</v>
      </c>
      <c r="Q1408" s="1"/>
      <c r="U1408">
        <v>1</v>
      </c>
      <c r="V1408">
        <v>1</v>
      </c>
      <c r="W1408">
        <v>0</v>
      </c>
    </row>
    <row r="1409" spans="1:23" ht="16.5" x14ac:dyDescent="0.3">
      <c r="A1409" t="s">
        <v>1476</v>
      </c>
      <c r="B1409" t="s">
        <v>55</v>
      </c>
      <c r="C1409" t="s">
        <v>25</v>
      </c>
      <c r="D1409" t="s">
        <v>26</v>
      </c>
      <c r="E1409">
        <v>23</v>
      </c>
      <c r="F1409" t="s">
        <v>57</v>
      </c>
      <c r="G1409" t="s">
        <v>38</v>
      </c>
      <c r="H1409" s="1">
        <v>45777</v>
      </c>
      <c r="I1409" s="2">
        <v>0.7</v>
      </c>
      <c r="J1409" t="s">
        <v>64</v>
      </c>
      <c r="K1409" s="3">
        <v>5700</v>
      </c>
      <c r="L1409" t="s">
        <v>58</v>
      </c>
      <c r="M1409">
        <v>3</v>
      </c>
      <c r="N1409">
        <v>4</v>
      </c>
      <c r="O1409">
        <v>10</v>
      </c>
      <c r="P1409" t="s">
        <v>21</v>
      </c>
      <c r="Q1409" s="1"/>
      <c r="U1409">
        <v>1</v>
      </c>
      <c r="V1409">
        <v>1</v>
      </c>
      <c r="W1409">
        <v>0</v>
      </c>
    </row>
    <row r="1410" spans="1:23" ht="16.5" x14ac:dyDescent="0.3">
      <c r="A1410" t="s">
        <v>1477</v>
      </c>
      <c r="B1410" t="s">
        <v>73</v>
      </c>
      <c r="C1410" t="s">
        <v>45</v>
      </c>
      <c r="D1410" t="s">
        <v>26</v>
      </c>
      <c r="E1410">
        <v>35</v>
      </c>
      <c r="F1410" t="s">
        <v>27</v>
      </c>
      <c r="G1410" t="s">
        <v>28</v>
      </c>
      <c r="H1410" s="1">
        <v>43967</v>
      </c>
      <c r="I1410" s="2">
        <v>5.6</v>
      </c>
      <c r="J1410" t="s">
        <v>39</v>
      </c>
      <c r="K1410" s="3">
        <v>7700</v>
      </c>
      <c r="L1410" t="s">
        <v>30</v>
      </c>
      <c r="M1410">
        <v>5</v>
      </c>
      <c r="N1410">
        <v>3</v>
      </c>
      <c r="O1410">
        <v>40</v>
      </c>
      <c r="P1410" t="s">
        <v>21</v>
      </c>
      <c r="Q1410" s="1"/>
      <c r="U1410">
        <v>1</v>
      </c>
      <c r="V1410">
        <v>1</v>
      </c>
      <c r="W1410">
        <v>0</v>
      </c>
    </row>
    <row r="1411" spans="1:23" ht="16.5" x14ac:dyDescent="0.3">
      <c r="A1411" t="s">
        <v>1478</v>
      </c>
      <c r="B1411" t="s">
        <v>24</v>
      </c>
      <c r="C1411" t="s">
        <v>36</v>
      </c>
      <c r="D1411" t="s">
        <v>26</v>
      </c>
      <c r="E1411">
        <v>29</v>
      </c>
      <c r="F1411" t="s">
        <v>27</v>
      </c>
      <c r="G1411" t="s">
        <v>28</v>
      </c>
      <c r="H1411" s="1">
        <v>43800</v>
      </c>
      <c r="I1411" s="2">
        <v>6.1</v>
      </c>
      <c r="J1411" t="s">
        <v>39</v>
      </c>
      <c r="K1411" s="3">
        <v>3250</v>
      </c>
      <c r="L1411" t="s">
        <v>58</v>
      </c>
      <c r="M1411">
        <v>3</v>
      </c>
      <c r="N1411">
        <v>4</v>
      </c>
      <c r="O1411">
        <v>19</v>
      </c>
      <c r="P1411" t="s">
        <v>21</v>
      </c>
      <c r="Q1411" s="1"/>
      <c r="U1411">
        <v>1</v>
      </c>
      <c r="V1411">
        <v>1</v>
      </c>
      <c r="W1411">
        <v>0</v>
      </c>
    </row>
    <row r="1412" spans="1:23" ht="16.5" x14ac:dyDescent="0.3">
      <c r="A1412" t="s">
        <v>1479</v>
      </c>
      <c r="B1412" t="s">
        <v>24</v>
      </c>
      <c r="C1412" t="s">
        <v>45</v>
      </c>
      <c r="D1412" t="s">
        <v>37</v>
      </c>
      <c r="E1412">
        <v>36</v>
      </c>
      <c r="F1412" t="s">
        <v>46</v>
      </c>
      <c r="G1412" t="s">
        <v>28</v>
      </c>
      <c r="H1412" s="1">
        <v>42115</v>
      </c>
      <c r="I1412" s="2">
        <v>10.7</v>
      </c>
      <c r="J1412" t="s">
        <v>39</v>
      </c>
      <c r="K1412" s="3">
        <v>4750</v>
      </c>
      <c r="L1412" t="s">
        <v>58</v>
      </c>
      <c r="M1412">
        <v>4</v>
      </c>
      <c r="N1412">
        <v>2</v>
      </c>
      <c r="O1412">
        <v>36</v>
      </c>
      <c r="P1412" t="s">
        <v>21</v>
      </c>
      <c r="Q1412" s="1"/>
      <c r="U1412">
        <v>1</v>
      </c>
      <c r="V1412">
        <v>1</v>
      </c>
      <c r="W1412">
        <v>0</v>
      </c>
    </row>
    <row r="1413" spans="1:23" ht="16.5" x14ac:dyDescent="0.3">
      <c r="A1413" t="s">
        <v>1480</v>
      </c>
      <c r="B1413" t="s">
        <v>55</v>
      </c>
      <c r="C1413" t="s">
        <v>45</v>
      </c>
      <c r="D1413" t="s">
        <v>37</v>
      </c>
      <c r="E1413">
        <v>34</v>
      </c>
      <c r="F1413" t="s">
        <v>27</v>
      </c>
      <c r="G1413" t="s">
        <v>38</v>
      </c>
      <c r="H1413" s="1">
        <v>45392</v>
      </c>
      <c r="I1413" s="2">
        <v>1.7</v>
      </c>
      <c r="J1413" t="s">
        <v>29</v>
      </c>
      <c r="K1413" s="3">
        <v>7050</v>
      </c>
      <c r="L1413" t="s">
        <v>30</v>
      </c>
      <c r="M1413">
        <v>3</v>
      </c>
      <c r="N1413">
        <v>5</v>
      </c>
      <c r="O1413">
        <v>24</v>
      </c>
      <c r="P1413" t="s">
        <v>21</v>
      </c>
      <c r="Q1413" s="1"/>
      <c r="U1413">
        <v>1</v>
      </c>
      <c r="V1413">
        <v>1</v>
      </c>
      <c r="W1413">
        <v>0</v>
      </c>
    </row>
    <row r="1414" spans="1:23" ht="16.5" x14ac:dyDescent="0.3">
      <c r="A1414" t="s">
        <v>1481</v>
      </c>
      <c r="B1414" t="s">
        <v>48</v>
      </c>
      <c r="C1414" t="s">
        <v>36</v>
      </c>
      <c r="D1414" t="s">
        <v>37</v>
      </c>
      <c r="E1414">
        <v>25</v>
      </c>
      <c r="F1414" t="s">
        <v>57</v>
      </c>
      <c r="G1414" t="s">
        <v>52</v>
      </c>
      <c r="H1414" s="1">
        <v>44891</v>
      </c>
      <c r="I1414" s="2">
        <v>3.1</v>
      </c>
      <c r="J1414" t="s">
        <v>50</v>
      </c>
      <c r="K1414" s="3">
        <v>7500</v>
      </c>
      <c r="L1414" t="s">
        <v>58</v>
      </c>
      <c r="M1414">
        <v>2</v>
      </c>
      <c r="N1414">
        <v>3</v>
      </c>
      <c r="O1414">
        <v>21</v>
      </c>
      <c r="P1414" t="s">
        <v>21</v>
      </c>
      <c r="Q1414" s="1"/>
      <c r="U1414">
        <v>1</v>
      </c>
      <c r="V1414">
        <v>1</v>
      </c>
      <c r="W1414">
        <v>0</v>
      </c>
    </row>
    <row r="1415" spans="1:23" ht="16.5" x14ac:dyDescent="0.3">
      <c r="A1415" t="s">
        <v>1482</v>
      </c>
      <c r="B1415" t="s">
        <v>48</v>
      </c>
      <c r="C1415" t="s">
        <v>25</v>
      </c>
      <c r="D1415" t="s">
        <v>37</v>
      </c>
      <c r="E1415">
        <v>24</v>
      </c>
      <c r="F1415" t="s">
        <v>57</v>
      </c>
      <c r="G1415" t="s">
        <v>28</v>
      </c>
      <c r="H1415" s="1">
        <v>45376</v>
      </c>
      <c r="I1415" s="2">
        <v>1.5</v>
      </c>
      <c r="J1415" t="s">
        <v>29</v>
      </c>
      <c r="K1415" s="3">
        <v>4250</v>
      </c>
      <c r="L1415" t="s">
        <v>30</v>
      </c>
      <c r="M1415">
        <v>3</v>
      </c>
      <c r="N1415">
        <v>3</v>
      </c>
      <c r="O1415">
        <v>14</v>
      </c>
      <c r="P1415" t="s">
        <v>22</v>
      </c>
      <c r="Q1415" s="1">
        <v>45916</v>
      </c>
      <c r="R1415" t="s">
        <v>40</v>
      </c>
      <c r="S1415" t="s">
        <v>259</v>
      </c>
      <c r="T1415" t="s">
        <v>33</v>
      </c>
      <c r="U1415">
        <v>1</v>
      </c>
      <c r="V1415">
        <v>0</v>
      </c>
      <c r="W1415">
        <v>1</v>
      </c>
    </row>
    <row r="1416" spans="1:23" ht="16.5" x14ac:dyDescent="0.3">
      <c r="A1416" t="s">
        <v>1483</v>
      </c>
      <c r="B1416" t="s">
        <v>44</v>
      </c>
      <c r="C1416" t="s">
        <v>87</v>
      </c>
      <c r="D1416" t="s">
        <v>37</v>
      </c>
      <c r="E1416">
        <v>47</v>
      </c>
      <c r="F1416" t="s">
        <v>88</v>
      </c>
      <c r="G1416" t="s">
        <v>28</v>
      </c>
      <c r="H1416" s="1">
        <v>42250</v>
      </c>
      <c r="I1416" s="2">
        <v>10.3</v>
      </c>
      <c r="J1416" t="s">
        <v>39</v>
      </c>
      <c r="K1416" s="3">
        <v>13850</v>
      </c>
      <c r="L1416" t="s">
        <v>30</v>
      </c>
      <c r="M1416">
        <v>4</v>
      </c>
      <c r="N1416">
        <v>4</v>
      </c>
      <c r="O1416">
        <v>23</v>
      </c>
      <c r="P1416" t="s">
        <v>21</v>
      </c>
      <c r="Q1416" s="1"/>
      <c r="U1416">
        <v>1</v>
      </c>
      <c r="V1416">
        <v>1</v>
      </c>
      <c r="W1416">
        <v>0</v>
      </c>
    </row>
    <row r="1417" spans="1:23" ht="16.5" x14ac:dyDescent="0.3">
      <c r="A1417" t="s">
        <v>1484</v>
      </c>
      <c r="B1417" t="s">
        <v>24</v>
      </c>
      <c r="C1417" t="s">
        <v>25</v>
      </c>
      <c r="D1417" t="s">
        <v>37</v>
      </c>
      <c r="E1417">
        <v>27</v>
      </c>
      <c r="F1417" t="s">
        <v>27</v>
      </c>
      <c r="G1417" t="s">
        <v>28</v>
      </c>
      <c r="H1417" s="1">
        <v>44628</v>
      </c>
      <c r="I1417" s="2">
        <v>3.8</v>
      </c>
      <c r="J1417" t="s">
        <v>50</v>
      </c>
      <c r="K1417" s="3">
        <v>2550</v>
      </c>
      <c r="L1417" t="s">
        <v>30</v>
      </c>
      <c r="M1417">
        <v>4</v>
      </c>
      <c r="N1417">
        <v>5</v>
      </c>
      <c r="O1417">
        <v>29</v>
      </c>
      <c r="P1417" t="s">
        <v>21</v>
      </c>
      <c r="Q1417" s="1"/>
      <c r="U1417">
        <v>1</v>
      </c>
      <c r="V1417">
        <v>1</v>
      </c>
      <c r="W1417">
        <v>0</v>
      </c>
    </row>
    <row r="1418" spans="1:23" ht="16.5" x14ac:dyDescent="0.3">
      <c r="A1418" t="s">
        <v>1485</v>
      </c>
      <c r="B1418" t="s">
        <v>70</v>
      </c>
      <c r="C1418" t="s">
        <v>36</v>
      </c>
      <c r="D1418" t="s">
        <v>26</v>
      </c>
      <c r="E1418">
        <v>21</v>
      </c>
      <c r="F1418" t="s">
        <v>57</v>
      </c>
      <c r="G1418" t="s">
        <v>38</v>
      </c>
      <c r="H1418" s="1">
        <v>45962</v>
      </c>
      <c r="I1418" s="2">
        <v>0.2</v>
      </c>
      <c r="J1418" t="s">
        <v>64</v>
      </c>
      <c r="K1418" s="3">
        <v>5900</v>
      </c>
      <c r="L1418" t="s">
        <v>58</v>
      </c>
      <c r="M1418">
        <v>4</v>
      </c>
      <c r="N1418">
        <v>3</v>
      </c>
      <c r="O1418">
        <v>52</v>
      </c>
      <c r="P1418" t="s">
        <v>21</v>
      </c>
      <c r="Q1418" s="1"/>
      <c r="U1418">
        <v>1</v>
      </c>
      <c r="V1418">
        <v>1</v>
      </c>
      <c r="W1418">
        <v>0</v>
      </c>
    </row>
    <row r="1419" spans="1:23" ht="16.5" x14ac:dyDescent="0.3">
      <c r="A1419" t="s">
        <v>1486</v>
      </c>
      <c r="B1419" t="s">
        <v>24</v>
      </c>
      <c r="C1419" t="s">
        <v>45</v>
      </c>
      <c r="D1419" t="s">
        <v>37</v>
      </c>
      <c r="E1419">
        <v>49</v>
      </c>
      <c r="F1419" t="s">
        <v>88</v>
      </c>
      <c r="G1419" t="s">
        <v>38</v>
      </c>
      <c r="H1419" s="1">
        <v>42006</v>
      </c>
      <c r="I1419" s="2">
        <v>11</v>
      </c>
      <c r="J1419" t="s">
        <v>39</v>
      </c>
      <c r="K1419" s="3">
        <v>4400</v>
      </c>
      <c r="L1419" t="s">
        <v>58</v>
      </c>
      <c r="M1419">
        <v>4</v>
      </c>
      <c r="N1419">
        <v>3</v>
      </c>
      <c r="O1419">
        <v>18</v>
      </c>
      <c r="P1419" t="s">
        <v>21</v>
      </c>
      <c r="Q1419" s="1"/>
      <c r="U1419">
        <v>1</v>
      </c>
      <c r="V1419">
        <v>1</v>
      </c>
      <c r="W1419">
        <v>0</v>
      </c>
    </row>
    <row r="1420" spans="1:23" ht="16.5" x14ac:dyDescent="0.3">
      <c r="A1420" t="s">
        <v>1487</v>
      </c>
      <c r="B1420" t="s">
        <v>44</v>
      </c>
      <c r="C1420" t="s">
        <v>25</v>
      </c>
      <c r="D1420" t="s">
        <v>26</v>
      </c>
      <c r="E1420">
        <v>29</v>
      </c>
      <c r="F1420" t="s">
        <v>27</v>
      </c>
      <c r="G1420" t="s">
        <v>38</v>
      </c>
      <c r="H1420" s="1">
        <v>44591</v>
      </c>
      <c r="I1420" s="2">
        <v>3.9</v>
      </c>
      <c r="J1420" t="s">
        <v>50</v>
      </c>
      <c r="K1420" s="3">
        <v>5600</v>
      </c>
      <c r="L1420" t="s">
        <v>58</v>
      </c>
      <c r="M1420">
        <v>3</v>
      </c>
      <c r="N1420">
        <v>3</v>
      </c>
      <c r="O1420">
        <v>51</v>
      </c>
      <c r="P1420" t="s">
        <v>21</v>
      </c>
      <c r="Q1420" s="1"/>
      <c r="U1420">
        <v>1</v>
      </c>
      <c r="V1420">
        <v>1</v>
      </c>
      <c r="W1420">
        <v>0</v>
      </c>
    </row>
    <row r="1421" spans="1:23" ht="16.5" x14ac:dyDescent="0.3">
      <c r="A1421" t="s">
        <v>1488</v>
      </c>
      <c r="B1421" t="s">
        <v>24</v>
      </c>
      <c r="C1421" t="s">
        <v>45</v>
      </c>
      <c r="D1421" t="s">
        <v>37</v>
      </c>
      <c r="E1421">
        <v>31</v>
      </c>
      <c r="F1421" t="s">
        <v>27</v>
      </c>
      <c r="G1421" t="s">
        <v>52</v>
      </c>
      <c r="H1421" s="1">
        <v>45199</v>
      </c>
      <c r="I1421" s="2">
        <v>2.2999999999999998</v>
      </c>
      <c r="J1421" t="s">
        <v>29</v>
      </c>
      <c r="K1421" s="3">
        <v>5100</v>
      </c>
      <c r="L1421" t="s">
        <v>30</v>
      </c>
      <c r="M1421">
        <v>4</v>
      </c>
      <c r="N1421">
        <v>3</v>
      </c>
      <c r="O1421">
        <v>34</v>
      </c>
      <c r="P1421" t="s">
        <v>21</v>
      </c>
      <c r="Q1421" s="1"/>
      <c r="U1421">
        <v>1</v>
      </c>
      <c r="V1421">
        <v>1</v>
      </c>
      <c r="W1421">
        <v>0</v>
      </c>
    </row>
    <row r="1422" spans="1:23" ht="16.5" x14ac:dyDescent="0.3">
      <c r="A1422" t="s">
        <v>1489</v>
      </c>
      <c r="B1422" t="s">
        <v>48</v>
      </c>
      <c r="C1422" t="s">
        <v>45</v>
      </c>
      <c r="D1422" t="s">
        <v>37</v>
      </c>
      <c r="E1422">
        <v>39</v>
      </c>
      <c r="F1422" t="s">
        <v>46</v>
      </c>
      <c r="G1422" t="s">
        <v>38</v>
      </c>
      <c r="H1422" s="1">
        <v>41962</v>
      </c>
      <c r="I1422" s="2">
        <v>11.1</v>
      </c>
      <c r="J1422" t="s">
        <v>39</v>
      </c>
      <c r="K1422" s="3">
        <v>11150</v>
      </c>
      <c r="L1422" t="s">
        <v>30</v>
      </c>
      <c r="M1422">
        <v>5</v>
      </c>
      <c r="N1422">
        <v>3</v>
      </c>
      <c r="O1422">
        <v>21</v>
      </c>
      <c r="P1422" t="s">
        <v>21</v>
      </c>
      <c r="Q1422" s="1"/>
      <c r="U1422">
        <v>1</v>
      </c>
      <c r="V1422">
        <v>1</v>
      </c>
      <c r="W1422">
        <v>0</v>
      </c>
    </row>
    <row r="1423" spans="1:23" ht="16.5" x14ac:dyDescent="0.3">
      <c r="A1423" t="s">
        <v>1490</v>
      </c>
      <c r="B1423" t="s">
        <v>73</v>
      </c>
      <c r="C1423" t="s">
        <v>36</v>
      </c>
      <c r="D1423" t="s">
        <v>37</v>
      </c>
      <c r="E1423">
        <v>30</v>
      </c>
      <c r="F1423" t="s">
        <v>27</v>
      </c>
      <c r="G1423" t="s">
        <v>38</v>
      </c>
      <c r="H1423" s="1">
        <v>44655</v>
      </c>
      <c r="I1423" s="2">
        <v>3.7</v>
      </c>
      <c r="J1423" t="s">
        <v>50</v>
      </c>
      <c r="K1423" s="3">
        <v>4800</v>
      </c>
      <c r="L1423" t="s">
        <v>58</v>
      </c>
      <c r="M1423">
        <v>4</v>
      </c>
      <c r="N1423">
        <v>4</v>
      </c>
      <c r="O1423">
        <v>17</v>
      </c>
      <c r="P1423" t="s">
        <v>21</v>
      </c>
      <c r="Q1423" s="1"/>
      <c r="U1423">
        <v>1</v>
      </c>
      <c r="V1423">
        <v>1</v>
      </c>
      <c r="W1423">
        <v>0</v>
      </c>
    </row>
    <row r="1424" spans="1:23" ht="16.5" x14ac:dyDescent="0.3">
      <c r="A1424" t="s">
        <v>1491</v>
      </c>
      <c r="B1424" t="s">
        <v>70</v>
      </c>
      <c r="C1424" t="s">
        <v>36</v>
      </c>
      <c r="D1424" t="s">
        <v>26</v>
      </c>
      <c r="E1424">
        <v>39</v>
      </c>
      <c r="F1424" t="s">
        <v>46</v>
      </c>
      <c r="G1424" t="s">
        <v>28</v>
      </c>
      <c r="H1424" s="1">
        <v>43702</v>
      </c>
      <c r="I1424" s="2">
        <v>6.4</v>
      </c>
      <c r="J1424" t="s">
        <v>39</v>
      </c>
      <c r="K1424" s="3">
        <v>6150</v>
      </c>
      <c r="L1424" t="s">
        <v>30</v>
      </c>
      <c r="M1424">
        <v>4</v>
      </c>
      <c r="N1424">
        <v>3</v>
      </c>
      <c r="O1424">
        <v>32</v>
      </c>
      <c r="P1424" t="s">
        <v>21</v>
      </c>
      <c r="Q1424" s="1"/>
      <c r="U1424">
        <v>1</v>
      </c>
      <c r="V1424">
        <v>1</v>
      </c>
      <c r="W1424">
        <v>0</v>
      </c>
    </row>
    <row r="1425" spans="1:23" ht="16.5" x14ac:dyDescent="0.3">
      <c r="A1425" t="s">
        <v>1492</v>
      </c>
      <c r="B1425" t="s">
        <v>35</v>
      </c>
      <c r="C1425" t="s">
        <v>25</v>
      </c>
      <c r="D1425" t="s">
        <v>37</v>
      </c>
      <c r="E1425">
        <v>31</v>
      </c>
      <c r="F1425" t="s">
        <v>27</v>
      </c>
      <c r="G1425" t="s">
        <v>38</v>
      </c>
      <c r="H1425" s="1">
        <v>44264</v>
      </c>
      <c r="I1425" s="2">
        <v>4.8</v>
      </c>
      <c r="J1425" t="s">
        <v>50</v>
      </c>
      <c r="K1425" s="3">
        <v>4000</v>
      </c>
      <c r="L1425" t="s">
        <v>58</v>
      </c>
      <c r="M1425">
        <v>3</v>
      </c>
      <c r="N1425">
        <v>3</v>
      </c>
      <c r="O1425">
        <v>17</v>
      </c>
      <c r="P1425" t="s">
        <v>21</v>
      </c>
      <c r="Q1425" s="1"/>
      <c r="U1425">
        <v>1</v>
      </c>
      <c r="V1425">
        <v>1</v>
      </c>
      <c r="W1425">
        <v>0</v>
      </c>
    </row>
    <row r="1426" spans="1:23" ht="16.5" x14ac:dyDescent="0.3">
      <c r="A1426" t="s">
        <v>1493</v>
      </c>
      <c r="B1426" t="s">
        <v>24</v>
      </c>
      <c r="C1426" t="s">
        <v>25</v>
      </c>
      <c r="D1426" t="s">
        <v>26</v>
      </c>
      <c r="E1426">
        <v>29</v>
      </c>
      <c r="F1426" t="s">
        <v>27</v>
      </c>
      <c r="G1426" t="s">
        <v>38</v>
      </c>
      <c r="H1426" s="1">
        <v>43945</v>
      </c>
      <c r="I1426" s="2">
        <v>5</v>
      </c>
      <c r="J1426" t="s">
        <v>50</v>
      </c>
      <c r="K1426" s="3">
        <v>2450</v>
      </c>
      <c r="L1426" t="s">
        <v>58</v>
      </c>
      <c r="M1426">
        <v>4</v>
      </c>
      <c r="N1426">
        <v>4</v>
      </c>
      <c r="O1426">
        <v>18</v>
      </c>
      <c r="P1426" t="s">
        <v>22</v>
      </c>
      <c r="Q1426" s="1">
        <v>45755</v>
      </c>
      <c r="R1426" t="s">
        <v>40</v>
      </c>
      <c r="S1426" t="s">
        <v>153</v>
      </c>
      <c r="T1426" t="s">
        <v>33</v>
      </c>
      <c r="U1426">
        <v>1</v>
      </c>
      <c r="V1426">
        <v>0</v>
      </c>
      <c r="W1426">
        <v>1</v>
      </c>
    </row>
    <row r="1427" spans="1:23" ht="16.5" x14ac:dyDescent="0.3">
      <c r="A1427" t="s">
        <v>1494</v>
      </c>
      <c r="B1427" t="s">
        <v>35</v>
      </c>
      <c r="C1427" t="s">
        <v>25</v>
      </c>
      <c r="D1427" t="s">
        <v>26</v>
      </c>
      <c r="E1427">
        <v>34</v>
      </c>
      <c r="F1427" t="s">
        <v>27</v>
      </c>
      <c r="G1427" t="s">
        <v>38</v>
      </c>
      <c r="H1427" s="1">
        <v>45400</v>
      </c>
      <c r="I1427" s="2">
        <v>1.7</v>
      </c>
      <c r="J1427" t="s">
        <v>29</v>
      </c>
      <c r="K1427" s="3">
        <v>3750</v>
      </c>
      <c r="L1427" t="s">
        <v>58</v>
      </c>
      <c r="M1427">
        <v>4</v>
      </c>
      <c r="N1427">
        <v>5</v>
      </c>
      <c r="O1427">
        <v>14</v>
      </c>
      <c r="P1427" t="s">
        <v>21</v>
      </c>
      <c r="Q1427" s="1"/>
      <c r="U1427">
        <v>1</v>
      </c>
      <c r="V1427">
        <v>1</v>
      </c>
      <c r="W1427">
        <v>0</v>
      </c>
    </row>
    <row r="1428" spans="1:23" ht="16.5" x14ac:dyDescent="0.3">
      <c r="A1428" t="s">
        <v>1495</v>
      </c>
      <c r="B1428" t="s">
        <v>70</v>
      </c>
      <c r="C1428" t="s">
        <v>36</v>
      </c>
      <c r="D1428" t="s">
        <v>37</v>
      </c>
      <c r="E1428">
        <v>30</v>
      </c>
      <c r="F1428" t="s">
        <v>27</v>
      </c>
      <c r="G1428" t="s">
        <v>28</v>
      </c>
      <c r="H1428" s="1">
        <v>44745</v>
      </c>
      <c r="I1428" s="2">
        <v>3.5</v>
      </c>
      <c r="J1428" t="s">
        <v>50</v>
      </c>
      <c r="K1428" s="3">
        <v>4450</v>
      </c>
      <c r="L1428" t="s">
        <v>58</v>
      </c>
      <c r="M1428">
        <v>3</v>
      </c>
      <c r="N1428">
        <v>2</v>
      </c>
      <c r="O1428">
        <v>35</v>
      </c>
      <c r="P1428" t="s">
        <v>21</v>
      </c>
      <c r="Q1428" s="1"/>
      <c r="U1428">
        <v>1</v>
      </c>
      <c r="V1428">
        <v>1</v>
      </c>
      <c r="W1428">
        <v>0</v>
      </c>
    </row>
    <row r="1429" spans="1:23" ht="16.5" x14ac:dyDescent="0.3">
      <c r="A1429" t="s">
        <v>1496</v>
      </c>
      <c r="B1429" t="s">
        <v>35</v>
      </c>
      <c r="C1429" t="s">
        <v>25</v>
      </c>
      <c r="D1429" t="s">
        <v>26</v>
      </c>
      <c r="E1429">
        <v>26</v>
      </c>
      <c r="F1429" t="s">
        <v>27</v>
      </c>
      <c r="G1429" t="s">
        <v>28</v>
      </c>
      <c r="H1429" s="1">
        <v>45738</v>
      </c>
      <c r="I1429" s="2">
        <v>0.8</v>
      </c>
      <c r="J1429" t="s">
        <v>64</v>
      </c>
      <c r="K1429" s="3">
        <v>3000</v>
      </c>
      <c r="L1429" t="s">
        <v>30</v>
      </c>
      <c r="M1429">
        <v>3</v>
      </c>
      <c r="N1429">
        <v>3</v>
      </c>
      <c r="O1429">
        <v>22</v>
      </c>
      <c r="P1429" t="s">
        <v>21</v>
      </c>
      <c r="Q1429" s="1"/>
      <c r="U1429">
        <v>1</v>
      </c>
      <c r="V1429">
        <v>1</v>
      </c>
      <c r="W1429">
        <v>0</v>
      </c>
    </row>
    <row r="1430" spans="1:23" ht="16.5" x14ac:dyDescent="0.3">
      <c r="A1430" t="s">
        <v>1497</v>
      </c>
      <c r="B1430" t="s">
        <v>70</v>
      </c>
      <c r="C1430" t="s">
        <v>45</v>
      </c>
      <c r="D1430" t="s">
        <v>37</v>
      </c>
      <c r="E1430">
        <v>46</v>
      </c>
      <c r="F1430" t="s">
        <v>88</v>
      </c>
      <c r="G1430" t="s">
        <v>28</v>
      </c>
      <c r="H1430" s="1">
        <v>43521</v>
      </c>
      <c r="I1430" s="2">
        <v>6.8</v>
      </c>
      <c r="J1430" t="s">
        <v>39</v>
      </c>
      <c r="K1430" s="3">
        <v>7850</v>
      </c>
      <c r="L1430" t="s">
        <v>30</v>
      </c>
      <c r="M1430">
        <v>3</v>
      </c>
      <c r="N1430">
        <v>3</v>
      </c>
      <c r="O1430">
        <v>13</v>
      </c>
      <c r="P1430" t="s">
        <v>21</v>
      </c>
      <c r="Q1430" s="1"/>
      <c r="U1430">
        <v>1</v>
      </c>
      <c r="V1430">
        <v>1</v>
      </c>
      <c r="W1430">
        <v>0</v>
      </c>
    </row>
    <row r="1431" spans="1:23" ht="16.5" x14ac:dyDescent="0.3">
      <c r="A1431" t="s">
        <v>1498</v>
      </c>
      <c r="B1431" t="s">
        <v>70</v>
      </c>
      <c r="C1431" t="s">
        <v>25</v>
      </c>
      <c r="D1431" t="s">
        <v>37</v>
      </c>
      <c r="E1431">
        <v>31</v>
      </c>
      <c r="F1431" t="s">
        <v>27</v>
      </c>
      <c r="G1431" t="s">
        <v>28</v>
      </c>
      <c r="H1431" s="1">
        <v>45242</v>
      </c>
      <c r="I1431" s="2">
        <v>2.1</v>
      </c>
      <c r="J1431" t="s">
        <v>29</v>
      </c>
      <c r="K1431" s="3">
        <v>3800</v>
      </c>
      <c r="L1431" t="s">
        <v>30</v>
      </c>
      <c r="M1431">
        <v>4</v>
      </c>
      <c r="N1431">
        <v>3</v>
      </c>
      <c r="O1431">
        <v>22</v>
      </c>
      <c r="P1431" t="s">
        <v>21</v>
      </c>
      <c r="Q1431" s="1"/>
      <c r="U1431">
        <v>1</v>
      </c>
      <c r="V1431">
        <v>1</v>
      </c>
      <c r="W1431">
        <v>0</v>
      </c>
    </row>
    <row r="1432" spans="1:23" ht="16.5" x14ac:dyDescent="0.3">
      <c r="A1432" t="s">
        <v>1499</v>
      </c>
      <c r="B1432" t="s">
        <v>70</v>
      </c>
      <c r="C1432" t="s">
        <v>45</v>
      </c>
      <c r="D1432" t="s">
        <v>26</v>
      </c>
      <c r="E1432">
        <v>33</v>
      </c>
      <c r="F1432" t="s">
        <v>27</v>
      </c>
      <c r="G1432" t="s">
        <v>28</v>
      </c>
      <c r="H1432" s="1">
        <v>43087</v>
      </c>
      <c r="I1432" s="2">
        <v>8</v>
      </c>
      <c r="J1432" t="s">
        <v>39</v>
      </c>
      <c r="K1432" s="3">
        <v>8500</v>
      </c>
      <c r="L1432" t="s">
        <v>30</v>
      </c>
      <c r="M1432">
        <v>2</v>
      </c>
      <c r="N1432">
        <v>3</v>
      </c>
      <c r="O1432">
        <v>37</v>
      </c>
      <c r="P1432" t="s">
        <v>21</v>
      </c>
      <c r="Q1432" s="1"/>
      <c r="U1432">
        <v>1</v>
      </c>
      <c r="V1432">
        <v>1</v>
      </c>
      <c r="W1432">
        <v>0</v>
      </c>
    </row>
    <row r="1433" spans="1:23" ht="16.5" x14ac:dyDescent="0.3">
      <c r="A1433" t="s">
        <v>1500</v>
      </c>
      <c r="B1433" t="s">
        <v>73</v>
      </c>
      <c r="C1433" t="s">
        <v>36</v>
      </c>
      <c r="D1433" t="s">
        <v>26</v>
      </c>
      <c r="E1433">
        <v>30</v>
      </c>
      <c r="F1433" t="s">
        <v>27</v>
      </c>
      <c r="G1433" t="s">
        <v>28</v>
      </c>
      <c r="H1433" s="1">
        <v>45383</v>
      </c>
      <c r="I1433" s="2">
        <v>1.7</v>
      </c>
      <c r="J1433" t="s">
        <v>29</v>
      </c>
      <c r="K1433" s="3">
        <v>4700</v>
      </c>
      <c r="L1433" t="s">
        <v>30</v>
      </c>
      <c r="M1433">
        <v>4</v>
      </c>
      <c r="N1433">
        <v>5</v>
      </c>
      <c r="O1433">
        <v>27</v>
      </c>
      <c r="P1433" t="s">
        <v>21</v>
      </c>
      <c r="Q1433" s="1"/>
      <c r="U1433">
        <v>1</v>
      </c>
      <c r="V1433">
        <v>1</v>
      </c>
      <c r="W1433">
        <v>0</v>
      </c>
    </row>
    <row r="1434" spans="1:23" ht="16.5" x14ac:dyDescent="0.3">
      <c r="A1434" t="s">
        <v>1501</v>
      </c>
      <c r="B1434" t="s">
        <v>48</v>
      </c>
      <c r="C1434" t="s">
        <v>87</v>
      </c>
      <c r="D1434" t="s">
        <v>37</v>
      </c>
      <c r="E1434">
        <v>49</v>
      </c>
      <c r="F1434" t="s">
        <v>88</v>
      </c>
      <c r="G1434" t="s">
        <v>38</v>
      </c>
      <c r="H1434" s="1">
        <v>42213</v>
      </c>
      <c r="I1434" s="2">
        <v>10.4</v>
      </c>
      <c r="J1434" t="s">
        <v>39</v>
      </c>
      <c r="K1434" s="3">
        <v>13950</v>
      </c>
      <c r="L1434" t="s">
        <v>30</v>
      </c>
      <c r="M1434">
        <v>5</v>
      </c>
      <c r="N1434">
        <v>4</v>
      </c>
      <c r="O1434">
        <v>22</v>
      </c>
      <c r="P1434" t="s">
        <v>21</v>
      </c>
      <c r="Q1434" s="1"/>
      <c r="U1434">
        <v>1</v>
      </c>
      <c r="V1434">
        <v>1</v>
      </c>
      <c r="W1434">
        <v>0</v>
      </c>
    </row>
    <row r="1435" spans="1:23" ht="16.5" x14ac:dyDescent="0.3">
      <c r="A1435" t="s">
        <v>1502</v>
      </c>
      <c r="B1435" t="s">
        <v>55</v>
      </c>
      <c r="C1435" t="s">
        <v>36</v>
      </c>
      <c r="D1435" t="s">
        <v>37</v>
      </c>
      <c r="E1435">
        <v>37</v>
      </c>
      <c r="F1435" t="s">
        <v>46</v>
      </c>
      <c r="G1435" t="s">
        <v>38</v>
      </c>
      <c r="H1435" s="1">
        <v>44092</v>
      </c>
      <c r="I1435" s="2">
        <v>5.3</v>
      </c>
      <c r="J1435" t="s">
        <v>39</v>
      </c>
      <c r="K1435" s="3">
        <v>6050</v>
      </c>
      <c r="L1435" t="s">
        <v>30</v>
      </c>
      <c r="M1435">
        <v>3</v>
      </c>
      <c r="N1435">
        <v>4</v>
      </c>
      <c r="O1435">
        <v>18</v>
      </c>
      <c r="P1435" t="s">
        <v>21</v>
      </c>
      <c r="Q1435" s="1"/>
      <c r="U1435">
        <v>1</v>
      </c>
      <c r="V1435">
        <v>1</v>
      </c>
      <c r="W1435">
        <v>0</v>
      </c>
    </row>
    <row r="1436" spans="1:23" ht="16.5" x14ac:dyDescent="0.3">
      <c r="A1436" t="s">
        <v>1503</v>
      </c>
      <c r="B1436" t="s">
        <v>48</v>
      </c>
      <c r="C1436" t="s">
        <v>36</v>
      </c>
      <c r="D1436" t="s">
        <v>26</v>
      </c>
      <c r="E1436">
        <v>27</v>
      </c>
      <c r="F1436" t="s">
        <v>27</v>
      </c>
      <c r="G1436" t="s">
        <v>52</v>
      </c>
      <c r="H1436" s="1">
        <v>44463</v>
      </c>
      <c r="I1436" s="2">
        <v>4.3</v>
      </c>
      <c r="J1436" t="s">
        <v>50</v>
      </c>
      <c r="K1436" s="3">
        <v>7500</v>
      </c>
      <c r="L1436" t="s">
        <v>30</v>
      </c>
      <c r="M1436">
        <v>2</v>
      </c>
      <c r="N1436">
        <v>5</v>
      </c>
      <c r="O1436">
        <v>23</v>
      </c>
      <c r="P1436" t="s">
        <v>21</v>
      </c>
      <c r="Q1436" s="1"/>
      <c r="U1436">
        <v>1</v>
      </c>
      <c r="V1436">
        <v>1</v>
      </c>
      <c r="W1436">
        <v>0</v>
      </c>
    </row>
    <row r="1437" spans="1:23" ht="16.5" x14ac:dyDescent="0.3">
      <c r="A1437" t="s">
        <v>1504</v>
      </c>
      <c r="B1437" t="s">
        <v>70</v>
      </c>
      <c r="C1437" t="s">
        <v>25</v>
      </c>
      <c r="D1437" t="s">
        <v>37</v>
      </c>
      <c r="E1437">
        <v>21</v>
      </c>
      <c r="F1437" t="s">
        <v>57</v>
      </c>
      <c r="G1437" t="s">
        <v>38</v>
      </c>
      <c r="H1437" s="1">
        <v>45963</v>
      </c>
      <c r="I1437" s="2">
        <v>0</v>
      </c>
      <c r="J1437" t="s">
        <v>64</v>
      </c>
      <c r="K1437" s="3">
        <v>4300</v>
      </c>
      <c r="L1437" t="s">
        <v>58</v>
      </c>
      <c r="M1437">
        <v>3</v>
      </c>
      <c r="N1437">
        <v>5</v>
      </c>
      <c r="O1437">
        <v>26</v>
      </c>
      <c r="P1437" t="s">
        <v>22</v>
      </c>
      <c r="Q1437" s="1">
        <v>45980</v>
      </c>
      <c r="R1437" t="s">
        <v>40</v>
      </c>
      <c r="S1437" t="s">
        <v>182</v>
      </c>
      <c r="T1437" t="s">
        <v>85</v>
      </c>
      <c r="U1437">
        <v>1</v>
      </c>
      <c r="V1437">
        <v>0</v>
      </c>
      <c r="W1437">
        <v>1</v>
      </c>
    </row>
    <row r="1438" spans="1:23" ht="16.5" x14ac:dyDescent="0.3">
      <c r="A1438" t="s">
        <v>1505</v>
      </c>
      <c r="B1438" t="s">
        <v>24</v>
      </c>
      <c r="C1438" t="s">
        <v>36</v>
      </c>
      <c r="D1438" t="s">
        <v>26</v>
      </c>
      <c r="E1438">
        <v>36</v>
      </c>
      <c r="F1438" t="s">
        <v>46</v>
      </c>
      <c r="G1438" t="s">
        <v>38</v>
      </c>
      <c r="H1438" s="1">
        <v>44675</v>
      </c>
      <c r="I1438" s="2">
        <v>3.7</v>
      </c>
      <c r="J1438" t="s">
        <v>50</v>
      </c>
      <c r="K1438" s="3">
        <v>3600</v>
      </c>
      <c r="L1438" t="s">
        <v>30</v>
      </c>
      <c r="M1438">
        <v>5</v>
      </c>
      <c r="N1438">
        <v>3</v>
      </c>
      <c r="O1438">
        <v>35</v>
      </c>
      <c r="P1438" t="s">
        <v>21</v>
      </c>
      <c r="Q1438" s="1"/>
      <c r="U1438">
        <v>1</v>
      </c>
      <c r="V1438">
        <v>1</v>
      </c>
      <c r="W1438">
        <v>0</v>
      </c>
    </row>
    <row r="1439" spans="1:23" ht="16.5" x14ac:dyDescent="0.3">
      <c r="A1439" t="s">
        <v>1506</v>
      </c>
      <c r="B1439" t="s">
        <v>55</v>
      </c>
      <c r="C1439" t="s">
        <v>25</v>
      </c>
      <c r="D1439" t="s">
        <v>37</v>
      </c>
      <c r="E1439">
        <v>27</v>
      </c>
      <c r="F1439" t="s">
        <v>27</v>
      </c>
      <c r="G1439" t="s">
        <v>38</v>
      </c>
      <c r="H1439" s="1">
        <v>44300</v>
      </c>
      <c r="I1439" s="2">
        <v>4.7</v>
      </c>
      <c r="J1439" t="s">
        <v>50</v>
      </c>
      <c r="K1439" s="3">
        <v>4950</v>
      </c>
      <c r="L1439" t="s">
        <v>30</v>
      </c>
      <c r="M1439">
        <v>3</v>
      </c>
      <c r="N1439">
        <v>4</v>
      </c>
      <c r="O1439">
        <v>21</v>
      </c>
      <c r="P1439" t="s">
        <v>21</v>
      </c>
      <c r="Q1439" s="1"/>
      <c r="U1439">
        <v>1</v>
      </c>
      <c r="V1439">
        <v>1</v>
      </c>
      <c r="W1439">
        <v>0</v>
      </c>
    </row>
    <row r="1440" spans="1:23" ht="16.5" x14ac:dyDescent="0.3">
      <c r="A1440" t="s">
        <v>1507</v>
      </c>
      <c r="B1440" t="s">
        <v>48</v>
      </c>
      <c r="C1440" t="s">
        <v>25</v>
      </c>
      <c r="D1440" t="s">
        <v>26</v>
      </c>
      <c r="E1440">
        <v>21</v>
      </c>
      <c r="F1440" t="s">
        <v>57</v>
      </c>
      <c r="G1440" t="s">
        <v>28</v>
      </c>
      <c r="H1440" s="1">
        <v>45980</v>
      </c>
      <c r="I1440" s="2">
        <v>0.1</v>
      </c>
      <c r="J1440" t="s">
        <v>64</v>
      </c>
      <c r="K1440" s="3">
        <v>7000</v>
      </c>
      <c r="L1440" t="s">
        <v>30</v>
      </c>
      <c r="M1440">
        <v>4</v>
      </c>
      <c r="N1440">
        <v>5</v>
      </c>
      <c r="O1440">
        <v>17</v>
      </c>
      <c r="P1440" t="s">
        <v>21</v>
      </c>
      <c r="Q1440" s="1"/>
      <c r="U1440">
        <v>1</v>
      </c>
      <c r="V1440">
        <v>1</v>
      </c>
      <c r="W1440">
        <v>0</v>
      </c>
    </row>
    <row r="1441" spans="1:23" ht="16.5" x14ac:dyDescent="0.3">
      <c r="A1441" t="s">
        <v>1508</v>
      </c>
      <c r="B1441" t="s">
        <v>35</v>
      </c>
      <c r="C1441" t="s">
        <v>45</v>
      </c>
      <c r="D1441" t="s">
        <v>37</v>
      </c>
      <c r="E1441">
        <v>34</v>
      </c>
      <c r="F1441" t="s">
        <v>27</v>
      </c>
      <c r="G1441" t="s">
        <v>28</v>
      </c>
      <c r="H1441" s="1">
        <v>44463</v>
      </c>
      <c r="I1441" s="2">
        <v>4.3</v>
      </c>
      <c r="J1441" t="s">
        <v>50</v>
      </c>
      <c r="K1441" s="3">
        <v>5150</v>
      </c>
      <c r="L1441" t="s">
        <v>58</v>
      </c>
      <c r="M1441">
        <v>4</v>
      </c>
      <c r="N1441">
        <v>4</v>
      </c>
      <c r="O1441">
        <v>30</v>
      </c>
      <c r="P1441" t="s">
        <v>21</v>
      </c>
      <c r="Q1441" s="1"/>
      <c r="U1441">
        <v>1</v>
      </c>
      <c r="V1441">
        <v>1</v>
      </c>
      <c r="W1441">
        <v>0</v>
      </c>
    </row>
    <row r="1442" spans="1:23" ht="16.5" x14ac:dyDescent="0.3">
      <c r="A1442" t="s">
        <v>1509</v>
      </c>
      <c r="B1442" t="s">
        <v>55</v>
      </c>
      <c r="C1442" t="s">
        <v>36</v>
      </c>
      <c r="D1442" t="s">
        <v>26</v>
      </c>
      <c r="E1442">
        <v>38</v>
      </c>
      <c r="F1442" t="s">
        <v>46</v>
      </c>
      <c r="G1442" t="s">
        <v>28</v>
      </c>
      <c r="H1442" s="1">
        <v>41538</v>
      </c>
      <c r="I1442" s="2">
        <v>10.8</v>
      </c>
      <c r="J1442" t="s">
        <v>39</v>
      </c>
      <c r="K1442" s="3">
        <v>6300</v>
      </c>
      <c r="L1442" t="s">
        <v>30</v>
      </c>
      <c r="M1442">
        <v>3</v>
      </c>
      <c r="N1442">
        <v>4</v>
      </c>
      <c r="O1442">
        <v>33</v>
      </c>
      <c r="P1442" t="s">
        <v>22</v>
      </c>
      <c r="Q1442" s="1">
        <v>45469</v>
      </c>
      <c r="R1442" t="s">
        <v>31</v>
      </c>
      <c r="S1442" t="s">
        <v>32</v>
      </c>
      <c r="T1442" t="s">
        <v>33</v>
      </c>
      <c r="U1442">
        <v>1</v>
      </c>
      <c r="V1442">
        <v>0</v>
      </c>
      <c r="W1442">
        <v>1</v>
      </c>
    </row>
    <row r="1443" spans="1:23" ht="16.5" x14ac:dyDescent="0.3">
      <c r="A1443" t="s">
        <v>1510</v>
      </c>
      <c r="B1443" t="s">
        <v>44</v>
      </c>
      <c r="C1443" t="s">
        <v>87</v>
      </c>
      <c r="D1443" t="s">
        <v>37</v>
      </c>
      <c r="E1443">
        <v>49</v>
      </c>
      <c r="F1443" t="s">
        <v>88</v>
      </c>
      <c r="G1443" t="s">
        <v>38</v>
      </c>
      <c r="H1443" s="1">
        <v>42993</v>
      </c>
      <c r="I1443" s="2">
        <v>8.3000000000000007</v>
      </c>
      <c r="J1443" t="s">
        <v>39</v>
      </c>
      <c r="K1443" s="3">
        <v>13250</v>
      </c>
      <c r="L1443" t="s">
        <v>30</v>
      </c>
      <c r="M1443">
        <v>3</v>
      </c>
      <c r="N1443">
        <v>4</v>
      </c>
      <c r="O1443">
        <v>35</v>
      </c>
      <c r="P1443" t="s">
        <v>21</v>
      </c>
      <c r="Q1443" s="1"/>
      <c r="U1443">
        <v>1</v>
      </c>
      <c r="V1443">
        <v>1</v>
      </c>
      <c r="W1443">
        <v>0</v>
      </c>
    </row>
    <row r="1444" spans="1:23" ht="16.5" x14ac:dyDescent="0.3">
      <c r="A1444" t="s">
        <v>1511</v>
      </c>
      <c r="B1444" t="s">
        <v>24</v>
      </c>
      <c r="C1444" t="s">
        <v>45</v>
      </c>
      <c r="D1444" t="s">
        <v>37</v>
      </c>
      <c r="E1444">
        <v>35</v>
      </c>
      <c r="F1444" t="s">
        <v>27</v>
      </c>
      <c r="G1444" t="s">
        <v>38</v>
      </c>
      <c r="H1444" s="1">
        <v>42927</v>
      </c>
      <c r="I1444" s="2">
        <v>7</v>
      </c>
      <c r="J1444" t="s">
        <v>39</v>
      </c>
      <c r="K1444" s="3">
        <v>5650</v>
      </c>
      <c r="L1444" t="s">
        <v>58</v>
      </c>
      <c r="M1444">
        <v>4</v>
      </c>
      <c r="N1444">
        <v>3</v>
      </c>
      <c r="O1444">
        <v>32</v>
      </c>
      <c r="P1444" t="s">
        <v>22</v>
      </c>
      <c r="Q1444" s="1">
        <v>45493</v>
      </c>
      <c r="R1444" t="s">
        <v>31</v>
      </c>
      <c r="S1444" t="s">
        <v>84</v>
      </c>
      <c r="T1444" t="s">
        <v>42</v>
      </c>
      <c r="U1444">
        <v>1</v>
      </c>
      <c r="V1444">
        <v>0</v>
      </c>
      <c r="W1444">
        <v>1</v>
      </c>
    </row>
    <row r="1445" spans="1:23" ht="16.5" x14ac:dyDescent="0.3">
      <c r="A1445" t="s">
        <v>1512</v>
      </c>
      <c r="B1445" t="s">
        <v>48</v>
      </c>
      <c r="C1445" t="s">
        <v>25</v>
      </c>
      <c r="D1445" t="s">
        <v>26</v>
      </c>
      <c r="E1445">
        <v>24</v>
      </c>
      <c r="F1445" t="s">
        <v>57</v>
      </c>
      <c r="G1445" t="s">
        <v>28</v>
      </c>
      <c r="H1445" s="1">
        <v>45279</v>
      </c>
      <c r="I1445" s="2">
        <v>2</v>
      </c>
      <c r="J1445" t="s">
        <v>29</v>
      </c>
      <c r="K1445" s="3">
        <v>6400</v>
      </c>
      <c r="L1445" t="s">
        <v>30</v>
      </c>
      <c r="M1445">
        <v>4</v>
      </c>
      <c r="N1445">
        <v>5</v>
      </c>
      <c r="O1445">
        <v>18</v>
      </c>
      <c r="P1445" t="s">
        <v>21</v>
      </c>
      <c r="Q1445" s="1"/>
      <c r="U1445">
        <v>1</v>
      </c>
      <c r="V1445">
        <v>1</v>
      </c>
      <c r="W1445">
        <v>0</v>
      </c>
    </row>
    <row r="1446" spans="1:23" ht="16.5" x14ac:dyDescent="0.3">
      <c r="A1446" t="s">
        <v>1513</v>
      </c>
      <c r="B1446" t="s">
        <v>70</v>
      </c>
      <c r="C1446" t="s">
        <v>36</v>
      </c>
      <c r="D1446" t="s">
        <v>26</v>
      </c>
      <c r="E1446">
        <v>34</v>
      </c>
      <c r="F1446" t="s">
        <v>27</v>
      </c>
      <c r="G1446" t="s">
        <v>28</v>
      </c>
      <c r="H1446" s="1">
        <v>42397</v>
      </c>
      <c r="I1446" s="2">
        <v>9.9</v>
      </c>
      <c r="J1446" t="s">
        <v>39</v>
      </c>
      <c r="K1446" s="3">
        <v>5700</v>
      </c>
      <c r="L1446" t="s">
        <v>30</v>
      </c>
      <c r="M1446">
        <v>3</v>
      </c>
      <c r="N1446">
        <v>3</v>
      </c>
      <c r="O1446">
        <v>36</v>
      </c>
      <c r="P1446" t="s">
        <v>21</v>
      </c>
      <c r="Q1446" s="1"/>
      <c r="U1446">
        <v>1</v>
      </c>
      <c r="V1446">
        <v>1</v>
      </c>
      <c r="W1446">
        <v>0</v>
      </c>
    </row>
    <row r="1447" spans="1:23" ht="16.5" x14ac:dyDescent="0.3">
      <c r="A1447" t="s">
        <v>1514</v>
      </c>
      <c r="B1447" t="s">
        <v>70</v>
      </c>
      <c r="C1447" t="s">
        <v>25</v>
      </c>
      <c r="D1447" t="s">
        <v>37</v>
      </c>
      <c r="E1447">
        <v>21</v>
      </c>
      <c r="F1447" t="s">
        <v>57</v>
      </c>
      <c r="G1447" t="s">
        <v>38</v>
      </c>
      <c r="H1447" s="1">
        <v>45997</v>
      </c>
      <c r="I1447" s="2">
        <v>0</v>
      </c>
      <c r="J1447" t="s">
        <v>64</v>
      </c>
      <c r="K1447" s="3">
        <v>4300</v>
      </c>
      <c r="L1447" t="s">
        <v>58</v>
      </c>
      <c r="M1447">
        <v>3</v>
      </c>
      <c r="N1447">
        <v>4</v>
      </c>
      <c r="O1447">
        <v>37</v>
      </c>
      <c r="P1447" t="s">
        <v>22</v>
      </c>
      <c r="Q1447" s="1">
        <v>46009</v>
      </c>
      <c r="R1447" t="s">
        <v>40</v>
      </c>
      <c r="S1447" t="s">
        <v>92</v>
      </c>
      <c r="T1447" t="s">
        <v>33</v>
      </c>
      <c r="U1447">
        <v>1</v>
      </c>
      <c r="V1447">
        <v>0</v>
      </c>
      <c r="W1447">
        <v>1</v>
      </c>
    </row>
    <row r="1448" spans="1:23" ht="16.5" x14ac:dyDescent="0.3">
      <c r="A1448" t="s">
        <v>1515</v>
      </c>
      <c r="B1448" t="s">
        <v>70</v>
      </c>
      <c r="C1448" t="s">
        <v>25</v>
      </c>
      <c r="D1448" t="s">
        <v>37</v>
      </c>
      <c r="E1448">
        <v>31</v>
      </c>
      <c r="F1448" t="s">
        <v>27</v>
      </c>
      <c r="G1448" t="s">
        <v>38</v>
      </c>
      <c r="H1448" s="1">
        <v>45385</v>
      </c>
      <c r="I1448" s="2">
        <v>1.4</v>
      </c>
      <c r="J1448" t="s">
        <v>29</v>
      </c>
      <c r="K1448" s="3">
        <v>3250</v>
      </c>
      <c r="L1448" t="s">
        <v>58</v>
      </c>
      <c r="M1448">
        <v>5</v>
      </c>
      <c r="N1448">
        <v>3</v>
      </c>
      <c r="O1448">
        <v>16</v>
      </c>
      <c r="P1448" t="s">
        <v>22</v>
      </c>
      <c r="Q1448" s="1">
        <v>45884</v>
      </c>
      <c r="R1448" t="s">
        <v>40</v>
      </c>
      <c r="S1448" t="s">
        <v>41</v>
      </c>
      <c r="T1448" t="s">
        <v>33</v>
      </c>
      <c r="U1448">
        <v>1</v>
      </c>
      <c r="V1448">
        <v>0</v>
      </c>
      <c r="W1448">
        <v>1</v>
      </c>
    </row>
    <row r="1449" spans="1:23" ht="16.5" x14ac:dyDescent="0.3">
      <c r="A1449" t="s">
        <v>1516</v>
      </c>
      <c r="B1449" t="s">
        <v>73</v>
      </c>
      <c r="C1449" t="s">
        <v>45</v>
      </c>
      <c r="D1449" t="s">
        <v>37</v>
      </c>
      <c r="E1449">
        <v>41</v>
      </c>
      <c r="F1449" t="s">
        <v>46</v>
      </c>
      <c r="G1449" t="s">
        <v>52</v>
      </c>
      <c r="H1449" s="1">
        <v>40643</v>
      </c>
      <c r="I1449" s="2">
        <v>14.7</v>
      </c>
      <c r="J1449" t="s">
        <v>39</v>
      </c>
      <c r="K1449" s="3">
        <v>7300</v>
      </c>
      <c r="L1449" t="s">
        <v>30</v>
      </c>
      <c r="M1449">
        <v>4</v>
      </c>
      <c r="N1449">
        <v>4</v>
      </c>
      <c r="O1449">
        <v>35</v>
      </c>
      <c r="P1449" t="s">
        <v>21</v>
      </c>
      <c r="Q1449" s="1"/>
      <c r="U1449">
        <v>1</v>
      </c>
      <c r="V1449">
        <v>1</v>
      </c>
      <c r="W1449">
        <v>0</v>
      </c>
    </row>
    <row r="1450" spans="1:23" ht="16.5" x14ac:dyDescent="0.3">
      <c r="A1450" t="s">
        <v>1517</v>
      </c>
      <c r="B1450" t="s">
        <v>70</v>
      </c>
      <c r="C1450" t="s">
        <v>25</v>
      </c>
      <c r="D1450" t="s">
        <v>26</v>
      </c>
      <c r="E1450">
        <v>23</v>
      </c>
      <c r="F1450" t="s">
        <v>57</v>
      </c>
      <c r="G1450" t="s">
        <v>38</v>
      </c>
      <c r="H1450" s="1">
        <v>45630</v>
      </c>
      <c r="I1450" s="2">
        <v>1</v>
      </c>
      <c r="J1450" t="s">
        <v>64</v>
      </c>
      <c r="K1450" s="3">
        <v>3700</v>
      </c>
      <c r="L1450" t="s">
        <v>58</v>
      </c>
      <c r="M1450">
        <v>3</v>
      </c>
      <c r="N1450">
        <v>4</v>
      </c>
      <c r="O1450">
        <v>26</v>
      </c>
      <c r="P1450" t="s">
        <v>22</v>
      </c>
      <c r="Q1450" s="1">
        <v>45992</v>
      </c>
      <c r="R1450" t="s">
        <v>40</v>
      </c>
      <c r="S1450" t="s">
        <v>92</v>
      </c>
      <c r="T1450" t="s">
        <v>33</v>
      </c>
      <c r="U1450">
        <v>1</v>
      </c>
      <c r="V1450">
        <v>0</v>
      </c>
      <c r="W1450">
        <v>1</v>
      </c>
    </row>
    <row r="1451" spans="1:23" ht="16.5" x14ac:dyDescent="0.3">
      <c r="A1451" t="s">
        <v>1518</v>
      </c>
      <c r="B1451" t="s">
        <v>24</v>
      </c>
      <c r="C1451" t="s">
        <v>25</v>
      </c>
      <c r="D1451" t="s">
        <v>37</v>
      </c>
      <c r="E1451">
        <v>25</v>
      </c>
      <c r="F1451" t="s">
        <v>57</v>
      </c>
      <c r="G1451" t="s">
        <v>38</v>
      </c>
      <c r="H1451" s="1">
        <v>45828</v>
      </c>
      <c r="I1451" s="2">
        <v>0.1</v>
      </c>
      <c r="J1451" t="s">
        <v>64</v>
      </c>
      <c r="K1451" s="3">
        <v>2900</v>
      </c>
      <c r="L1451" t="s">
        <v>58</v>
      </c>
      <c r="M1451">
        <v>3</v>
      </c>
      <c r="N1451">
        <v>3</v>
      </c>
      <c r="O1451">
        <v>33</v>
      </c>
      <c r="P1451" t="s">
        <v>22</v>
      </c>
      <c r="Q1451" s="1">
        <v>45880</v>
      </c>
      <c r="R1451" t="s">
        <v>40</v>
      </c>
      <c r="S1451" t="s">
        <v>41</v>
      </c>
      <c r="T1451" t="s">
        <v>33</v>
      </c>
      <c r="U1451">
        <v>1</v>
      </c>
      <c r="V1451">
        <v>0</v>
      </c>
      <c r="W1451">
        <v>1</v>
      </c>
    </row>
    <row r="1452" spans="1:23" ht="16.5" x14ac:dyDescent="0.3">
      <c r="A1452" t="s">
        <v>1519</v>
      </c>
      <c r="B1452" t="s">
        <v>70</v>
      </c>
      <c r="C1452" t="s">
        <v>25</v>
      </c>
      <c r="D1452" t="s">
        <v>26</v>
      </c>
      <c r="E1452">
        <v>23</v>
      </c>
      <c r="F1452" t="s">
        <v>57</v>
      </c>
      <c r="G1452" t="s">
        <v>52</v>
      </c>
      <c r="H1452" s="1">
        <v>45537</v>
      </c>
      <c r="I1452" s="2">
        <v>1.3</v>
      </c>
      <c r="J1452" t="s">
        <v>29</v>
      </c>
      <c r="K1452" s="3">
        <v>3950</v>
      </c>
      <c r="L1452" t="s">
        <v>58</v>
      </c>
      <c r="M1452">
        <v>4</v>
      </c>
      <c r="N1452">
        <v>3</v>
      </c>
      <c r="O1452">
        <v>20</v>
      </c>
      <c r="P1452" t="s">
        <v>21</v>
      </c>
      <c r="Q1452" s="1"/>
      <c r="U1452">
        <v>1</v>
      </c>
      <c r="V1452">
        <v>1</v>
      </c>
      <c r="W1452">
        <v>0</v>
      </c>
    </row>
    <row r="1453" spans="1:23" ht="16.5" x14ac:dyDescent="0.3">
      <c r="A1453" t="s">
        <v>1520</v>
      </c>
      <c r="B1453" t="s">
        <v>70</v>
      </c>
      <c r="C1453" t="s">
        <v>36</v>
      </c>
      <c r="D1453" t="s">
        <v>37</v>
      </c>
      <c r="E1453">
        <v>31</v>
      </c>
      <c r="F1453" t="s">
        <v>27</v>
      </c>
      <c r="G1453" t="s">
        <v>38</v>
      </c>
      <c r="H1453" s="1">
        <v>44262</v>
      </c>
      <c r="I1453" s="2">
        <v>4.8</v>
      </c>
      <c r="J1453" t="s">
        <v>50</v>
      </c>
      <c r="K1453" s="3">
        <v>6100</v>
      </c>
      <c r="L1453" t="s">
        <v>30</v>
      </c>
      <c r="M1453">
        <v>4</v>
      </c>
      <c r="N1453">
        <v>3</v>
      </c>
      <c r="O1453">
        <v>18</v>
      </c>
      <c r="P1453" t="s">
        <v>21</v>
      </c>
      <c r="Q1453" s="1"/>
      <c r="U1453">
        <v>1</v>
      </c>
      <c r="V1453">
        <v>1</v>
      </c>
      <c r="W1453">
        <v>0</v>
      </c>
    </row>
    <row r="1454" spans="1:23" ht="16.5" x14ac:dyDescent="0.3">
      <c r="A1454" t="s">
        <v>1521</v>
      </c>
      <c r="B1454" t="s">
        <v>73</v>
      </c>
      <c r="C1454" t="s">
        <v>45</v>
      </c>
      <c r="D1454" t="s">
        <v>26</v>
      </c>
      <c r="E1454">
        <v>36</v>
      </c>
      <c r="F1454" t="s">
        <v>46</v>
      </c>
      <c r="G1454" t="s">
        <v>38</v>
      </c>
      <c r="H1454" s="1">
        <v>43986</v>
      </c>
      <c r="I1454" s="2">
        <v>5.6</v>
      </c>
      <c r="J1454" t="s">
        <v>39</v>
      </c>
      <c r="K1454" s="3">
        <v>5750</v>
      </c>
      <c r="L1454" t="s">
        <v>30</v>
      </c>
      <c r="M1454">
        <v>3</v>
      </c>
      <c r="N1454">
        <v>3</v>
      </c>
      <c r="O1454">
        <v>25</v>
      </c>
      <c r="P1454" t="s">
        <v>21</v>
      </c>
      <c r="Q1454" s="1"/>
      <c r="U1454">
        <v>1</v>
      </c>
      <c r="V1454">
        <v>1</v>
      </c>
      <c r="W1454">
        <v>0</v>
      </c>
    </row>
    <row r="1455" spans="1:23" ht="16.5" x14ac:dyDescent="0.3">
      <c r="A1455" t="s">
        <v>1522</v>
      </c>
      <c r="B1455" t="s">
        <v>35</v>
      </c>
      <c r="C1455" t="s">
        <v>36</v>
      </c>
      <c r="D1455" t="s">
        <v>37</v>
      </c>
      <c r="E1455">
        <v>32</v>
      </c>
      <c r="F1455" t="s">
        <v>27</v>
      </c>
      <c r="G1455" t="s">
        <v>38</v>
      </c>
      <c r="H1455" s="1">
        <v>43302</v>
      </c>
      <c r="I1455" s="2">
        <v>7.4</v>
      </c>
      <c r="J1455" t="s">
        <v>39</v>
      </c>
      <c r="K1455" s="3">
        <v>4700</v>
      </c>
      <c r="L1455" t="s">
        <v>58</v>
      </c>
      <c r="M1455">
        <v>3</v>
      </c>
      <c r="N1455">
        <v>3</v>
      </c>
      <c r="O1455">
        <v>29</v>
      </c>
      <c r="P1455" t="s">
        <v>21</v>
      </c>
      <c r="Q1455" s="1"/>
      <c r="U1455">
        <v>1</v>
      </c>
      <c r="V1455">
        <v>1</v>
      </c>
      <c r="W1455">
        <v>0</v>
      </c>
    </row>
    <row r="1456" spans="1:23" ht="16.5" x14ac:dyDescent="0.3">
      <c r="A1456" t="s">
        <v>1523</v>
      </c>
      <c r="B1456" t="s">
        <v>70</v>
      </c>
      <c r="C1456" t="s">
        <v>25</v>
      </c>
      <c r="D1456" t="s">
        <v>37</v>
      </c>
      <c r="E1456">
        <v>21</v>
      </c>
      <c r="F1456" t="s">
        <v>57</v>
      </c>
      <c r="G1456" t="s">
        <v>38</v>
      </c>
      <c r="H1456" s="1">
        <v>45981</v>
      </c>
      <c r="I1456" s="2">
        <v>0.1</v>
      </c>
      <c r="J1456" t="s">
        <v>64</v>
      </c>
      <c r="K1456" s="3">
        <v>4400</v>
      </c>
      <c r="L1456" t="s">
        <v>30</v>
      </c>
      <c r="M1456">
        <v>3</v>
      </c>
      <c r="N1456">
        <v>5</v>
      </c>
      <c r="O1456">
        <v>24</v>
      </c>
      <c r="P1456" t="s">
        <v>21</v>
      </c>
      <c r="Q1456" s="1"/>
      <c r="U1456">
        <v>1</v>
      </c>
      <c r="V1456">
        <v>1</v>
      </c>
      <c r="W1456">
        <v>0</v>
      </c>
    </row>
    <row r="1457" spans="1:23" ht="16.5" x14ac:dyDescent="0.3">
      <c r="A1457" t="s">
        <v>1524</v>
      </c>
      <c r="B1457" t="s">
        <v>35</v>
      </c>
      <c r="C1457" t="s">
        <v>36</v>
      </c>
      <c r="D1457" t="s">
        <v>37</v>
      </c>
      <c r="E1457">
        <v>30</v>
      </c>
      <c r="F1457" t="s">
        <v>27</v>
      </c>
      <c r="G1457" t="s">
        <v>52</v>
      </c>
      <c r="H1457" s="1">
        <v>44820</v>
      </c>
      <c r="I1457" s="2">
        <v>3.3</v>
      </c>
      <c r="J1457" t="s">
        <v>50</v>
      </c>
      <c r="K1457" s="3">
        <v>3550</v>
      </c>
      <c r="L1457" t="s">
        <v>30</v>
      </c>
      <c r="M1457">
        <v>5</v>
      </c>
      <c r="N1457">
        <v>3</v>
      </c>
      <c r="O1457">
        <v>17</v>
      </c>
      <c r="P1457" t="s">
        <v>21</v>
      </c>
      <c r="Q1457" s="1"/>
      <c r="U1457">
        <v>1</v>
      </c>
      <c r="V1457">
        <v>1</v>
      </c>
      <c r="W1457">
        <v>0</v>
      </c>
    </row>
    <row r="1458" spans="1:23" ht="16.5" x14ac:dyDescent="0.3">
      <c r="A1458" t="s">
        <v>1525</v>
      </c>
      <c r="B1458" t="s">
        <v>24</v>
      </c>
      <c r="C1458" t="s">
        <v>36</v>
      </c>
      <c r="D1458" t="s">
        <v>37</v>
      </c>
      <c r="E1458">
        <v>34</v>
      </c>
      <c r="F1458" t="s">
        <v>27</v>
      </c>
      <c r="G1458" t="s">
        <v>38</v>
      </c>
      <c r="H1458" s="1">
        <v>43877</v>
      </c>
      <c r="I1458" s="2">
        <v>5.9</v>
      </c>
      <c r="J1458" t="s">
        <v>39</v>
      </c>
      <c r="K1458" s="3">
        <v>3850</v>
      </c>
      <c r="L1458" t="s">
        <v>30</v>
      </c>
      <c r="M1458">
        <v>5</v>
      </c>
      <c r="N1458">
        <v>4</v>
      </c>
      <c r="O1458">
        <v>32</v>
      </c>
      <c r="P1458" t="s">
        <v>21</v>
      </c>
      <c r="Q1458" s="1"/>
      <c r="U1458">
        <v>1</v>
      </c>
      <c r="V1458">
        <v>1</v>
      </c>
      <c r="W1458">
        <v>0</v>
      </c>
    </row>
    <row r="1459" spans="1:23" ht="16.5" x14ac:dyDescent="0.3">
      <c r="A1459" t="s">
        <v>1526</v>
      </c>
      <c r="B1459" t="s">
        <v>73</v>
      </c>
      <c r="C1459" t="s">
        <v>36</v>
      </c>
      <c r="D1459" t="s">
        <v>26</v>
      </c>
      <c r="E1459">
        <v>33</v>
      </c>
      <c r="F1459" t="s">
        <v>27</v>
      </c>
      <c r="G1459" t="s">
        <v>38</v>
      </c>
      <c r="H1459" s="1">
        <v>44705</v>
      </c>
      <c r="I1459" s="2">
        <v>3.6</v>
      </c>
      <c r="J1459" t="s">
        <v>50</v>
      </c>
      <c r="K1459" s="3">
        <v>4850</v>
      </c>
      <c r="L1459" t="s">
        <v>30</v>
      </c>
      <c r="M1459">
        <v>3</v>
      </c>
      <c r="N1459">
        <v>4</v>
      </c>
      <c r="O1459">
        <v>44</v>
      </c>
      <c r="P1459" t="s">
        <v>21</v>
      </c>
      <c r="Q1459" s="1"/>
      <c r="U1459">
        <v>1</v>
      </c>
      <c r="V1459">
        <v>1</v>
      </c>
      <c r="W1459">
        <v>0</v>
      </c>
    </row>
    <row r="1460" spans="1:23" ht="16.5" x14ac:dyDescent="0.3">
      <c r="A1460" t="s">
        <v>1527</v>
      </c>
      <c r="B1460" t="s">
        <v>35</v>
      </c>
      <c r="C1460" t="s">
        <v>25</v>
      </c>
      <c r="D1460" t="s">
        <v>37</v>
      </c>
      <c r="E1460">
        <v>29</v>
      </c>
      <c r="F1460" t="s">
        <v>27</v>
      </c>
      <c r="G1460" t="s">
        <v>52</v>
      </c>
      <c r="H1460" s="1">
        <v>44942</v>
      </c>
      <c r="I1460" s="2">
        <v>2.7</v>
      </c>
      <c r="J1460" t="s">
        <v>29</v>
      </c>
      <c r="K1460" s="3">
        <v>3500</v>
      </c>
      <c r="L1460" t="s">
        <v>58</v>
      </c>
      <c r="M1460">
        <v>3</v>
      </c>
      <c r="N1460">
        <v>3</v>
      </c>
      <c r="O1460">
        <v>20</v>
      </c>
      <c r="P1460" t="s">
        <v>22</v>
      </c>
      <c r="Q1460" s="1">
        <v>45946</v>
      </c>
      <c r="R1460" t="s">
        <v>40</v>
      </c>
      <c r="S1460" t="s">
        <v>206</v>
      </c>
      <c r="T1460" t="s">
        <v>473</v>
      </c>
      <c r="U1460">
        <v>1</v>
      </c>
      <c r="V1460">
        <v>0</v>
      </c>
      <c r="W1460">
        <v>1</v>
      </c>
    </row>
    <row r="1461" spans="1:23" ht="16.5" x14ac:dyDescent="0.3">
      <c r="A1461" t="s">
        <v>1528</v>
      </c>
      <c r="B1461" t="s">
        <v>48</v>
      </c>
      <c r="C1461" t="s">
        <v>36</v>
      </c>
      <c r="D1461" t="s">
        <v>26</v>
      </c>
      <c r="E1461">
        <v>31</v>
      </c>
      <c r="F1461" t="s">
        <v>27</v>
      </c>
      <c r="G1461" t="s">
        <v>38</v>
      </c>
      <c r="H1461" s="1">
        <v>43909</v>
      </c>
      <c r="I1461" s="2">
        <v>5.8</v>
      </c>
      <c r="J1461" t="s">
        <v>39</v>
      </c>
      <c r="K1461" s="3">
        <v>8150</v>
      </c>
      <c r="L1461" t="s">
        <v>30</v>
      </c>
      <c r="M1461">
        <v>5</v>
      </c>
      <c r="N1461">
        <v>4</v>
      </c>
      <c r="O1461">
        <v>24</v>
      </c>
      <c r="P1461" t="s">
        <v>21</v>
      </c>
      <c r="Q1461" s="1"/>
      <c r="U1461">
        <v>1</v>
      </c>
      <c r="V1461">
        <v>1</v>
      </c>
      <c r="W1461">
        <v>0</v>
      </c>
    </row>
    <row r="1462" spans="1:23" ht="16.5" x14ac:dyDescent="0.3">
      <c r="A1462" t="s">
        <v>1529</v>
      </c>
      <c r="B1462" t="s">
        <v>55</v>
      </c>
      <c r="C1462" t="s">
        <v>25</v>
      </c>
      <c r="D1462" t="s">
        <v>37</v>
      </c>
      <c r="E1462">
        <v>25</v>
      </c>
      <c r="F1462" t="s">
        <v>57</v>
      </c>
      <c r="G1462" t="s">
        <v>38</v>
      </c>
      <c r="H1462" s="1">
        <v>45737</v>
      </c>
      <c r="I1462" s="2">
        <v>0.8</v>
      </c>
      <c r="J1462" t="s">
        <v>64</v>
      </c>
      <c r="K1462" s="3">
        <v>4450</v>
      </c>
      <c r="L1462" t="s">
        <v>58</v>
      </c>
      <c r="M1462">
        <v>3</v>
      </c>
      <c r="N1462">
        <v>4</v>
      </c>
      <c r="O1462">
        <v>35</v>
      </c>
      <c r="P1462" t="s">
        <v>21</v>
      </c>
      <c r="Q1462" s="1"/>
      <c r="U1462">
        <v>1</v>
      </c>
      <c r="V1462">
        <v>1</v>
      </c>
      <c r="W1462">
        <v>0</v>
      </c>
    </row>
    <row r="1463" spans="1:23" ht="16.5" x14ac:dyDescent="0.3">
      <c r="A1463" t="s">
        <v>1530</v>
      </c>
      <c r="B1463" t="s">
        <v>70</v>
      </c>
      <c r="C1463" t="s">
        <v>25</v>
      </c>
      <c r="D1463" t="s">
        <v>37</v>
      </c>
      <c r="E1463">
        <v>27</v>
      </c>
      <c r="F1463" t="s">
        <v>27</v>
      </c>
      <c r="G1463" t="s">
        <v>38</v>
      </c>
      <c r="H1463" s="1">
        <v>45204</v>
      </c>
      <c r="I1463" s="2">
        <v>2.2000000000000002</v>
      </c>
      <c r="J1463" t="s">
        <v>29</v>
      </c>
      <c r="K1463" s="3">
        <v>3900</v>
      </c>
      <c r="L1463" t="s">
        <v>58</v>
      </c>
      <c r="M1463">
        <v>3</v>
      </c>
      <c r="N1463">
        <v>4</v>
      </c>
      <c r="O1463">
        <v>27</v>
      </c>
      <c r="P1463" t="s">
        <v>21</v>
      </c>
      <c r="Q1463" s="1"/>
      <c r="U1463">
        <v>1</v>
      </c>
      <c r="V1463">
        <v>1</v>
      </c>
      <c r="W1463">
        <v>0</v>
      </c>
    </row>
    <row r="1464" spans="1:23" ht="16.5" x14ac:dyDescent="0.3">
      <c r="A1464" t="s">
        <v>1531</v>
      </c>
      <c r="B1464" t="s">
        <v>48</v>
      </c>
      <c r="C1464" t="s">
        <v>36</v>
      </c>
      <c r="D1464" t="s">
        <v>37</v>
      </c>
      <c r="E1464">
        <v>36</v>
      </c>
      <c r="F1464" t="s">
        <v>46</v>
      </c>
      <c r="G1464" t="s">
        <v>38</v>
      </c>
      <c r="H1464" s="1">
        <v>44180</v>
      </c>
      <c r="I1464" s="2">
        <v>5</v>
      </c>
      <c r="J1464" t="s">
        <v>50</v>
      </c>
      <c r="K1464" s="3">
        <v>8250</v>
      </c>
      <c r="L1464" t="s">
        <v>30</v>
      </c>
      <c r="M1464">
        <v>3</v>
      </c>
      <c r="N1464">
        <v>5</v>
      </c>
      <c r="O1464">
        <v>29</v>
      </c>
      <c r="P1464" t="s">
        <v>21</v>
      </c>
      <c r="Q1464" s="1"/>
      <c r="U1464">
        <v>1</v>
      </c>
      <c r="V1464">
        <v>1</v>
      </c>
      <c r="W1464">
        <v>0</v>
      </c>
    </row>
    <row r="1465" spans="1:23" ht="16.5" x14ac:dyDescent="0.3">
      <c r="A1465" t="s">
        <v>1532</v>
      </c>
      <c r="B1465" t="s">
        <v>24</v>
      </c>
      <c r="C1465" t="s">
        <v>36</v>
      </c>
      <c r="D1465" t="s">
        <v>37</v>
      </c>
      <c r="E1465">
        <v>38</v>
      </c>
      <c r="F1465" t="s">
        <v>46</v>
      </c>
      <c r="G1465" t="s">
        <v>38</v>
      </c>
      <c r="H1465" s="1">
        <v>41449</v>
      </c>
      <c r="I1465" s="2">
        <v>12.5</v>
      </c>
      <c r="J1465" t="s">
        <v>39</v>
      </c>
      <c r="K1465" s="3">
        <v>3650</v>
      </c>
      <c r="L1465" t="s">
        <v>30</v>
      </c>
      <c r="M1465">
        <v>3</v>
      </c>
      <c r="N1465">
        <v>5</v>
      </c>
      <c r="O1465">
        <v>24</v>
      </c>
      <c r="P1465" t="s">
        <v>21</v>
      </c>
      <c r="Q1465" s="1"/>
      <c r="U1465">
        <v>1</v>
      </c>
      <c r="V1465">
        <v>1</v>
      </c>
      <c r="W1465">
        <v>0</v>
      </c>
    </row>
    <row r="1466" spans="1:23" ht="16.5" x14ac:dyDescent="0.3">
      <c r="A1466" t="s">
        <v>1533</v>
      </c>
      <c r="B1466" t="s">
        <v>48</v>
      </c>
      <c r="C1466" t="s">
        <v>36</v>
      </c>
      <c r="D1466" t="s">
        <v>26</v>
      </c>
      <c r="E1466">
        <v>35</v>
      </c>
      <c r="F1466" t="s">
        <v>27</v>
      </c>
      <c r="G1466" t="s">
        <v>28</v>
      </c>
      <c r="H1466" s="1">
        <v>42690</v>
      </c>
      <c r="I1466" s="2">
        <v>9.1</v>
      </c>
      <c r="J1466" t="s">
        <v>39</v>
      </c>
      <c r="K1466" s="3">
        <v>8800</v>
      </c>
      <c r="L1466" t="s">
        <v>30</v>
      </c>
      <c r="M1466">
        <v>4</v>
      </c>
      <c r="N1466">
        <v>4</v>
      </c>
      <c r="O1466">
        <v>14</v>
      </c>
      <c r="P1466" t="s">
        <v>21</v>
      </c>
      <c r="Q1466" s="1"/>
      <c r="U1466">
        <v>1</v>
      </c>
      <c r="V1466">
        <v>1</v>
      </c>
      <c r="W1466">
        <v>0</v>
      </c>
    </row>
    <row r="1467" spans="1:23" ht="16.5" x14ac:dyDescent="0.3">
      <c r="A1467" t="s">
        <v>1534</v>
      </c>
      <c r="B1467" t="s">
        <v>35</v>
      </c>
      <c r="C1467" t="s">
        <v>36</v>
      </c>
      <c r="D1467" t="s">
        <v>26</v>
      </c>
      <c r="E1467">
        <v>34</v>
      </c>
      <c r="F1467" t="s">
        <v>27</v>
      </c>
      <c r="G1467" t="s">
        <v>52</v>
      </c>
      <c r="H1467" s="1">
        <v>42518</v>
      </c>
      <c r="I1467" s="2">
        <v>9.6</v>
      </c>
      <c r="J1467" t="s">
        <v>39</v>
      </c>
      <c r="K1467" s="3">
        <v>4000</v>
      </c>
      <c r="L1467" t="s">
        <v>30</v>
      </c>
      <c r="M1467">
        <v>2</v>
      </c>
      <c r="N1467">
        <v>3</v>
      </c>
      <c r="O1467">
        <v>15</v>
      </c>
      <c r="P1467" t="s">
        <v>21</v>
      </c>
      <c r="Q1467" s="1"/>
      <c r="U1467">
        <v>1</v>
      </c>
      <c r="V1467">
        <v>1</v>
      </c>
      <c r="W1467">
        <v>0</v>
      </c>
    </row>
    <row r="1468" spans="1:23" ht="16.5" x14ac:dyDescent="0.3">
      <c r="A1468" t="s">
        <v>1535</v>
      </c>
      <c r="B1468" t="s">
        <v>44</v>
      </c>
      <c r="C1468" t="s">
        <v>25</v>
      </c>
      <c r="D1468" t="s">
        <v>37</v>
      </c>
      <c r="E1468">
        <v>29</v>
      </c>
      <c r="F1468" t="s">
        <v>27</v>
      </c>
      <c r="G1468" t="s">
        <v>28</v>
      </c>
      <c r="H1468" s="1">
        <v>44907</v>
      </c>
      <c r="I1468" s="2">
        <v>3.1</v>
      </c>
      <c r="J1468" t="s">
        <v>50</v>
      </c>
      <c r="K1468" s="3">
        <v>5000</v>
      </c>
      <c r="L1468" t="s">
        <v>30</v>
      </c>
      <c r="M1468">
        <v>4</v>
      </c>
      <c r="N1468">
        <v>4</v>
      </c>
      <c r="O1468">
        <v>11</v>
      </c>
      <c r="P1468" t="s">
        <v>21</v>
      </c>
      <c r="Q1468" s="1"/>
      <c r="U1468">
        <v>1</v>
      </c>
      <c r="V1468">
        <v>1</v>
      </c>
      <c r="W1468">
        <v>0</v>
      </c>
    </row>
    <row r="1469" spans="1:23" ht="16.5" x14ac:dyDescent="0.3">
      <c r="A1469" t="s">
        <v>1536</v>
      </c>
      <c r="B1469" t="s">
        <v>35</v>
      </c>
      <c r="C1469" t="s">
        <v>36</v>
      </c>
      <c r="D1469" t="s">
        <v>37</v>
      </c>
      <c r="E1469">
        <v>37</v>
      </c>
      <c r="F1469" t="s">
        <v>46</v>
      </c>
      <c r="G1469" t="s">
        <v>38</v>
      </c>
      <c r="H1469" s="1">
        <v>43944</v>
      </c>
      <c r="I1469" s="2">
        <v>5.2</v>
      </c>
      <c r="J1469" t="s">
        <v>39</v>
      </c>
      <c r="K1469" s="3">
        <v>4450</v>
      </c>
      <c r="L1469" t="s">
        <v>58</v>
      </c>
      <c r="M1469">
        <v>3</v>
      </c>
      <c r="N1469">
        <v>4</v>
      </c>
      <c r="O1469">
        <v>29</v>
      </c>
      <c r="P1469" t="s">
        <v>22</v>
      </c>
      <c r="Q1469" s="1">
        <v>45847</v>
      </c>
      <c r="R1469" t="s">
        <v>40</v>
      </c>
      <c r="S1469" t="s">
        <v>84</v>
      </c>
      <c r="T1469" t="s">
        <v>85</v>
      </c>
      <c r="U1469">
        <v>1</v>
      </c>
      <c r="V1469">
        <v>0</v>
      </c>
      <c r="W1469">
        <v>1</v>
      </c>
    </row>
    <row r="1470" spans="1:23" ht="16.5" x14ac:dyDescent="0.3">
      <c r="A1470" t="s">
        <v>1537</v>
      </c>
      <c r="B1470" t="s">
        <v>24</v>
      </c>
      <c r="C1470" t="s">
        <v>36</v>
      </c>
      <c r="D1470" t="s">
        <v>37</v>
      </c>
      <c r="E1470">
        <v>39</v>
      </c>
      <c r="F1470" t="s">
        <v>46</v>
      </c>
      <c r="G1470" t="s">
        <v>38</v>
      </c>
      <c r="H1470" s="1">
        <v>41182</v>
      </c>
      <c r="I1470" s="2">
        <v>13.3</v>
      </c>
      <c r="J1470" t="s">
        <v>39</v>
      </c>
      <c r="K1470" s="3">
        <v>4050</v>
      </c>
      <c r="L1470" t="s">
        <v>58</v>
      </c>
      <c r="M1470">
        <v>3</v>
      </c>
      <c r="N1470">
        <v>3</v>
      </c>
      <c r="O1470">
        <v>25</v>
      </c>
      <c r="P1470" t="s">
        <v>21</v>
      </c>
      <c r="Q1470" s="1"/>
      <c r="U1470">
        <v>1</v>
      </c>
      <c r="V1470">
        <v>1</v>
      </c>
      <c r="W1470">
        <v>0</v>
      </c>
    </row>
    <row r="1471" spans="1:23" ht="16.5" x14ac:dyDescent="0.3">
      <c r="A1471" t="s">
        <v>1538</v>
      </c>
      <c r="B1471" t="s">
        <v>35</v>
      </c>
      <c r="C1471" t="s">
        <v>25</v>
      </c>
      <c r="D1471" t="s">
        <v>37</v>
      </c>
      <c r="E1471">
        <v>32</v>
      </c>
      <c r="F1471" t="s">
        <v>27</v>
      </c>
      <c r="G1471" t="s">
        <v>28</v>
      </c>
      <c r="H1471" s="1">
        <v>43337</v>
      </c>
      <c r="I1471" s="2">
        <v>7.4</v>
      </c>
      <c r="J1471" t="s">
        <v>39</v>
      </c>
      <c r="K1471" s="3">
        <v>3000</v>
      </c>
      <c r="L1471" t="s">
        <v>58</v>
      </c>
      <c r="M1471">
        <v>2</v>
      </c>
      <c r="N1471">
        <v>4</v>
      </c>
      <c r="O1471">
        <v>27</v>
      </c>
      <c r="P1471" t="s">
        <v>21</v>
      </c>
      <c r="Q1471" s="1"/>
      <c r="U1471">
        <v>1</v>
      </c>
      <c r="V1471">
        <v>1</v>
      </c>
      <c r="W1471">
        <v>0</v>
      </c>
    </row>
    <row r="1472" spans="1:23" ht="16.5" x14ac:dyDescent="0.3">
      <c r="A1472" t="s">
        <v>1539</v>
      </c>
      <c r="B1472" t="s">
        <v>35</v>
      </c>
      <c r="C1472" t="s">
        <v>45</v>
      </c>
      <c r="D1472" t="s">
        <v>26</v>
      </c>
      <c r="E1472">
        <v>45</v>
      </c>
      <c r="F1472" t="s">
        <v>46</v>
      </c>
      <c r="G1472" t="s">
        <v>38</v>
      </c>
      <c r="H1472" s="1">
        <v>44722</v>
      </c>
      <c r="I1472" s="2">
        <v>3.6</v>
      </c>
      <c r="J1472" t="s">
        <v>50</v>
      </c>
      <c r="K1472" s="3">
        <v>5100</v>
      </c>
      <c r="L1472" t="s">
        <v>30</v>
      </c>
      <c r="M1472">
        <v>4</v>
      </c>
      <c r="N1472">
        <v>2</v>
      </c>
      <c r="O1472">
        <v>10</v>
      </c>
      <c r="P1472" t="s">
        <v>21</v>
      </c>
      <c r="Q1472" s="1"/>
      <c r="U1472">
        <v>1</v>
      </c>
      <c r="V1472">
        <v>1</v>
      </c>
      <c r="W1472">
        <v>0</v>
      </c>
    </row>
    <row r="1473" spans="1:23" ht="16.5" x14ac:dyDescent="0.3">
      <c r="A1473" t="s">
        <v>1540</v>
      </c>
      <c r="B1473" t="s">
        <v>48</v>
      </c>
      <c r="C1473" t="s">
        <v>25</v>
      </c>
      <c r="D1473" t="s">
        <v>37</v>
      </c>
      <c r="E1473">
        <v>26</v>
      </c>
      <c r="F1473" t="s">
        <v>27</v>
      </c>
      <c r="G1473" t="s">
        <v>52</v>
      </c>
      <c r="H1473" s="1">
        <v>44793</v>
      </c>
      <c r="I1473" s="2">
        <v>2.2999999999999998</v>
      </c>
      <c r="J1473" t="s">
        <v>29</v>
      </c>
      <c r="K1473" s="3">
        <v>6000</v>
      </c>
      <c r="L1473" t="s">
        <v>30</v>
      </c>
      <c r="M1473">
        <v>2</v>
      </c>
      <c r="N1473">
        <v>3</v>
      </c>
      <c r="O1473">
        <v>33</v>
      </c>
      <c r="P1473" t="s">
        <v>22</v>
      </c>
      <c r="Q1473" s="1">
        <v>45647</v>
      </c>
      <c r="R1473" t="s">
        <v>31</v>
      </c>
      <c r="S1473" t="s">
        <v>92</v>
      </c>
      <c r="T1473" t="s">
        <v>33</v>
      </c>
      <c r="U1473">
        <v>1</v>
      </c>
      <c r="V1473">
        <v>0</v>
      </c>
      <c r="W1473">
        <v>1</v>
      </c>
    </row>
    <row r="1474" spans="1:23" ht="16.5" x14ac:dyDescent="0.3">
      <c r="A1474" t="s">
        <v>1541</v>
      </c>
      <c r="B1474" t="s">
        <v>55</v>
      </c>
      <c r="C1474" t="s">
        <v>45</v>
      </c>
      <c r="D1474" t="s">
        <v>26</v>
      </c>
      <c r="E1474">
        <v>36</v>
      </c>
      <c r="F1474" t="s">
        <v>46</v>
      </c>
      <c r="G1474" t="s">
        <v>38</v>
      </c>
      <c r="H1474" s="1">
        <v>42925</v>
      </c>
      <c r="I1474" s="2">
        <v>8.5</v>
      </c>
      <c r="J1474" t="s">
        <v>39</v>
      </c>
      <c r="K1474" s="3">
        <v>7550</v>
      </c>
      <c r="L1474" t="s">
        <v>58</v>
      </c>
      <c r="M1474">
        <v>2</v>
      </c>
      <c r="N1474">
        <v>3</v>
      </c>
      <c r="O1474">
        <v>35</v>
      </c>
      <c r="P1474" t="s">
        <v>21</v>
      </c>
      <c r="Q1474" s="1"/>
      <c r="U1474">
        <v>1</v>
      </c>
      <c r="V1474">
        <v>1</v>
      </c>
      <c r="W1474">
        <v>0</v>
      </c>
    </row>
    <row r="1475" spans="1:23" ht="16.5" x14ac:dyDescent="0.3">
      <c r="A1475" t="s">
        <v>1542</v>
      </c>
      <c r="B1475" t="s">
        <v>24</v>
      </c>
      <c r="C1475" t="s">
        <v>45</v>
      </c>
      <c r="D1475" t="s">
        <v>37</v>
      </c>
      <c r="E1475">
        <v>37</v>
      </c>
      <c r="F1475" t="s">
        <v>46</v>
      </c>
      <c r="G1475" t="s">
        <v>28</v>
      </c>
      <c r="H1475" s="1">
        <v>42656</v>
      </c>
      <c r="I1475" s="2">
        <v>9.1999999999999993</v>
      </c>
      <c r="J1475" t="s">
        <v>39</v>
      </c>
      <c r="K1475" s="3">
        <v>4250</v>
      </c>
      <c r="L1475" t="s">
        <v>30</v>
      </c>
      <c r="M1475">
        <v>3</v>
      </c>
      <c r="N1475">
        <v>3</v>
      </c>
      <c r="O1475">
        <v>19</v>
      </c>
      <c r="P1475" t="s">
        <v>21</v>
      </c>
      <c r="Q1475" s="1"/>
      <c r="U1475">
        <v>1</v>
      </c>
      <c r="V1475">
        <v>1</v>
      </c>
      <c r="W1475">
        <v>0</v>
      </c>
    </row>
    <row r="1476" spans="1:23" ht="16.5" x14ac:dyDescent="0.3">
      <c r="A1476" t="s">
        <v>1543</v>
      </c>
      <c r="B1476" t="s">
        <v>24</v>
      </c>
      <c r="C1476" t="s">
        <v>45</v>
      </c>
      <c r="D1476" t="s">
        <v>37</v>
      </c>
      <c r="E1476">
        <v>45</v>
      </c>
      <c r="F1476" t="s">
        <v>46</v>
      </c>
      <c r="G1476" t="s">
        <v>38</v>
      </c>
      <c r="H1476" s="1">
        <v>44458</v>
      </c>
      <c r="I1476" s="2">
        <v>4.3</v>
      </c>
      <c r="J1476" t="s">
        <v>50</v>
      </c>
      <c r="K1476" s="3">
        <v>5200</v>
      </c>
      <c r="L1476" t="s">
        <v>30</v>
      </c>
      <c r="M1476">
        <v>3</v>
      </c>
      <c r="N1476">
        <v>4</v>
      </c>
      <c r="O1476">
        <v>26</v>
      </c>
      <c r="P1476" t="s">
        <v>21</v>
      </c>
      <c r="Q1476" s="1"/>
      <c r="U1476">
        <v>1</v>
      </c>
      <c r="V1476">
        <v>1</v>
      </c>
      <c r="W1476">
        <v>0</v>
      </c>
    </row>
    <row r="1477" spans="1:23" ht="16.5" x14ac:dyDescent="0.3">
      <c r="A1477" t="s">
        <v>1544</v>
      </c>
      <c r="B1477" t="s">
        <v>24</v>
      </c>
      <c r="C1477" t="s">
        <v>45</v>
      </c>
      <c r="D1477" t="s">
        <v>37</v>
      </c>
      <c r="E1477">
        <v>37</v>
      </c>
      <c r="F1477" t="s">
        <v>46</v>
      </c>
      <c r="G1477" t="s">
        <v>38</v>
      </c>
      <c r="H1477" s="1">
        <v>42205</v>
      </c>
      <c r="I1477" s="2">
        <v>10.5</v>
      </c>
      <c r="J1477" t="s">
        <v>39</v>
      </c>
      <c r="K1477" s="3">
        <v>4250</v>
      </c>
      <c r="L1477" t="s">
        <v>58</v>
      </c>
      <c r="M1477">
        <v>4</v>
      </c>
      <c r="N1477">
        <v>4</v>
      </c>
      <c r="O1477">
        <v>23</v>
      </c>
      <c r="P1477" t="s">
        <v>21</v>
      </c>
      <c r="Q1477" s="1"/>
      <c r="U1477">
        <v>1</v>
      </c>
      <c r="V1477">
        <v>1</v>
      </c>
      <c r="W1477">
        <v>0</v>
      </c>
    </row>
    <row r="1478" spans="1:23" ht="16.5" x14ac:dyDescent="0.3">
      <c r="A1478" t="s">
        <v>1545</v>
      </c>
      <c r="B1478" t="s">
        <v>44</v>
      </c>
      <c r="C1478" t="s">
        <v>25</v>
      </c>
      <c r="D1478" t="s">
        <v>37</v>
      </c>
      <c r="E1478">
        <v>21</v>
      </c>
      <c r="F1478" t="s">
        <v>57</v>
      </c>
      <c r="G1478" t="s">
        <v>38</v>
      </c>
      <c r="H1478" s="1">
        <v>45976</v>
      </c>
      <c r="I1478" s="2">
        <v>0.1</v>
      </c>
      <c r="J1478" t="s">
        <v>64</v>
      </c>
      <c r="K1478" s="3">
        <v>6400</v>
      </c>
      <c r="L1478" t="s">
        <v>30</v>
      </c>
      <c r="M1478">
        <v>4</v>
      </c>
      <c r="N1478">
        <v>3</v>
      </c>
      <c r="O1478">
        <v>17</v>
      </c>
      <c r="P1478" t="s">
        <v>21</v>
      </c>
      <c r="Q1478" s="1"/>
      <c r="U1478">
        <v>1</v>
      </c>
      <c r="V1478">
        <v>1</v>
      </c>
      <c r="W1478">
        <v>0</v>
      </c>
    </row>
    <row r="1479" spans="1:23" ht="16.5" x14ac:dyDescent="0.3">
      <c r="A1479" t="s">
        <v>1546</v>
      </c>
      <c r="B1479" t="s">
        <v>70</v>
      </c>
      <c r="C1479" t="s">
        <v>36</v>
      </c>
      <c r="D1479" t="s">
        <v>26</v>
      </c>
      <c r="E1479">
        <v>22</v>
      </c>
      <c r="F1479" t="s">
        <v>57</v>
      </c>
      <c r="G1479" t="s">
        <v>28</v>
      </c>
      <c r="H1479" s="1">
        <v>45944</v>
      </c>
      <c r="I1479" s="2">
        <v>0.2</v>
      </c>
      <c r="J1479" t="s">
        <v>64</v>
      </c>
      <c r="K1479" s="3">
        <v>5850</v>
      </c>
      <c r="L1479" t="s">
        <v>30</v>
      </c>
      <c r="M1479">
        <v>4</v>
      </c>
      <c r="N1479">
        <v>3</v>
      </c>
      <c r="O1479">
        <v>31</v>
      </c>
      <c r="P1479" t="s">
        <v>21</v>
      </c>
      <c r="Q1479" s="1"/>
      <c r="U1479">
        <v>1</v>
      </c>
      <c r="V1479">
        <v>1</v>
      </c>
      <c r="W1479">
        <v>0</v>
      </c>
    </row>
    <row r="1480" spans="1:23" ht="16.5" x14ac:dyDescent="0.3">
      <c r="A1480" t="s">
        <v>1547</v>
      </c>
      <c r="B1480" t="s">
        <v>70</v>
      </c>
      <c r="C1480" t="s">
        <v>25</v>
      </c>
      <c r="D1480" t="s">
        <v>37</v>
      </c>
      <c r="E1480">
        <v>22</v>
      </c>
      <c r="F1480" t="s">
        <v>57</v>
      </c>
      <c r="G1480" t="s">
        <v>52</v>
      </c>
      <c r="H1480" s="1">
        <v>45948</v>
      </c>
      <c r="I1480" s="2">
        <v>0</v>
      </c>
      <c r="J1480" t="s">
        <v>64</v>
      </c>
      <c r="K1480" s="3">
        <v>3500</v>
      </c>
      <c r="L1480" t="s">
        <v>58</v>
      </c>
      <c r="M1480">
        <v>2</v>
      </c>
      <c r="N1480">
        <v>3</v>
      </c>
      <c r="O1480">
        <v>29</v>
      </c>
      <c r="P1480" t="s">
        <v>22</v>
      </c>
      <c r="Q1480" s="1">
        <v>45962</v>
      </c>
      <c r="R1480" t="s">
        <v>40</v>
      </c>
      <c r="S1480" t="s">
        <v>182</v>
      </c>
      <c r="T1480" t="s">
        <v>33</v>
      </c>
      <c r="U1480">
        <v>1</v>
      </c>
      <c r="V1480">
        <v>0</v>
      </c>
      <c r="W1480">
        <v>1</v>
      </c>
    </row>
    <row r="1481" spans="1:23" ht="16.5" x14ac:dyDescent="0.3">
      <c r="A1481" t="s">
        <v>1548</v>
      </c>
      <c r="B1481" t="s">
        <v>73</v>
      </c>
      <c r="C1481" t="s">
        <v>25</v>
      </c>
      <c r="D1481" t="s">
        <v>37</v>
      </c>
      <c r="E1481">
        <v>23</v>
      </c>
      <c r="F1481" t="s">
        <v>57</v>
      </c>
      <c r="G1481" t="s">
        <v>38</v>
      </c>
      <c r="H1481" s="1">
        <v>45711</v>
      </c>
      <c r="I1481" s="2">
        <v>0.9</v>
      </c>
      <c r="J1481" t="s">
        <v>64</v>
      </c>
      <c r="K1481" s="3">
        <v>3950</v>
      </c>
      <c r="L1481" t="s">
        <v>58</v>
      </c>
      <c r="M1481">
        <v>3</v>
      </c>
      <c r="N1481">
        <v>4</v>
      </c>
      <c r="O1481">
        <v>31</v>
      </c>
      <c r="P1481" t="s">
        <v>21</v>
      </c>
      <c r="Q1481" s="1"/>
      <c r="U1481">
        <v>1</v>
      </c>
      <c r="V1481">
        <v>1</v>
      </c>
      <c r="W1481">
        <v>0</v>
      </c>
    </row>
    <row r="1482" spans="1:23" ht="16.5" x14ac:dyDescent="0.3">
      <c r="A1482" t="s">
        <v>1549</v>
      </c>
      <c r="B1482" t="s">
        <v>35</v>
      </c>
      <c r="C1482" t="s">
        <v>25</v>
      </c>
      <c r="D1482" t="s">
        <v>37</v>
      </c>
      <c r="E1482">
        <v>25</v>
      </c>
      <c r="F1482" t="s">
        <v>57</v>
      </c>
      <c r="G1482" t="s">
        <v>28</v>
      </c>
      <c r="H1482" s="1">
        <v>45370</v>
      </c>
      <c r="I1482" s="2">
        <v>1.8</v>
      </c>
      <c r="J1482" t="s">
        <v>29</v>
      </c>
      <c r="K1482" s="3">
        <v>3200</v>
      </c>
      <c r="L1482" t="s">
        <v>58</v>
      </c>
      <c r="M1482">
        <v>4</v>
      </c>
      <c r="N1482">
        <v>4</v>
      </c>
      <c r="O1482">
        <v>35</v>
      </c>
      <c r="P1482" t="s">
        <v>21</v>
      </c>
      <c r="Q1482" s="1"/>
      <c r="U1482">
        <v>1</v>
      </c>
      <c r="V1482">
        <v>1</v>
      </c>
      <c r="W1482">
        <v>0</v>
      </c>
    </row>
    <row r="1483" spans="1:23" ht="16.5" x14ac:dyDescent="0.3">
      <c r="A1483" t="s">
        <v>1550</v>
      </c>
      <c r="B1483" t="s">
        <v>48</v>
      </c>
      <c r="C1483" t="s">
        <v>36</v>
      </c>
      <c r="D1483" t="s">
        <v>37</v>
      </c>
      <c r="E1483">
        <v>32</v>
      </c>
      <c r="F1483" t="s">
        <v>27</v>
      </c>
      <c r="G1483" t="s">
        <v>38</v>
      </c>
      <c r="H1483" s="1">
        <v>45529</v>
      </c>
      <c r="I1483" s="2">
        <v>1.3</v>
      </c>
      <c r="J1483" t="s">
        <v>29</v>
      </c>
      <c r="K1483" s="3">
        <v>7500</v>
      </c>
      <c r="L1483" t="s">
        <v>30</v>
      </c>
      <c r="M1483">
        <v>5</v>
      </c>
      <c r="N1483">
        <v>3</v>
      </c>
      <c r="O1483">
        <v>21</v>
      </c>
      <c r="P1483" t="s">
        <v>21</v>
      </c>
      <c r="Q1483" s="1"/>
      <c r="U1483">
        <v>1</v>
      </c>
      <c r="V1483">
        <v>1</v>
      </c>
      <c r="W1483">
        <v>0</v>
      </c>
    </row>
    <row r="1484" spans="1:23" ht="16.5" x14ac:dyDescent="0.3">
      <c r="A1484" t="s">
        <v>1551</v>
      </c>
      <c r="B1484" t="s">
        <v>24</v>
      </c>
      <c r="C1484" t="s">
        <v>36</v>
      </c>
      <c r="D1484" t="s">
        <v>26</v>
      </c>
      <c r="E1484">
        <v>36</v>
      </c>
      <c r="F1484" t="s">
        <v>46</v>
      </c>
      <c r="G1484" t="s">
        <v>38</v>
      </c>
      <c r="H1484" s="1">
        <v>44369</v>
      </c>
      <c r="I1484" s="2">
        <v>4.5</v>
      </c>
      <c r="J1484" t="s">
        <v>50</v>
      </c>
      <c r="K1484" s="3">
        <v>3350</v>
      </c>
      <c r="L1484" t="s">
        <v>30</v>
      </c>
      <c r="M1484">
        <v>4</v>
      </c>
      <c r="N1484">
        <v>3</v>
      </c>
      <c r="O1484">
        <v>0</v>
      </c>
      <c r="P1484" t="s">
        <v>21</v>
      </c>
      <c r="Q1484" s="1"/>
      <c r="U1484">
        <v>1</v>
      </c>
      <c r="V1484">
        <v>1</v>
      </c>
      <c r="W1484">
        <v>0</v>
      </c>
    </row>
    <row r="1485" spans="1:23" ht="16.5" x14ac:dyDescent="0.3">
      <c r="A1485" t="s">
        <v>1552</v>
      </c>
      <c r="B1485" t="s">
        <v>48</v>
      </c>
      <c r="C1485" t="s">
        <v>45</v>
      </c>
      <c r="D1485" t="s">
        <v>26</v>
      </c>
      <c r="E1485">
        <v>38</v>
      </c>
      <c r="F1485" t="s">
        <v>46</v>
      </c>
      <c r="G1485" t="s">
        <v>38</v>
      </c>
      <c r="H1485" s="1">
        <v>43251</v>
      </c>
      <c r="I1485" s="2">
        <v>7.6</v>
      </c>
      <c r="J1485" t="s">
        <v>39</v>
      </c>
      <c r="K1485" s="3">
        <v>12100</v>
      </c>
      <c r="L1485" t="s">
        <v>30</v>
      </c>
      <c r="M1485">
        <v>4</v>
      </c>
      <c r="N1485">
        <v>3</v>
      </c>
      <c r="O1485">
        <v>26</v>
      </c>
      <c r="P1485" t="s">
        <v>21</v>
      </c>
      <c r="Q1485" s="1"/>
      <c r="U1485">
        <v>1</v>
      </c>
      <c r="V1485">
        <v>1</v>
      </c>
      <c r="W1485">
        <v>0</v>
      </c>
    </row>
    <row r="1486" spans="1:23" ht="16.5" x14ac:dyDescent="0.3">
      <c r="A1486" t="s">
        <v>1553</v>
      </c>
      <c r="B1486" t="s">
        <v>73</v>
      </c>
      <c r="C1486" t="s">
        <v>25</v>
      </c>
      <c r="D1486" t="s">
        <v>37</v>
      </c>
      <c r="E1486">
        <v>21</v>
      </c>
      <c r="F1486" t="s">
        <v>57</v>
      </c>
      <c r="G1486" t="s">
        <v>38</v>
      </c>
      <c r="H1486" s="1">
        <v>45939</v>
      </c>
      <c r="I1486" s="2">
        <v>0.1</v>
      </c>
      <c r="J1486" t="s">
        <v>64</v>
      </c>
      <c r="K1486" s="3">
        <v>3100</v>
      </c>
      <c r="L1486" t="s">
        <v>58</v>
      </c>
      <c r="M1486">
        <v>3</v>
      </c>
      <c r="N1486">
        <v>3</v>
      </c>
      <c r="O1486">
        <v>37</v>
      </c>
      <c r="P1486" t="s">
        <v>22</v>
      </c>
      <c r="Q1486" s="1">
        <v>45966</v>
      </c>
      <c r="R1486" t="s">
        <v>40</v>
      </c>
      <c r="S1486" t="s">
        <v>182</v>
      </c>
      <c r="T1486" t="s">
        <v>33</v>
      </c>
      <c r="U1486">
        <v>1</v>
      </c>
      <c r="V1486">
        <v>0</v>
      </c>
      <c r="W1486">
        <v>1</v>
      </c>
    </row>
    <row r="1487" spans="1:23" ht="16.5" x14ac:dyDescent="0.3">
      <c r="A1487" t="s">
        <v>1554</v>
      </c>
      <c r="B1487" t="s">
        <v>55</v>
      </c>
      <c r="C1487" t="s">
        <v>45</v>
      </c>
      <c r="D1487" t="s">
        <v>37</v>
      </c>
      <c r="E1487">
        <v>43</v>
      </c>
      <c r="F1487" t="s">
        <v>46</v>
      </c>
      <c r="G1487" t="s">
        <v>38</v>
      </c>
      <c r="H1487" s="1">
        <v>42125</v>
      </c>
      <c r="I1487" s="2">
        <v>10.7</v>
      </c>
      <c r="J1487" t="s">
        <v>39</v>
      </c>
      <c r="K1487" s="3">
        <v>7050</v>
      </c>
      <c r="L1487" t="s">
        <v>30</v>
      </c>
      <c r="M1487">
        <v>4</v>
      </c>
      <c r="N1487">
        <v>5</v>
      </c>
      <c r="O1487">
        <v>49</v>
      </c>
      <c r="P1487" t="s">
        <v>21</v>
      </c>
      <c r="Q1487" s="1"/>
      <c r="U1487">
        <v>1</v>
      </c>
      <c r="V1487">
        <v>1</v>
      </c>
      <c r="W1487">
        <v>0</v>
      </c>
    </row>
    <row r="1488" spans="1:23" ht="16.5" x14ac:dyDescent="0.3">
      <c r="A1488" t="s">
        <v>1555</v>
      </c>
      <c r="B1488" t="s">
        <v>44</v>
      </c>
      <c r="C1488" t="s">
        <v>45</v>
      </c>
      <c r="D1488" t="s">
        <v>37</v>
      </c>
      <c r="E1488">
        <v>42</v>
      </c>
      <c r="F1488" t="s">
        <v>46</v>
      </c>
      <c r="G1488" t="s">
        <v>38</v>
      </c>
      <c r="H1488" s="1">
        <v>44107</v>
      </c>
      <c r="I1488" s="2">
        <v>5.2</v>
      </c>
      <c r="J1488" t="s">
        <v>39</v>
      </c>
      <c r="K1488" s="3">
        <v>9650</v>
      </c>
      <c r="L1488" t="s">
        <v>30</v>
      </c>
      <c r="M1488">
        <v>5</v>
      </c>
      <c r="N1488">
        <v>3</v>
      </c>
      <c r="O1488">
        <v>7</v>
      </c>
      <c r="P1488" t="s">
        <v>21</v>
      </c>
      <c r="Q1488" s="1"/>
      <c r="U1488">
        <v>1</v>
      </c>
      <c r="V1488">
        <v>1</v>
      </c>
      <c r="W1488">
        <v>0</v>
      </c>
    </row>
    <row r="1489" spans="1:23" ht="16.5" x14ac:dyDescent="0.3">
      <c r="A1489" t="s">
        <v>1556</v>
      </c>
      <c r="B1489" t="s">
        <v>70</v>
      </c>
      <c r="C1489" t="s">
        <v>25</v>
      </c>
      <c r="D1489" t="s">
        <v>26</v>
      </c>
      <c r="E1489">
        <v>21</v>
      </c>
      <c r="F1489" t="s">
        <v>57</v>
      </c>
      <c r="G1489" t="s">
        <v>38</v>
      </c>
      <c r="H1489" s="1">
        <v>45914</v>
      </c>
      <c r="I1489" s="2">
        <v>0.3</v>
      </c>
      <c r="J1489" t="s">
        <v>64</v>
      </c>
      <c r="K1489" s="3">
        <v>4650</v>
      </c>
      <c r="L1489" t="s">
        <v>30</v>
      </c>
      <c r="M1489">
        <v>4</v>
      </c>
      <c r="N1489">
        <v>4</v>
      </c>
      <c r="O1489">
        <v>17</v>
      </c>
      <c r="P1489" t="s">
        <v>21</v>
      </c>
      <c r="Q1489" s="1"/>
      <c r="U1489">
        <v>1</v>
      </c>
      <c r="V1489">
        <v>1</v>
      </c>
      <c r="W1489">
        <v>0</v>
      </c>
    </row>
    <row r="1490" spans="1:23" ht="16.5" x14ac:dyDescent="0.3">
      <c r="A1490" t="s">
        <v>1557</v>
      </c>
      <c r="B1490" t="s">
        <v>35</v>
      </c>
      <c r="C1490" t="s">
        <v>25</v>
      </c>
      <c r="D1490" t="s">
        <v>26</v>
      </c>
      <c r="E1490">
        <v>21</v>
      </c>
      <c r="F1490" t="s">
        <v>57</v>
      </c>
      <c r="G1490" t="s">
        <v>38</v>
      </c>
      <c r="H1490" s="1">
        <v>45968</v>
      </c>
      <c r="I1490" s="2">
        <v>0.1</v>
      </c>
      <c r="J1490" t="s">
        <v>64</v>
      </c>
      <c r="K1490" s="3">
        <v>3350</v>
      </c>
      <c r="L1490" t="s">
        <v>58</v>
      </c>
      <c r="M1490">
        <v>5</v>
      </c>
      <c r="N1490">
        <v>3</v>
      </c>
      <c r="O1490">
        <v>25</v>
      </c>
      <c r="P1490" t="s">
        <v>21</v>
      </c>
      <c r="Q1490" s="1"/>
      <c r="U1490">
        <v>1</v>
      </c>
      <c r="V1490">
        <v>1</v>
      </c>
      <c r="W1490">
        <v>0</v>
      </c>
    </row>
    <row r="1491" spans="1:23" ht="16.5" x14ac:dyDescent="0.3">
      <c r="A1491" t="s">
        <v>1558</v>
      </c>
      <c r="B1491" t="s">
        <v>35</v>
      </c>
      <c r="C1491" t="s">
        <v>36</v>
      </c>
      <c r="D1491" t="s">
        <v>37</v>
      </c>
      <c r="E1491">
        <v>21</v>
      </c>
      <c r="F1491" t="s">
        <v>57</v>
      </c>
      <c r="G1491" t="s">
        <v>38</v>
      </c>
      <c r="H1491" s="1">
        <v>45979</v>
      </c>
      <c r="I1491" s="2">
        <v>0</v>
      </c>
      <c r="J1491" t="s">
        <v>64</v>
      </c>
      <c r="K1491" s="3">
        <v>4800</v>
      </c>
      <c r="L1491" t="s">
        <v>58</v>
      </c>
      <c r="M1491">
        <v>4</v>
      </c>
      <c r="N1491">
        <v>4</v>
      </c>
      <c r="O1491">
        <v>7</v>
      </c>
      <c r="P1491" t="s">
        <v>22</v>
      </c>
      <c r="Q1491" s="1">
        <v>45985</v>
      </c>
      <c r="R1491" t="s">
        <v>40</v>
      </c>
      <c r="S1491" t="s">
        <v>182</v>
      </c>
      <c r="T1491" t="s">
        <v>151</v>
      </c>
      <c r="U1491">
        <v>1</v>
      </c>
      <c r="V1491">
        <v>0</v>
      </c>
      <c r="W1491">
        <v>1</v>
      </c>
    </row>
    <row r="1492" spans="1:23" ht="16.5" x14ac:dyDescent="0.3">
      <c r="A1492" t="s">
        <v>1559</v>
      </c>
      <c r="B1492" t="s">
        <v>35</v>
      </c>
      <c r="C1492" t="s">
        <v>36</v>
      </c>
      <c r="D1492" t="s">
        <v>26</v>
      </c>
      <c r="E1492">
        <v>35</v>
      </c>
      <c r="F1492" t="s">
        <v>27</v>
      </c>
      <c r="G1492" t="s">
        <v>28</v>
      </c>
      <c r="H1492" s="1">
        <v>43237</v>
      </c>
      <c r="I1492" s="2">
        <v>7.6</v>
      </c>
      <c r="J1492" t="s">
        <v>39</v>
      </c>
      <c r="K1492" s="3">
        <v>4600</v>
      </c>
      <c r="L1492" t="s">
        <v>58</v>
      </c>
      <c r="M1492">
        <v>4</v>
      </c>
      <c r="N1492">
        <v>3</v>
      </c>
      <c r="O1492">
        <v>28</v>
      </c>
      <c r="P1492" t="s">
        <v>21</v>
      </c>
      <c r="Q1492" s="1"/>
      <c r="U1492">
        <v>1</v>
      </c>
      <c r="V1492">
        <v>1</v>
      </c>
      <c r="W1492">
        <v>0</v>
      </c>
    </row>
    <row r="1493" spans="1:23" ht="16.5" x14ac:dyDescent="0.3">
      <c r="A1493" t="s">
        <v>1560</v>
      </c>
      <c r="B1493" t="s">
        <v>55</v>
      </c>
      <c r="C1493" t="s">
        <v>36</v>
      </c>
      <c r="D1493" t="s">
        <v>26</v>
      </c>
      <c r="E1493">
        <v>44</v>
      </c>
      <c r="F1493" t="s">
        <v>46</v>
      </c>
      <c r="G1493" t="s">
        <v>52</v>
      </c>
      <c r="H1493" s="1">
        <v>42915</v>
      </c>
      <c r="I1493" s="2">
        <v>8.5</v>
      </c>
      <c r="J1493" t="s">
        <v>39</v>
      </c>
      <c r="K1493" s="3">
        <v>5450</v>
      </c>
      <c r="L1493" t="s">
        <v>30</v>
      </c>
      <c r="M1493">
        <v>2</v>
      </c>
      <c r="N1493">
        <v>3</v>
      </c>
      <c r="O1493">
        <v>26</v>
      </c>
      <c r="P1493" t="s">
        <v>21</v>
      </c>
      <c r="Q1493" s="1"/>
      <c r="U1493">
        <v>1</v>
      </c>
      <c r="V1493">
        <v>1</v>
      </c>
      <c r="W1493">
        <v>0</v>
      </c>
    </row>
    <row r="1494" spans="1:23" ht="16.5" x14ac:dyDescent="0.3">
      <c r="A1494" t="s">
        <v>1561</v>
      </c>
      <c r="B1494" t="s">
        <v>48</v>
      </c>
      <c r="C1494" t="s">
        <v>45</v>
      </c>
      <c r="D1494" t="s">
        <v>37</v>
      </c>
      <c r="E1494">
        <v>29</v>
      </c>
      <c r="F1494" t="s">
        <v>27</v>
      </c>
      <c r="G1494" t="s">
        <v>38</v>
      </c>
      <c r="H1494" s="1">
        <v>43978</v>
      </c>
      <c r="I1494" s="2">
        <v>5</v>
      </c>
      <c r="J1494" t="s">
        <v>50</v>
      </c>
      <c r="K1494" s="3">
        <v>9850</v>
      </c>
      <c r="L1494" t="s">
        <v>58</v>
      </c>
      <c r="M1494">
        <v>3</v>
      </c>
      <c r="N1494">
        <v>3</v>
      </c>
      <c r="O1494">
        <v>21</v>
      </c>
      <c r="P1494" t="s">
        <v>22</v>
      </c>
      <c r="Q1494" s="1">
        <v>45795</v>
      </c>
      <c r="R1494" t="s">
        <v>40</v>
      </c>
      <c r="S1494" t="s">
        <v>169</v>
      </c>
      <c r="T1494" t="s">
        <v>33</v>
      </c>
      <c r="U1494">
        <v>1</v>
      </c>
      <c r="V1494">
        <v>0</v>
      </c>
      <c r="W1494">
        <v>1</v>
      </c>
    </row>
    <row r="1495" spans="1:23" ht="16.5" x14ac:dyDescent="0.3">
      <c r="A1495" t="s">
        <v>1562</v>
      </c>
      <c r="B1495" t="s">
        <v>48</v>
      </c>
      <c r="C1495" t="s">
        <v>36</v>
      </c>
      <c r="D1495" t="s">
        <v>37</v>
      </c>
      <c r="E1495">
        <v>32</v>
      </c>
      <c r="F1495" t="s">
        <v>27</v>
      </c>
      <c r="G1495" t="s">
        <v>28</v>
      </c>
      <c r="H1495" s="1">
        <v>44425</v>
      </c>
      <c r="I1495" s="2">
        <v>4.4000000000000004</v>
      </c>
      <c r="J1495" t="s">
        <v>50</v>
      </c>
      <c r="K1495" s="3">
        <v>7400</v>
      </c>
      <c r="L1495" t="s">
        <v>58</v>
      </c>
      <c r="M1495">
        <v>3</v>
      </c>
      <c r="N1495">
        <v>4</v>
      </c>
      <c r="O1495">
        <v>19</v>
      </c>
      <c r="P1495" t="s">
        <v>21</v>
      </c>
      <c r="Q1495" s="1"/>
      <c r="U1495">
        <v>1</v>
      </c>
      <c r="V1495">
        <v>1</v>
      </c>
      <c r="W1495">
        <v>0</v>
      </c>
    </row>
    <row r="1496" spans="1:23" ht="16.5" x14ac:dyDescent="0.3">
      <c r="A1496" t="s">
        <v>1563</v>
      </c>
      <c r="B1496" t="s">
        <v>73</v>
      </c>
      <c r="C1496" t="s">
        <v>45</v>
      </c>
      <c r="D1496" t="s">
        <v>26</v>
      </c>
      <c r="E1496">
        <v>34</v>
      </c>
      <c r="F1496" t="s">
        <v>27</v>
      </c>
      <c r="G1496" t="s">
        <v>28</v>
      </c>
      <c r="H1496" s="1">
        <v>45154</v>
      </c>
      <c r="I1496" s="2">
        <v>2.4</v>
      </c>
      <c r="J1496" t="s">
        <v>29</v>
      </c>
      <c r="K1496" s="3">
        <v>8300</v>
      </c>
      <c r="L1496" t="s">
        <v>30</v>
      </c>
      <c r="M1496">
        <v>3</v>
      </c>
      <c r="N1496">
        <v>2</v>
      </c>
      <c r="O1496">
        <v>16</v>
      </c>
      <c r="P1496" t="s">
        <v>21</v>
      </c>
      <c r="Q1496" s="1"/>
      <c r="U1496">
        <v>1</v>
      </c>
      <c r="V1496">
        <v>1</v>
      </c>
      <c r="W1496">
        <v>0</v>
      </c>
    </row>
    <row r="1497" spans="1:23" ht="16.5" x14ac:dyDescent="0.3">
      <c r="A1497" t="s">
        <v>1564</v>
      </c>
      <c r="B1497" t="s">
        <v>35</v>
      </c>
      <c r="C1497" t="s">
        <v>25</v>
      </c>
      <c r="D1497" t="s">
        <v>26</v>
      </c>
      <c r="E1497">
        <v>28</v>
      </c>
      <c r="F1497" t="s">
        <v>27</v>
      </c>
      <c r="G1497" t="s">
        <v>38</v>
      </c>
      <c r="H1497" s="1">
        <v>43984</v>
      </c>
      <c r="I1497" s="2">
        <v>5.5</v>
      </c>
      <c r="J1497" t="s">
        <v>39</v>
      </c>
      <c r="K1497" s="3">
        <v>2950</v>
      </c>
      <c r="L1497" t="s">
        <v>58</v>
      </c>
      <c r="M1497">
        <v>2</v>
      </c>
      <c r="N1497">
        <v>5</v>
      </c>
      <c r="O1497">
        <v>34</v>
      </c>
      <c r="P1497" t="s">
        <v>22</v>
      </c>
      <c r="Q1497" s="1">
        <v>45979</v>
      </c>
      <c r="R1497" t="s">
        <v>40</v>
      </c>
      <c r="S1497" t="s">
        <v>182</v>
      </c>
      <c r="T1497" t="s">
        <v>33</v>
      </c>
      <c r="U1497">
        <v>1</v>
      </c>
      <c r="V1497">
        <v>0</v>
      </c>
      <c r="W1497">
        <v>1</v>
      </c>
    </row>
    <row r="1498" spans="1:23" ht="16.5" x14ac:dyDescent="0.3">
      <c r="A1498" t="s">
        <v>1565</v>
      </c>
      <c r="B1498" t="s">
        <v>48</v>
      </c>
      <c r="C1498" t="s">
        <v>36</v>
      </c>
      <c r="D1498" t="s">
        <v>26</v>
      </c>
      <c r="E1498">
        <v>37</v>
      </c>
      <c r="F1498" t="s">
        <v>46</v>
      </c>
      <c r="G1498" t="s">
        <v>28</v>
      </c>
      <c r="H1498" s="1">
        <v>41804</v>
      </c>
      <c r="I1498" s="2">
        <v>11.5</v>
      </c>
      <c r="J1498" t="s">
        <v>39</v>
      </c>
      <c r="K1498" s="3">
        <v>6900</v>
      </c>
      <c r="L1498" t="s">
        <v>30</v>
      </c>
      <c r="M1498">
        <v>5</v>
      </c>
      <c r="N1498">
        <v>4</v>
      </c>
      <c r="O1498">
        <v>31</v>
      </c>
      <c r="P1498" t="s">
        <v>21</v>
      </c>
      <c r="Q1498" s="1"/>
      <c r="U1498">
        <v>1</v>
      </c>
      <c r="V1498">
        <v>1</v>
      </c>
      <c r="W1498">
        <v>0</v>
      </c>
    </row>
    <row r="1499" spans="1:23" ht="16.5" x14ac:dyDescent="0.3">
      <c r="A1499" t="s">
        <v>1566</v>
      </c>
      <c r="B1499" t="s">
        <v>24</v>
      </c>
      <c r="C1499" t="s">
        <v>36</v>
      </c>
      <c r="D1499" t="s">
        <v>37</v>
      </c>
      <c r="E1499">
        <v>27</v>
      </c>
      <c r="F1499" t="s">
        <v>27</v>
      </c>
      <c r="G1499" t="s">
        <v>52</v>
      </c>
      <c r="H1499" s="1">
        <v>44555</v>
      </c>
      <c r="I1499" s="2">
        <v>3.8</v>
      </c>
      <c r="J1499" t="s">
        <v>50</v>
      </c>
      <c r="K1499" s="3">
        <v>3250</v>
      </c>
      <c r="L1499" t="s">
        <v>58</v>
      </c>
      <c r="M1499">
        <v>2</v>
      </c>
      <c r="N1499">
        <v>3</v>
      </c>
      <c r="O1499">
        <v>29</v>
      </c>
      <c r="P1499" t="s">
        <v>22</v>
      </c>
      <c r="Q1499" s="1">
        <v>45938</v>
      </c>
      <c r="R1499" t="s">
        <v>40</v>
      </c>
      <c r="S1499" t="s">
        <v>206</v>
      </c>
      <c r="T1499" t="s">
        <v>33</v>
      </c>
      <c r="U1499">
        <v>1</v>
      </c>
      <c r="V1499">
        <v>0</v>
      </c>
      <c r="W1499">
        <v>1</v>
      </c>
    </row>
    <row r="1500" spans="1:23" ht="16.5" x14ac:dyDescent="0.3">
      <c r="A1500" t="s">
        <v>1567</v>
      </c>
      <c r="B1500" t="s">
        <v>70</v>
      </c>
      <c r="C1500" t="s">
        <v>25</v>
      </c>
      <c r="D1500" t="s">
        <v>37</v>
      </c>
      <c r="E1500">
        <v>27</v>
      </c>
      <c r="F1500" t="s">
        <v>27</v>
      </c>
      <c r="G1500" t="s">
        <v>28</v>
      </c>
      <c r="H1500" s="1">
        <v>45339</v>
      </c>
      <c r="I1500" s="2">
        <v>1.9</v>
      </c>
      <c r="J1500" t="s">
        <v>29</v>
      </c>
      <c r="K1500" s="3">
        <v>3250</v>
      </c>
      <c r="L1500" t="s">
        <v>30</v>
      </c>
      <c r="M1500">
        <v>2</v>
      </c>
      <c r="N1500">
        <v>4</v>
      </c>
      <c r="O1500">
        <v>33</v>
      </c>
      <c r="P1500" t="s">
        <v>21</v>
      </c>
      <c r="Q1500" s="1"/>
      <c r="U1500">
        <v>1</v>
      </c>
      <c r="V1500">
        <v>1</v>
      </c>
      <c r="W1500">
        <v>0</v>
      </c>
    </row>
    <row r="1501" spans="1:23" ht="16.5" x14ac:dyDescent="0.3">
      <c r="A1501" t="s">
        <v>1568</v>
      </c>
      <c r="B1501" t="s">
        <v>70</v>
      </c>
      <c r="C1501" t="s">
        <v>36</v>
      </c>
      <c r="D1501" t="s">
        <v>37</v>
      </c>
      <c r="E1501">
        <v>37</v>
      </c>
      <c r="F1501" t="s">
        <v>46</v>
      </c>
      <c r="G1501" t="s">
        <v>38</v>
      </c>
      <c r="H1501" s="1">
        <v>42762</v>
      </c>
      <c r="I1501" s="2">
        <v>8.1</v>
      </c>
      <c r="J1501" t="s">
        <v>39</v>
      </c>
      <c r="K1501" s="3">
        <v>4850</v>
      </c>
      <c r="L1501" t="s">
        <v>58</v>
      </c>
      <c r="M1501">
        <v>2</v>
      </c>
      <c r="N1501">
        <v>3</v>
      </c>
      <c r="O1501">
        <v>3</v>
      </c>
      <c r="P1501" t="s">
        <v>22</v>
      </c>
      <c r="Q1501" s="1">
        <v>45719</v>
      </c>
      <c r="R1501" t="s">
        <v>40</v>
      </c>
      <c r="S1501" t="s">
        <v>59</v>
      </c>
      <c r="T1501" t="s">
        <v>42</v>
      </c>
      <c r="U1501">
        <v>1</v>
      </c>
      <c r="V1501">
        <v>0</v>
      </c>
      <c r="W1501">
        <v>1</v>
      </c>
    </row>
    <row r="1502" spans="1:23" ht="16.5" x14ac:dyDescent="0.3">
      <c r="A1502" t="s">
        <v>1569</v>
      </c>
      <c r="B1502" t="s">
        <v>24</v>
      </c>
      <c r="C1502" t="s">
        <v>25</v>
      </c>
      <c r="D1502" t="s">
        <v>26</v>
      </c>
      <c r="E1502">
        <v>23</v>
      </c>
      <c r="F1502" t="s">
        <v>57</v>
      </c>
      <c r="G1502" t="s">
        <v>38</v>
      </c>
      <c r="H1502" s="1">
        <v>45877</v>
      </c>
      <c r="I1502" s="2">
        <v>0.3</v>
      </c>
      <c r="J1502" t="s">
        <v>64</v>
      </c>
      <c r="K1502" s="3">
        <v>2300</v>
      </c>
      <c r="L1502" t="s">
        <v>30</v>
      </c>
      <c r="M1502">
        <v>2</v>
      </c>
      <c r="N1502">
        <v>3</v>
      </c>
      <c r="O1502">
        <v>6</v>
      </c>
      <c r="P1502" t="s">
        <v>22</v>
      </c>
      <c r="Q1502" s="1">
        <v>45996</v>
      </c>
      <c r="R1502" t="s">
        <v>40</v>
      </c>
      <c r="S1502" t="s">
        <v>92</v>
      </c>
      <c r="T1502" t="s">
        <v>33</v>
      </c>
      <c r="U1502">
        <v>1</v>
      </c>
      <c r="V1502">
        <v>0</v>
      </c>
      <c r="W1502">
        <v>1</v>
      </c>
    </row>
    <row r="1503" spans="1:23" ht="16.5" x14ac:dyDescent="0.3">
      <c r="A1503" t="s">
        <v>1570</v>
      </c>
      <c r="B1503" t="s">
        <v>24</v>
      </c>
      <c r="C1503" t="s">
        <v>36</v>
      </c>
      <c r="D1503" t="s">
        <v>37</v>
      </c>
      <c r="E1503">
        <v>39</v>
      </c>
      <c r="F1503" t="s">
        <v>46</v>
      </c>
      <c r="G1503" t="s">
        <v>28</v>
      </c>
      <c r="H1503" s="1">
        <v>44983</v>
      </c>
      <c r="I1503" s="2">
        <v>2.8</v>
      </c>
      <c r="J1503" t="s">
        <v>29</v>
      </c>
      <c r="K1503" s="3">
        <v>4250</v>
      </c>
      <c r="L1503" t="s">
        <v>58</v>
      </c>
      <c r="M1503">
        <v>3</v>
      </c>
      <c r="N1503">
        <v>3</v>
      </c>
      <c r="O1503">
        <v>7</v>
      </c>
      <c r="P1503" t="s">
        <v>21</v>
      </c>
      <c r="Q1503" s="1"/>
      <c r="U1503">
        <v>1</v>
      </c>
      <c r="V1503">
        <v>1</v>
      </c>
      <c r="W1503">
        <v>0</v>
      </c>
    </row>
    <row r="1504" spans="1:23" ht="16.5" x14ac:dyDescent="0.3">
      <c r="A1504" t="s">
        <v>1571</v>
      </c>
      <c r="B1504" t="s">
        <v>44</v>
      </c>
      <c r="C1504" t="s">
        <v>36</v>
      </c>
      <c r="D1504" t="s">
        <v>26</v>
      </c>
      <c r="E1504">
        <v>35</v>
      </c>
      <c r="F1504" t="s">
        <v>27</v>
      </c>
      <c r="G1504" t="s">
        <v>28</v>
      </c>
      <c r="H1504" s="1">
        <v>43029</v>
      </c>
      <c r="I1504" s="2">
        <v>8.1999999999999993</v>
      </c>
      <c r="J1504" t="s">
        <v>39</v>
      </c>
      <c r="K1504" s="3">
        <v>5700</v>
      </c>
      <c r="L1504" t="s">
        <v>58</v>
      </c>
      <c r="M1504">
        <v>2</v>
      </c>
      <c r="N1504">
        <v>5</v>
      </c>
      <c r="O1504">
        <v>34</v>
      </c>
      <c r="P1504" t="s">
        <v>21</v>
      </c>
      <c r="Q1504" s="1"/>
      <c r="U1504">
        <v>1</v>
      </c>
      <c r="V1504">
        <v>1</v>
      </c>
      <c r="W1504">
        <v>0</v>
      </c>
    </row>
    <row r="1505" spans="1:23" ht="16.5" x14ac:dyDescent="0.3">
      <c r="A1505" t="s">
        <v>1572</v>
      </c>
      <c r="B1505" t="s">
        <v>44</v>
      </c>
      <c r="C1505" t="s">
        <v>25</v>
      </c>
      <c r="D1505" t="s">
        <v>37</v>
      </c>
      <c r="E1505">
        <v>31</v>
      </c>
      <c r="F1505" t="s">
        <v>27</v>
      </c>
      <c r="G1505" t="s">
        <v>38</v>
      </c>
      <c r="H1505" s="1">
        <v>44156</v>
      </c>
      <c r="I1505" s="2">
        <v>5.0999999999999996</v>
      </c>
      <c r="J1505" t="s">
        <v>39</v>
      </c>
      <c r="K1505" s="3">
        <v>4550</v>
      </c>
      <c r="L1505" t="s">
        <v>30</v>
      </c>
      <c r="M1505">
        <v>3</v>
      </c>
      <c r="N1505">
        <v>3</v>
      </c>
      <c r="O1505">
        <v>15</v>
      </c>
      <c r="P1505" t="s">
        <v>21</v>
      </c>
      <c r="Q1505" s="1"/>
      <c r="U1505">
        <v>1</v>
      </c>
      <c r="V1505">
        <v>1</v>
      </c>
      <c r="W1505">
        <v>0</v>
      </c>
    </row>
    <row r="1506" spans="1:23" ht="16.5" x14ac:dyDescent="0.3">
      <c r="A1506" t="s">
        <v>1573</v>
      </c>
      <c r="B1506" t="s">
        <v>48</v>
      </c>
      <c r="C1506" t="s">
        <v>25</v>
      </c>
      <c r="D1506" t="s">
        <v>37</v>
      </c>
      <c r="E1506">
        <v>24</v>
      </c>
      <c r="F1506" t="s">
        <v>57</v>
      </c>
      <c r="G1506" t="s">
        <v>38</v>
      </c>
      <c r="H1506" s="1">
        <v>45885</v>
      </c>
      <c r="I1506" s="2">
        <v>0.2</v>
      </c>
      <c r="J1506" t="s">
        <v>64</v>
      </c>
      <c r="K1506" s="3">
        <v>5900</v>
      </c>
      <c r="L1506" t="s">
        <v>30</v>
      </c>
      <c r="M1506">
        <v>2</v>
      </c>
      <c r="N1506">
        <v>3</v>
      </c>
      <c r="O1506">
        <v>9</v>
      </c>
      <c r="P1506" t="s">
        <v>22</v>
      </c>
      <c r="Q1506" s="1">
        <v>45950</v>
      </c>
      <c r="R1506" t="s">
        <v>40</v>
      </c>
      <c r="S1506" t="s">
        <v>206</v>
      </c>
      <c r="T1506" t="s">
        <v>33</v>
      </c>
      <c r="U1506">
        <v>1</v>
      </c>
      <c r="V1506">
        <v>0</v>
      </c>
      <c r="W1506">
        <v>1</v>
      </c>
    </row>
    <row r="1507" spans="1:23" ht="16.5" x14ac:dyDescent="0.3">
      <c r="A1507" t="s">
        <v>1574</v>
      </c>
      <c r="B1507" t="s">
        <v>73</v>
      </c>
      <c r="C1507" t="s">
        <v>36</v>
      </c>
      <c r="D1507" t="s">
        <v>26</v>
      </c>
      <c r="E1507">
        <v>30</v>
      </c>
      <c r="F1507" t="s">
        <v>27</v>
      </c>
      <c r="G1507" t="s">
        <v>38</v>
      </c>
      <c r="H1507" s="1">
        <v>44787</v>
      </c>
      <c r="I1507" s="2">
        <v>3.4</v>
      </c>
      <c r="J1507" t="s">
        <v>50</v>
      </c>
      <c r="K1507" s="3">
        <v>5400</v>
      </c>
      <c r="L1507" t="s">
        <v>30</v>
      </c>
      <c r="M1507">
        <v>2</v>
      </c>
      <c r="N1507">
        <v>3</v>
      </c>
      <c r="O1507">
        <v>27</v>
      </c>
      <c r="P1507" t="s">
        <v>21</v>
      </c>
      <c r="Q1507" s="1"/>
      <c r="U1507">
        <v>1</v>
      </c>
      <c r="V1507">
        <v>1</v>
      </c>
      <c r="W1507">
        <v>0</v>
      </c>
    </row>
    <row r="1508" spans="1:23" ht="16.5" x14ac:dyDescent="0.3">
      <c r="A1508" t="s">
        <v>1575</v>
      </c>
      <c r="B1508" t="s">
        <v>70</v>
      </c>
      <c r="C1508" t="s">
        <v>45</v>
      </c>
      <c r="D1508" t="s">
        <v>37</v>
      </c>
      <c r="E1508">
        <v>32</v>
      </c>
      <c r="F1508" t="s">
        <v>27</v>
      </c>
      <c r="G1508" t="s">
        <v>28</v>
      </c>
      <c r="H1508" s="1">
        <v>44259</v>
      </c>
      <c r="I1508" s="2">
        <v>4.8</v>
      </c>
      <c r="J1508" t="s">
        <v>50</v>
      </c>
      <c r="K1508" s="3">
        <v>8050</v>
      </c>
      <c r="L1508" t="s">
        <v>58</v>
      </c>
      <c r="M1508">
        <v>3</v>
      </c>
      <c r="N1508">
        <v>5</v>
      </c>
      <c r="O1508">
        <v>25</v>
      </c>
      <c r="P1508" t="s">
        <v>21</v>
      </c>
      <c r="Q1508" s="1"/>
      <c r="U1508">
        <v>1</v>
      </c>
      <c r="V1508">
        <v>1</v>
      </c>
      <c r="W1508">
        <v>0</v>
      </c>
    </row>
    <row r="1509" spans="1:23" ht="16.5" x14ac:dyDescent="0.3">
      <c r="A1509" t="s">
        <v>1576</v>
      </c>
      <c r="B1509" t="s">
        <v>70</v>
      </c>
      <c r="C1509" t="s">
        <v>25</v>
      </c>
      <c r="D1509" t="s">
        <v>26</v>
      </c>
      <c r="E1509">
        <v>28</v>
      </c>
      <c r="F1509" t="s">
        <v>27</v>
      </c>
      <c r="G1509" t="s">
        <v>28</v>
      </c>
      <c r="H1509" s="1">
        <v>44230</v>
      </c>
      <c r="I1509" s="2">
        <v>4.7</v>
      </c>
      <c r="J1509" t="s">
        <v>50</v>
      </c>
      <c r="K1509" s="3">
        <v>3650</v>
      </c>
      <c r="L1509" t="s">
        <v>30</v>
      </c>
      <c r="M1509">
        <v>2</v>
      </c>
      <c r="N1509">
        <v>3</v>
      </c>
      <c r="O1509">
        <v>19</v>
      </c>
      <c r="P1509" t="s">
        <v>22</v>
      </c>
      <c r="Q1509" s="1">
        <v>45930</v>
      </c>
      <c r="R1509" t="s">
        <v>40</v>
      </c>
      <c r="S1509" t="s">
        <v>259</v>
      </c>
      <c r="T1509" t="s">
        <v>33</v>
      </c>
      <c r="U1509">
        <v>1</v>
      </c>
      <c r="V1509">
        <v>0</v>
      </c>
      <c r="W1509">
        <v>1</v>
      </c>
    </row>
    <row r="1510" spans="1:23" ht="16.5" x14ac:dyDescent="0.3">
      <c r="A1510" t="s">
        <v>1577</v>
      </c>
      <c r="B1510" t="s">
        <v>48</v>
      </c>
      <c r="C1510" t="s">
        <v>45</v>
      </c>
      <c r="D1510" t="s">
        <v>26</v>
      </c>
      <c r="E1510">
        <v>40</v>
      </c>
      <c r="F1510" t="s">
        <v>46</v>
      </c>
      <c r="G1510" t="s">
        <v>28</v>
      </c>
      <c r="H1510" s="1">
        <v>42159</v>
      </c>
      <c r="I1510" s="2">
        <v>10.6</v>
      </c>
      <c r="J1510" t="s">
        <v>39</v>
      </c>
      <c r="K1510" s="3">
        <v>9750</v>
      </c>
      <c r="L1510" t="s">
        <v>30</v>
      </c>
      <c r="M1510">
        <v>2</v>
      </c>
      <c r="N1510">
        <v>4</v>
      </c>
      <c r="O1510">
        <v>30</v>
      </c>
      <c r="P1510" t="s">
        <v>21</v>
      </c>
      <c r="Q1510" s="1"/>
      <c r="U1510">
        <v>1</v>
      </c>
      <c r="V1510">
        <v>1</v>
      </c>
      <c r="W1510">
        <v>0</v>
      </c>
    </row>
    <row r="1511" spans="1:23" ht="16.5" x14ac:dyDescent="0.3">
      <c r="A1511" t="s">
        <v>1578</v>
      </c>
      <c r="B1511" t="s">
        <v>48</v>
      </c>
      <c r="C1511" t="s">
        <v>87</v>
      </c>
      <c r="D1511" t="s">
        <v>26</v>
      </c>
      <c r="E1511">
        <v>40</v>
      </c>
      <c r="F1511" t="s">
        <v>46</v>
      </c>
      <c r="G1511" t="s">
        <v>28</v>
      </c>
      <c r="H1511" s="1">
        <v>42574</v>
      </c>
      <c r="I1511" s="2">
        <v>9.4</v>
      </c>
      <c r="J1511" t="s">
        <v>39</v>
      </c>
      <c r="K1511" s="3">
        <v>15450</v>
      </c>
      <c r="L1511" t="s">
        <v>30</v>
      </c>
      <c r="M1511">
        <v>4</v>
      </c>
      <c r="N1511">
        <v>4</v>
      </c>
      <c r="O1511">
        <v>29</v>
      </c>
      <c r="P1511" t="s">
        <v>21</v>
      </c>
      <c r="Q1511" s="1"/>
      <c r="U1511">
        <v>1</v>
      </c>
      <c r="V1511">
        <v>1</v>
      </c>
      <c r="W1511">
        <v>0</v>
      </c>
    </row>
    <row r="1512" spans="1:23" ht="16.5" x14ac:dyDescent="0.3">
      <c r="A1512" t="s">
        <v>1579</v>
      </c>
      <c r="B1512" t="s">
        <v>48</v>
      </c>
      <c r="C1512" t="s">
        <v>25</v>
      </c>
      <c r="D1512" t="s">
        <v>26</v>
      </c>
      <c r="E1512">
        <v>34</v>
      </c>
      <c r="F1512" t="s">
        <v>27</v>
      </c>
      <c r="G1512" t="s">
        <v>38</v>
      </c>
      <c r="H1512" s="1">
        <v>42512</v>
      </c>
      <c r="I1512" s="2">
        <v>9.6</v>
      </c>
      <c r="J1512" t="s">
        <v>39</v>
      </c>
      <c r="K1512" s="3">
        <v>6500</v>
      </c>
      <c r="L1512" t="s">
        <v>30</v>
      </c>
      <c r="M1512">
        <v>2</v>
      </c>
      <c r="N1512">
        <v>2</v>
      </c>
      <c r="O1512">
        <v>17</v>
      </c>
      <c r="P1512" t="s">
        <v>21</v>
      </c>
      <c r="Q1512" s="1"/>
      <c r="U1512">
        <v>1</v>
      </c>
      <c r="V1512">
        <v>1</v>
      </c>
      <c r="W1512">
        <v>0</v>
      </c>
    </row>
    <row r="1513" spans="1:23" ht="16.5" x14ac:dyDescent="0.3">
      <c r="A1513" t="s">
        <v>1580</v>
      </c>
      <c r="B1513" t="s">
        <v>70</v>
      </c>
      <c r="C1513" t="s">
        <v>36</v>
      </c>
      <c r="D1513" t="s">
        <v>37</v>
      </c>
      <c r="E1513">
        <v>34</v>
      </c>
      <c r="F1513" t="s">
        <v>27</v>
      </c>
      <c r="G1513" t="s">
        <v>38</v>
      </c>
      <c r="H1513" s="1">
        <v>44524</v>
      </c>
      <c r="I1513" s="2">
        <v>3.8</v>
      </c>
      <c r="J1513" t="s">
        <v>50</v>
      </c>
      <c r="K1513" s="3">
        <v>4700</v>
      </c>
      <c r="L1513" t="s">
        <v>30</v>
      </c>
      <c r="M1513">
        <v>3</v>
      </c>
      <c r="N1513">
        <v>2</v>
      </c>
      <c r="O1513">
        <v>7</v>
      </c>
      <c r="P1513" t="s">
        <v>22</v>
      </c>
      <c r="Q1513" s="1">
        <v>45922</v>
      </c>
      <c r="R1513" t="s">
        <v>40</v>
      </c>
      <c r="S1513" t="s">
        <v>259</v>
      </c>
      <c r="T1513" t="s">
        <v>151</v>
      </c>
      <c r="U1513">
        <v>1</v>
      </c>
      <c r="V1513">
        <v>0</v>
      </c>
      <c r="W1513">
        <v>1</v>
      </c>
    </row>
    <row r="1514" spans="1:23" ht="16.5" x14ac:dyDescent="0.3">
      <c r="A1514" t="s">
        <v>1581</v>
      </c>
      <c r="B1514" t="s">
        <v>70</v>
      </c>
      <c r="C1514" t="s">
        <v>36</v>
      </c>
      <c r="D1514" t="s">
        <v>37</v>
      </c>
      <c r="E1514">
        <v>28</v>
      </c>
      <c r="F1514" t="s">
        <v>27</v>
      </c>
      <c r="G1514" t="s">
        <v>38</v>
      </c>
      <c r="H1514" s="1">
        <v>44613</v>
      </c>
      <c r="I1514" s="2">
        <v>3.9</v>
      </c>
      <c r="J1514" t="s">
        <v>50</v>
      </c>
      <c r="K1514" s="3">
        <v>5350</v>
      </c>
      <c r="L1514" t="s">
        <v>58</v>
      </c>
      <c r="M1514">
        <v>3</v>
      </c>
      <c r="N1514">
        <v>4</v>
      </c>
      <c r="O1514">
        <v>13</v>
      </c>
      <c r="P1514" t="s">
        <v>21</v>
      </c>
      <c r="Q1514" s="1"/>
      <c r="U1514">
        <v>1</v>
      </c>
      <c r="V1514">
        <v>1</v>
      </c>
      <c r="W1514">
        <v>0</v>
      </c>
    </row>
    <row r="1515" spans="1:23" ht="16.5" x14ac:dyDescent="0.3">
      <c r="A1515" t="s">
        <v>1582</v>
      </c>
      <c r="B1515" t="s">
        <v>73</v>
      </c>
      <c r="C1515" t="s">
        <v>25</v>
      </c>
      <c r="D1515" t="s">
        <v>37</v>
      </c>
      <c r="E1515">
        <v>30</v>
      </c>
      <c r="F1515" t="s">
        <v>27</v>
      </c>
      <c r="G1515" t="s">
        <v>38</v>
      </c>
      <c r="H1515" s="1">
        <v>45403</v>
      </c>
      <c r="I1515" s="2">
        <v>1.7</v>
      </c>
      <c r="J1515" t="s">
        <v>29</v>
      </c>
      <c r="K1515" s="3">
        <v>3600</v>
      </c>
      <c r="L1515" t="s">
        <v>58</v>
      </c>
      <c r="M1515">
        <v>2</v>
      </c>
      <c r="N1515">
        <v>3</v>
      </c>
      <c r="O1515">
        <v>47</v>
      </c>
      <c r="P1515" t="s">
        <v>22</v>
      </c>
      <c r="Q1515" s="1">
        <v>46007</v>
      </c>
      <c r="R1515" t="s">
        <v>40</v>
      </c>
      <c r="S1515" t="s">
        <v>92</v>
      </c>
      <c r="T1515" t="s">
        <v>33</v>
      </c>
      <c r="U1515">
        <v>1</v>
      </c>
      <c r="V1515">
        <v>0</v>
      </c>
      <c r="W1515">
        <v>1</v>
      </c>
    </row>
    <row r="1516" spans="1:23" ht="16.5" x14ac:dyDescent="0.3">
      <c r="A1516" t="s">
        <v>1583</v>
      </c>
      <c r="B1516" t="s">
        <v>24</v>
      </c>
      <c r="C1516" t="s">
        <v>36</v>
      </c>
      <c r="D1516" t="s">
        <v>37</v>
      </c>
      <c r="E1516">
        <v>28</v>
      </c>
      <c r="F1516" t="s">
        <v>27</v>
      </c>
      <c r="G1516" t="s">
        <v>38</v>
      </c>
      <c r="H1516" s="1">
        <v>44632</v>
      </c>
      <c r="I1516" s="2">
        <v>3.8</v>
      </c>
      <c r="J1516" t="s">
        <v>50</v>
      </c>
      <c r="K1516" s="3">
        <v>3800</v>
      </c>
      <c r="L1516" t="s">
        <v>30</v>
      </c>
      <c r="M1516">
        <v>4</v>
      </c>
      <c r="N1516">
        <v>2</v>
      </c>
      <c r="O1516">
        <v>17</v>
      </c>
      <c r="P1516" t="s">
        <v>21</v>
      </c>
      <c r="Q1516" s="1"/>
      <c r="U1516">
        <v>1</v>
      </c>
      <c r="V1516">
        <v>1</v>
      </c>
      <c r="W1516">
        <v>0</v>
      </c>
    </row>
    <row r="1517" spans="1:23" ht="16.5" x14ac:dyDescent="0.3">
      <c r="A1517" t="s">
        <v>1584</v>
      </c>
      <c r="B1517" t="s">
        <v>35</v>
      </c>
      <c r="C1517" t="s">
        <v>36</v>
      </c>
      <c r="D1517" t="s">
        <v>37</v>
      </c>
      <c r="E1517">
        <v>31</v>
      </c>
      <c r="F1517" t="s">
        <v>27</v>
      </c>
      <c r="G1517" t="s">
        <v>38</v>
      </c>
      <c r="H1517" s="1">
        <v>43347</v>
      </c>
      <c r="I1517" s="2">
        <v>7.3</v>
      </c>
      <c r="J1517" t="s">
        <v>39</v>
      </c>
      <c r="K1517" s="3">
        <v>5700</v>
      </c>
      <c r="L1517" t="s">
        <v>30</v>
      </c>
      <c r="M1517">
        <v>4</v>
      </c>
      <c r="N1517">
        <v>3</v>
      </c>
      <c r="O1517">
        <v>30</v>
      </c>
      <c r="P1517" t="s">
        <v>21</v>
      </c>
      <c r="Q1517" s="1"/>
      <c r="U1517">
        <v>1</v>
      </c>
      <c r="V1517">
        <v>1</v>
      </c>
      <c r="W1517">
        <v>0</v>
      </c>
    </row>
    <row r="1518" spans="1:23" ht="16.5" x14ac:dyDescent="0.3">
      <c r="A1518" t="s">
        <v>1585</v>
      </c>
      <c r="B1518" t="s">
        <v>44</v>
      </c>
      <c r="C1518" t="s">
        <v>45</v>
      </c>
      <c r="D1518" t="s">
        <v>37</v>
      </c>
      <c r="E1518">
        <v>38</v>
      </c>
      <c r="F1518" t="s">
        <v>46</v>
      </c>
      <c r="G1518" t="s">
        <v>38</v>
      </c>
      <c r="H1518" s="1">
        <v>44017</v>
      </c>
      <c r="I1518" s="2">
        <v>5.5</v>
      </c>
      <c r="J1518" t="s">
        <v>39</v>
      </c>
      <c r="K1518" s="3">
        <v>10200</v>
      </c>
      <c r="L1518" t="s">
        <v>30</v>
      </c>
      <c r="M1518">
        <v>3</v>
      </c>
      <c r="N1518">
        <v>3</v>
      </c>
      <c r="O1518">
        <v>29</v>
      </c>
      <c r="P1518" t="s">
        <v>21</v>
      </c>
      <c r="Q1518" s="1"/>
      <c r="U1518">
        <v>1</v>
      </c>
      <c r="V1518">
        <v>1</v>
      </c>
      <c r="W1518">
        <v>0</v>
      </c>
    </row>
    <row r="1519" spans="1:23" ht="16.5" x14ac:dyDescent="0.3">
      <c r="A1519" t="s">
        <v>1586</v>
      </c>
      <c r="B1519" t="s">
        <v>44</v>
      </c>
      <c r="C1519" t="s">
        <v>36</v>
      </c>
      <c r="D1519" t="s">
        <v>37</v>
      </c>
      <c r="E1519">
        <v>29</v>
      </c>
      <c r="F1519" t="s">
        <v>27</v>
      </c>
      <c r="G1519" t="s">
        <v>28</v>
      </c>
      <c r="H1519" s="1">
        <v>44624</v>
      </c>
      <c r="I1519" s="2">
        <v>3.8</v>
      </c>
      <c r="J1519" t="s">
        <v>50</v>
      </c>
      <c r="K1519" s="3">
        <v>7050</v>
      </c>
      <c r="L1519" t="s">
        <v>30</v>
      </c>
      <c r="M1519">
        <v>3</v>
      </c>
      <c r="N1519">
        <v>4</v>
      </c>
      <c r="O1519">
        <v>16</v>
      </c>
      <c r="P1519" t="s">
        <v>21</v>
      </c>
      <c r="Q1519" s="1"/>
      <c r="U1519">
        <v>1</v>
      </c>
      <c r="V1519">
        <v>1</v>
      </c>
      <c r="W1519">
        <v>0</v>
      </c>
    </row>
    <row r="1520" spans="1:23" ht="16.5" x14ac:dyDescent="0.3">
      <c r="A1520" t="s">
        <v>1587</v>
      </c>
      <c r="B1520" t="s">
        <v>24</v>
      </c>
      <c r="C1520" t="s">
        <v>25</v>
      </c>
      <c r="D1520" t="s">
        <v>37</v>
      </c>
      <c r="E1520">
        <v>30</v>
      </c>
      <c r="F1520" t="s">
        <v>27</v>
      </c>
      <c r="G1520" t="s">
        <v>38</v>
      </c>
      <c r="H1520" s="1">
        <v>44396</v>
      </c>
      <c r="I1520" s="2">
        <v>4.5</v>
      </c>
      <c r="J1520" t="s">
        <v>50</v>
      </c>
      <c r="K1520" s="3">
        <v>2950</v>
      </c>
      <c r="L1520" t="s">
        <v>30</v>
      </c>
      <c r="M1520">
        <v>2</v>
      </c>
      <c r="N1520">
        <v>3</v>
      </c>
      <c r="O1520">
        <v>29</v>
      </c>
      <c r="P1520" t="s">
        <v>21</v>
      </c>
      <c r="Q1520" s="1"/>
      <c r="U1520">
        <v>1</v>
      </c>
      <c r="V1520">
        <v>1</v>
      </c>
      <c r="W1520">
        <v>0</v>
      </c>
    </row>
    <row r="1521" spans="1:23" ht="16.5" x14ac:dyDescent="0.3">
      <c r="A1521" t="s">
        <v>1588</v>
      </c>
      <c r="B1521" t="s">
        <v>48</v>
      </c>
      <c r="C1521" t="s">
        <v>25</v>
      </c>
      <c r="D1521" t="s">
        <v>37</v>
      </c>
      <c r="E1521">
        <v>29</v>
      </c>
      <c r="F1521" t="s">
        <v>27</v>
      </c>
      <c r="G1521" t="s">
        <v>38</v>
      </c>
      <c r="H1521" s="1">
        <v>44430</v>
      </c>
      <c r="I1521" s="2">
        <v>4.4000000000000004</v>
      </c>
      <c r="J1521" t="s">
        <v>50</v>
      </c>
      <c r="K1521" s="3">
        <v>5500</v>
      </c>
      <c r="L1521" t="s">
        <v>30</v>
      </c>
      <c r="M1521">
        <v>3</v>
      </c>
      <c r="N1521">
        <v>3</v>
      </c>
      <c r="O1521">
        <v>16</v>
      </c>
      <c r="P1521" t="s">
        <v>21</v>
      </c>
      <c r="Q1521" s="1"/>
      <c r="U1521">
        <v>1</v>
      </c>
      <c r="V1521">
        <v>1</v>
      </c>
      <c r="W1521">
        <v>0</v>
      </c>
    </row>
    <row r="1522" spans="1:23" ht="16.5" x14ac:dyDescent="0.3">
      <c r="A1522" t="s">
        <v>1589</v>
      </c>
      <c r="B1522" t="s">
        <v>35</v>
      </c>
      <c r="C1522" t="s">
        <v>36</v>
      </c>
      <c r="D1522" t="s">
        <v>26</v>
      </c>
      <c r="E1522">
        <v>26</v>
      </c>
      <c r="F1522" t="s">
        <v>27</v>
      </c>
      <c r="G1522" t="s">
        <v>28</v>
      </c>
      <c r="H1522" s="1">
        <v>45443</v>
      </c>
      <c r="I1522" s="2">
        <v>1.6</v>
      </c>
      <c r="J1522" t="s">
        <v>29</v>
      </c>
      <c r="K1522" s="3">
        <v>3600</v>
      </c>
      <c r="L1522" t="s">
        <v>30</v>
      </c>
      <c r="M1522">
        <v>3</v>
      </c>
      <c r="N1522">
        <v>3</v>
      </c>
      <c r="O1522">
        <v>44</v>
      </c>
      <c r="P1522" t="s">
        <v>21</v>
      </c>
      <c r="Q1522" s="1"/>
      <c r="U1522">
        <v>1</v>
      </c>
      <c r="V1522">
        <v>1</v>
      </c>
      <c r="W1522">
        <v>0</v>
      </c>
    </row>
    <row r="1523" spans="1:23" ht="16.5" x14ac:dyDescent="0.3">
      <c r="A1523" t="s">
        <v>1590</v>
      </c>
      <c r="B1523" t="s">
        <v>24</v>
      </c>
      <c r="C1523" t="s">
        <v>45</v>
      </c>
      <c r="D1523" t="s">
        <v>26</v>
      </c>
      <c r="E1523">
        <v>38</v>
      </c>
      <c r="F1523" t="s">
        <v>46</v>
      </c>
      <c r="G1523" t="s">
        <v>38</v>
      </c>
      <c r="H1523" s="1">
        <v>44019</v>
      </c>
      <c r="I1523" s="2">
        <v>5.5</v>
      </c>
      <c r="J1523" t="s">
        <v>39</v>
      </c>
      <c r="K1523" s="3">
        <v>5650</v>
      </c>
      <c r="L1523" t="s">
        <v>30</v>
      </c>
      <c r="M1523">
        <v>4</v>
      </c>
      <c r="N1523">
        <v>3</v>
      </c>
      <c r="O1523">
        <v>16</v>
      </c>
      <c r="P1523" t="s">
        <v>21</v>
      </c>
      <c r="Q1523" s="1"/>
      <c r="U1523">
        <v>1</v>
      </c>
      <c r="V1523">
        <v>1</v>
      </c>
      <c r="W1523">
        <v>0</v>
      </c>
    </row>
    <row r="1524" spans="1:23" ht="16.5" x14ac:dyDescent="0.3">
      <c r="A1524" t="s">
        <v>1591</v>
      </c>
      <c r="B1524" t="s">
        <v>35</v>
      </c>
      <c r="C1524" t="s">
        <v>25</v>
      </c>
      <c r="D1524" t="s">
        <v>37</v>
      </c>
      <c r="E1524">
        <v>21</v>
      </c>
      <c r="F1524" t="s">
        <v>57</v>
      </c>
      <c r="G1524" t="s">
        <v>38</v>
      </c>
      <c r="H1524" s="1">
        <v>45919</v>
      </c>
      <c r="I1524" s="2">
        <v>0.3</v>
      </c>
      <c r="J1524" t="s">
        <v>64</v>
      </c>
      <c r="K1524" s="3">
        <v>3400</v>
      </c>
      <c r="L1524" t="s">
        <v>30</v>
      </c>
      <c r="M1524">
        <v>3</v>
      </c>
      <c r="N1524">
        <v>3</v>
      </c>
      <c r="O1524">
        <v>36</v>
      </c>
      <c r="P1524" t="s">
        <v>21</v>
      </c>
      <c r="Q1524" s="1"/>
      <c r="U1524">
        <v>1</v>
      </c>
      <c r="V1524">
        <v>1</v>
      </c>
      <c r="W1524">
        <v>0</v>
      </c>
    </row>
    <row r="1525" spans="1:23" ht="16.5" x14ac:dyDescent="0.3">
      <c r="A1525" t="s">
        <v>1592</v>
      </c>
      <c r="B1525" t="s">
        <v>48</v>
      </c>
      <c r="C1525" t="s">
        <v>25</v>
      </c>
      <c r="D1525" t="s">
        <v>37</v>
      </c>
      <c r="E1525">
        <v>25</v>
      </c>
      <c r="F1525" t="s">
        <v>57</v>
      </c>
      <c r="G1525" t="s">
        <v>38</v>
      </c>
      <c r="H1525" s="1">
        <v>45337</v>
      </c>
      <c r="I1525" s="2">
        <v>1.9</v>
      </c>
      <c r="J1525" t="s">
        <v>29</v>
      </c>
      <c r="K1525" s="3">
        <v>6800</v>
      </c>
      <c r="L1525" t="s">
        <v>30</v>
      </c>
      <c r="M1525">
        <v>4</v>
      </c>
      <c r="N1525">
        <v>3</v>
      </c>
      <c r="O1525">
        <v>0</v>
      </c>
      <c r="P1525" t="s">
        <v>21</v>
      </c>
      <c r="Q1525" s="1"/>
      <c r="U1525">
        <v>1</v>
      </c>
      <c r="V1525">
        <v>1</v>
      </c>
      <c r="W1525">
        <v>0</v>
      </c>
    </row>
    <row r="1526" spans="1:23" ht="16.5" x14ac:dyDescent="0.3">
      <c r="A1526" t="s">
        <v>1593</v>
      </c>
      <c r="B1526" t="s">
        <v>24</v>
      </c>
      <c r="C1526" t="s">
        <v>45</v>
      </c>
      <c r="D1526" t="s">
        <v>37</v>
      </c>
      <c r="E1526">
        <v>42</v>
      </c>
      <c r="F1526" t="s">
        <v>46</v>
      </c>
      <c r="G1526" t="s">
        <v>38</v>
      </c>
      <c r="H1526" s="1">
        <v>44279</v>
      </c>
      <c r="I1526" s="2">
        <v>4.8</v>
      </c>
      <c r="J1526" t="s">
        <v>50</v>
      </c>
      <c r="K1526" s="3">
        <v>5550</v>
      </c>
      <c r="L1526" t="s">
        <v>30</v>
      </c>
      <c r="M1526">
        <v>5</v>
      </c>
      <c r="N1526">
        <v>3</v>
      </c>
      <c r="O1526">
        <v>38</v>
      </c>
      <c r="P1526" t="s">
        <v>21</v>
      </c>
      <c r="Q1526" s="1"/>
      <c r="U1526">
        <v>1</v>
      </c>
      <c r="V1526">
        <v>1</v>
      </c>
      <c r="W1526">
        <v>0</v>
      </c>
    </row>
    <row r="1527" spans="1:23" ht="16.5" x14ac:dyDescent="0.3">
      <c r="A1527" t="s">
        <v>1594</v>
      </c>
      <c r="B1527" t="s">
        <v>48</v>
      </c>
      <c r="C1527" t="s">
        <v>36</v>
      </c>
      <c r="D1527" t="s">
        <v>37</v>
      </c>
      <c r="E1527">
        <v>38</v>
      </c>
      <c r="F1527" t="s">
        <v>46</v>
      </c>
      <c r="G1527" t="s">
        <v>38</v>
      </c>
      <c r="H1527" s="1">
        <v>42606</v>
      </c>
      <c r="I1527" s="2">
        <v>9.4</v>
      </c>
      <c r="J1527" t="s">
        <v>39</v>
      </c>
      <c r="K1527" s="3">
        <v>9200</v>
      </c>
      <c r="L1527" t="s">
        <v>30</v>
      </c>
      <c r="M1527">
        <v>1</v>
      </c>
      <c r="N1527">
        <v>3</v>
      </c>
      <c r="O1527">
        <v>39</v>
      </c>
      <c r="P1527" t="s">
        <v>21</v>
      </c>
      <c r="Q1527" s="1"/>
      <c r="U1527">
        <v>1</v>
      </c>
      <c r="V1527">
        <v>1</v>
      </c>
      <c r="W1527">
        <v>0</v>
      </c>
    </row>
    <row r="1528" spans="1:23" ht="16.5" x14ac:dyDescent="0.3">
      <c r="A1528" t="s">
        <v>1595</v>
      </c>
      <c r="B1528" t="s">
        <v>70</v>
      </c>
      <c r="C1528" t="s">
        <v>36</v>
      </c>
      <c r="D1528" t="s">
        <v>37</v>
      </c>
      <c r="E1528">
        <v>34</v>
      </c>
      <c r="F1528" t="s">
        <v>27</v>
      </c>
      <c r="G1528" t="s">
        <v>28</v>
      </c>
      <c r="H1528" s="1">
        <v>43485</v>
      </c>
      <c r="I1528" s="2">
        <v>6.9</v>
      </c>
      <c r="J1528" t="s">
        <v>39</v>
      </c>
      <c r="K1528" s="3">
        <v>5600</v>
      </c>
      <c r="L1528" t="s">
        <v>30</v>
      </c>
      <c r="M1528">
        <v>5</v>
      </c>
      <c r="N1528">
        <v>3</v>
      </c>
      <c r="O1528">
        <v>30</v>
      </c>
      <c r="P1528" t="s">
        <v>21</v>
      </c>
      <c r="Q1528" s="1"/>
      <c r="U1528">
        <v>1</v>
      </c>
      <c r="V1528">
        <v>1</v>
      </c>
      <c r="W1528">
        <v>0</v>
      </c>
    </row>
    <row r="1529" spans="1:23" ht="16.5" x14ac:dyDescent="0.3">
      <c r="A1529" t="s">
        <v>1596</v>
      </c>
      <c r="B1529" t="s">
        <v>24</v>
      </c>
      <c r="C1529" t="s">
        <v>25</v>
      </c>
      <c r="D1529" t="s">
        <v>37</v>
      </c>
      <c r="E1529">
        <v>22</v>
      </c>
      <c r="F1529" t="s">
        <v>57</v>
      </c>
      <c r="G1529" t="s">
        <v>38</v>
      </c>
      <c r="H1529" s="1">
        <v>45843</v>
      </c>
      <c r="I1529" s="2">
        <v>0</v>
      </c>
      <c r="J1529" t="s">
        <v>64</v>
      </c>
      <c r="K1529" s="3">
        <v>2700</v>
      </c>
      <c r="L1529" t="s">
        <v>30</v>
      </c>
      <c r="M1529">
        <v>3</v>
      </c>
      <c r="N1529">
        <v>4</v>
      </c>
      <c r="O1529">
        <v>28</v>
      </c>
      <c r="P1529" t="s">
        <v>22</v>
      </c>
      <c r="Q1529" s="1">
        <v>45858</v>
      </c>
      <c r="R1529" t="s">
        <v>40</v>
      </c>
      <c r="S1529" t="s">
        <v>84</v>
      </c>
      <c r="T1529" t="s">
        <v>42</v>
      </c>
      <c r="U1529">
        <v>1</v>
      </c>
      <c r="V1529">
        <v>0</v>
      </c>
      <c r="W1529">
        <v>1</v>
      </c>
    </row>
    <row r="1530" spans="1:23" ht="16.5" x14ac:dyDescent="0.3">
      <c r="A1530" t="s">
        <v>1597</v>
      </c>
      <c r="B1530" t="s">
        <v>24</v>
      </c>
      <c r="C1530" t="s">
        <v>87</v>
      </c>
      <c r="D1530" t="s">
        <v>37</v>
      </c>
      <c r="E1530">
        <v>38</v>
      </c>
      <c r="F1530" t="s">
        <v>46</v>
      </c>
      <c r="G1530" t="s">
        <v>28</v>
      </c>
      <c r="H1530" s="1">
        <v>41185</v>
      </c>
      <c r="I1530" s="2">
        <v>13.2</v>
      </c>
      <c r="J1530" t="s">
        <v>39</v>
      </c>
      <c r="K1530" s="3">
        <v>7150</v>
      </c>
      <c r="L1530" t="s">
        <v>30</v>
      </c>
      <c r="M1530">
        <v>4</v>
      </c>
      <c r="N1530">
        <v>4</v>
      </c>
      <c r="O1530">
        <v>21</v>
      </c>
      <c r="P1530" t="s">
        <v>21</v>
      </c>
      <c r="Q1530" s="1"/>
      <c r="U1530">
        <v>1</v>
      </c>
      <c r="V1530">
        <v>1</v>
      </c>
      <c r="W1530">
        <v>0</v>
      </c>
    </row>
    <row r="1531" spans="1:23" ht="16.5" x14ac:dyDescent="0.3">
      <c r="A1531" t="s">
        <v>1598</v>
      </c>
      <c r="B1531" t="s">
        <v>70</v>
      </c>
      <c r="C1531" t="s">
        <v>25</v>
      </c>
      <c r="D1531" t="s">
        <v>37</v>
      </c>
      <c r="E1531">
        <v>25</v>
      </c>
      <c r="F1531" t="s">
        <v>57</v>
      </c>
      <c r="G1531" t="s">
        <v>28</v>
      </c>
      <c r="H1531" s="1">
        <v>45162</v>
      </c>
      <c r="I1531" s="2">
        <v>2.4</v>
      </c>
      <c r="J1531" t="s">
        <v>29</v>
      </c>
      <c r="K1531" s="3">
        <v>4500</v>
      </c>
      <c r="L1531" t="s">
        <v>58</v>
      </c>
      <c r="M1531">
        <v>4</v>
      </c>
      <c r="N1531">
        <v>4</v>
      </c>
      <c r="O1531">
        <v>20</v>
      </c>
      <c r="P1531" t="s">
        <v>21</v>
      </c>
      <c r="Q1531" s="1"/>
      <c r="U1531">
        <v>1</v>
      </c>
      <c r="V1531">
        <v>1</v>
      </c>
      <c r="W1531">
        <v>0</v>
      </c>
    </row>
    <row r="1532" spans="1:23" ht="16.5" x14ac:dyDescent="0.3">
      <c r="A1532" t="s">
        <v>1599</v>
      </c>
      <c r="B1532" t="s">
        <v>70</v>
      </c>
      <c r="C1532" t="s">
        <v>36</v>
      </c>
      <c r="D1532" t="s">
        <v>37</v>
      </c>
      <c r="E1532">
        <v>33</v>
      </c>
      <c r="F1532" t="s">
        <v>27</v>
      </c>
      <c r="G1532" t="s">
        <v>28</v>
      </c>
      <c r="H1532" s="1">
        <v>43284</v>
      </c>
      <c r="I1532" s="2">
        <v>7.5</v>
      </c>
      <c r="J1532" t="s">
        <v>39</v>
      </c>
      <c r="K1532" s="3">
        <v>5500</v>
      </c>
      <c r="L1532" t="s">
        <v>58</v>
      </c>
      <c r="M1532">
        <v>3</v>
      </c>
      <c r="N1532">
        <v>4</v>
      </c>
      <c r="O1532">
        <v>19</v>
      </c>
      <c r="P1532" t="s">
        <v>21</v>
      </c>
      <c r="Q1532" s="1"/>
      <c r="U1532">
        <v>1</v>
      </c>
      <c r="V1532">
        <v>1</v>
      </c>
      <c r="W1532">
        <v>0</v>
      </c>
    </row>
    <row r="1533" spans="1:23" ht="16.5" x14ac:dyDescent="0.3">
      <c r="A1533" t="s">
        <v>1600</v>
      </c>
      <c r="B1533" t="s">
        <v>70</v>
      </c>
      <c r="C1533" t="s">
        <v>45</v>
      </c>
      <c r="D1533" t="s">
        <v>37</v>
      </c>
      <c r="E1533">
        <v>41</v>
      </c>
      <c r="F1533" t="s">
        <v>46</v>
      </c>
      <c r="G1533" t="s">
        <v>38</v>
      </c>
      <c r="H1533" s="1">
        <v>41368</v>
      </c>
      <c r="I1533" s="2">
        <v>12.7</v>
      </c>
      <c r="J1533" t="s">
        <v>39</v>
      </c>
      <c r="K1533" s="3">
        <v>7500</v>
      </c>
      <c r="L1533" t="s">
        <v>30</v>
      </c>
      <c r="M1533">
        <v>4</v>
      </c>
      <c r="N1533">
        <v>4</v>
      </c>
      <c r="O1533">
        <v>32</v>
      </c>
      <c r="P1533" t="s">
        <v>21</v>
      </c>
      <c r="Q1533" s="1"/>
      <c r="U1533">
        <v>1</v>
      </c>
      <c r="V1533">
        <v>1</v>
      </c>
      <c r="W1533">
        <v>0</v>
      </c>
    </row>
    <row r="1534" spans="1:23" ht="16.5" x14ac:dyDescent="0.3">
      <c r="A1534" t="s">
        <v>1601</v>
      </c>
      <c r="B1534" t="s">
        <v>73</v>
      </c>
      <c r="C1534" t="s">
        <v>36</v>
      </c>
      <c r="D1534" t="s">
        <v>37</v>
      </c>
      <c r="E1534">
        <v>26</v>
      </c>
      <c r="F1534" t="s">
        <v>27</v>
      </c>
      <c r="G1534" t="s">
        <v>28</v>
      </c>
      <c r="H1534" s="1">
        <v>45718</v>
      </c>
      <c r="I1534" s="2">
        <v>0.8</v>
      </c>
      <c r="J1534" t="s">
        <v>64</v>
      </c>
      <c r="K1534" s="3">
        <v>5100</v>
      </c>
      <c r="L1534" t="s">
        <v>30</v>
      </c>
      <c r="M1534">
        <v>4</v>
      </c>
      <c r="N1534">
        <v>4</v>
      </c>
      <c r="O1534">
        <v>31</v>
      </c>
      <c r="P1534" t="s">
        <v>21</v>
      </c>
      <c r="Q1534" s="1"/>
      <c r="U1534">
        <v>1</v>
      </c>
      <c r="V1534">
        <v>1</v>
      </c>
      <c r="W1534">
        <v>0</v>
      </c>
    </row>
    <row r="1535" spans="1:23" ht="16.5" x14ac:dyDescent="0.3">
      <c r="A1535" t="s">
        <v>1602</v>
      </c>
      <c r="B1535" t="s">
        <v>24</v>
      </c>
      <c r="C1535" t="s">
        <v>36</v>
      </c>
      <c r="D1535" t="s">
        <v>26</v>
      </c>
      <c r="E1535">
        <v>34</v>
      </c>
      <c r="F1535" t="s">
        <v>27</v>
      </c>
      <c r="G1535" t="s">
        <v>38</v>
      </c>
      <c r="H1535" s="1">
        <v>44358</v>
      </c>
      <c r="I1535" s="2">
        <v>4.5999999999999996</v>
      </c>
      <c r="J1535" t="s">
        <v>50</v>
      </c>
      <c r="K1535" s="3">
        <v>3150</v>
      </c>
      <c r="L1535" t="s">
        <v>58</v>
      </c>
      <c r="M1535">
        <v>2</v>
      </c>
      <c r="N1535">
        <v>3</v>
      </c>
      <c r="O1535">
        <v>40</v>
      </c>
      <c r="P1535" t="s">
        <v>21</v>
      </c>
      <c r="Q1535" s="1"/>
      <c r="U1535">
        <v>1</v>
      </c>
      <c r="V1535">
        <v>1</v>
      </c>
      <c r="W1535">
        <v>0</v>
      </c>
    </row>
    <row r="1536" spans="1:23" ht="16.5" x14ac:dyDescent="0.3">
      <c r="A1536" t="s">
        <v>1603</v>
      </c>
      <c r="B1536" t="s">
        <v>35</v>
      </c>
      <c r="C1536" t="s">
        <v>36</v>
      </c>
      <c r="D1536" t="s">
        <v>37</v>
      </c>
      <c r="E1536">
        <v>32</v>
      </c>
      <c r="F1536" t="s">
        <v>27</v>
      </c>
      <c r="G1536" t="s">
        <v>38</v>
      </c>
      <c r="H1536" s="1">
        <v>45320</v>
      </c>
      <c r="I1536" s="2">
        <v>1.9</v>
      </c>
      <c r="J1536" t="s">
        <v>29</v>
      </c>
      <c r="K1536" s="3">
        <v>3950</v>
      </c>
      <c r="L1536" t="s">
        <v>58</v>
      </c>
      <c r="M1536">
        <v>3</v>
      </c>
      <c r="N1536">
        <v>2</v>
      </c>
      <c r="O1536">
        <v>5</v>
      </c>
      <c r="P1536" t="s">
        <v>21</v>
      </c>
      <c r="Q1536" s="1"/>
      <c r="U1536">
        <v>1</v>
      </c>
      <c r="V1536">
        <v>1</v>
      </c>
      <c r="W1536">
        <v>0</v>
      </c>
    </row>
    <row r="1537" spans="1:23" ht="16.5" x14ac:dyDescent="0.3">
      <c r="A1537" t="s">
        <v>1604</v>
      </c>
      <c r="B1537" t="s">
        <v>70</v>
      </c>
      <c r="C1537" t="s">
        <v>25</v>
      </c>
      <c r="D1537" t="s">
        <v>26</v>
      </c>
      <c r="E1537">
        <v>21</v>
      </c>
      <c r="F1537" t="s">
        <v>57</v>
      </c>
      <c r="G1537" t="s">
        <v>28</v>
      </c>
      <c r="H1537" s="1">
        <v>45965</v>
      </c>
      <c r="I1537" s="2">
        <v>0.2</v>
      </c>
      <c r="J1537" t="s">
        <v>64</v>
      </c>
      <c r="K1537" s="3">
        <v>4150</v>
      </c>
      <c r="L1537" t="s">
        <v>30</v>
      </c>
      <c r="M1537">
        <v>3</v>
      </c>
      <c r="N1537">
        <v>4</v>
      </c>
      <c r="O1537">
        <v>48</v>
      </c>
      <c r="P1537" t="s">
        <v>21</v>
      </c>
      <c r="Q1537" s="1"/>
      <c r="U1537">
        <v>1</v>
      </c>
      <c r="V1537">
        <v>1</v>
      </c>
      <c r="W1537">
        <v>0</v>
      </c>
    </row>
    <row r="1538" spans="1:23" ht="16.5" x14ac:dyDescent="0.3">
      <c r="A1538" t="s">
        <v>1605</v>
      </c>
      <c r="B1538" t="s">
        <v>24</v>
      </c>
      <c r="C1538" t="s">
        <v>25</v>
      </c>
      <c r="D1538" t="s">
        <v>37</v>
      </c>
      <c r="E1538">
        <v>38</v>
      </c>
      <c r="F1538" t="s">
        <v>46</v>
      </c>
      <c r="G1538" t="s">
        <v>38</v>
      </c>
      <c r="H1538" s="1">
        <v>41522</v>
      </c>
      <c r="I1538" s="2">
        <v>10.7</v>
      </c>
      <c r="J1538" t="s">
        <v>39</v>
      </c>
      <c r="K1538" s="3">
        <v>2800</v>
      </c>
      <c r="L1538" t="s">
        <v>30</v>
      </c>
      <c r="M1538">
        <v>4</v>
      </c>
      <c r="N1538">
        <v>4</v>
      </c>
      <c r="O1538">
        <v>25</v>
      </c>
      <c r="P1538" t="s">
        <v>22</v>
      </c>
      <c r="Q1538" s="1">
        <v>45431</v>
      </c>
      <c r="R1538" t="s">
        <v>31</v>
      </c>
      <c r="S1538" t="s">
        <v>169</v>
      </c>
      <c r="T1538" t="s">
        <v>151</v>
      </c>
      <c r="U1538">
        <v>1</v>
      </c>
      <c r="V1538">
        <v>0</v>
      </c>
      <c r="W1538">
        <v>1</v>
      </c>
    </row>
    <row r="1539" spans="1:23" ht="16.5" x14ac:dyDescent="0.3">
      <c r="A1539" t="s">
        <v>1606</v>
      </c>
      <c r="B1539" t="s">
        <v>44</v>
      </c>
      <c r="C1539" t="s">
        <v>36</v>
      </c>
      <c r="D1539" t="s">
        <v>37</v>
      </c>
      <c r="E1539">
        <v>28</v>
      </c>
      <c r="F1539" t="s">
        <v>27</v>
      </c>
      <c r="G1539" t="s">
        <v>52</v>
      </c>
      <c r="H1539" s="1">
        <v>44525</v>
      </c>
      <c r="I1539" s="2">
        <v>4.0999999999999996</v>
      </c>
      <c r="J1539" t="s">
        <v>50</v>
      </c>
      <c r="K1539" s="3">
        <v>6350</v>
      </c>
      <c r="L1539" t="s">
        <v>30</v>
      </c>
      <c r="M1539">
        <v>2</v>
      </c>
      <c r="N1539">
        <v>4</v>
      </c>
      <c r="O1539">
        <v>23</v>
      </c>
      <c r="P1539" t="s">
        <v>21</v>
      </c>
      <c r="Q1539" s="1"/>
      <c r="U1539">
        <v>1</v>
      </c>
      <c r="V1539">
        <v>1</v>
      </c>
      <c r="W1539">
        <v>0</v>
      </c>
    </row>
    <row r="1540" spans="1:23" ht="16.5" x14ac:dyDescent="0.3">
      <c r="A1540" t="s">
        <v>1607</v>
      </c>
      <c r="B1540" t="s">
        <v>35</v>
      </c>
      <c r="C1540" t="s">
        <v>36</v>
      </c>
      <c r="D1540" t="s">
        <v>26</v>
      </c>
      <c r="E1540">
        <v>36</v>
      </c>
      <c r="F1540" t="s">
        <v>46</v>
      </c>
      <c r="G1540" t="s">
        <v>38</v>
      </c>
      <c r="H1540" s="1">
        <v>42005</v>
      </c>
      <c r="I1540" s="2">
        <v>11</v>
      </c>
      <c r="J1540" t="s">
        <v>39</v>
      </c>
      <c r="K1540" s="3">
        <v>5200</v>
      </c>
      <c r="L1540" t="s">
        <v>30</v>
      </c>
      <c r="M1540">
        <v>4</v>
      </c>
      <c r="N1540">
        <v>2</v>
      </c>
      <c r="O1540">
        <v>32</v>
      </c>
      <c r="P1540" t="s">
        <v>21</v>
      </c>
      <c r="Q1540" s="1"/>
      <c r="U1540">
        <v>1</v>
      </c>
      <c r="V1540">
        <v>1</v>
      </c>
      <c r="W1540">
        <v>0</v>
      </c>
    </row>
    <row r="1541" spans="1:23" ht="16.5" x14ac:dyDescent="0.3">
      <c r="A1541" t="s">
        <v>1608</v>
      </c>
      <c r="B1541" t="s">
        <v>70</v>
      </c>
      <c r="C1541" t="s">
        <v>45</v>
      </c>
      <c r="D1541" t="s">
        <v>37</v>
      </c>
      <c r="E1541">
        <v>41</v>
      </c>
      <c r="F1541" t="s">
        <v>46</v>
      </c>
      <c r="G1541" t="s">
        <v>28</v>
      </c>
      <c r="H1541" s="1">
        <v>44196</v>
      </c>
      <c r="I1541" s="2">
        <v>5</v>
      </c>
      <c r="J1541" t="s">
        <v>50</v>
      </c>
      <c r="K1541" s="3">
        <v>6000</v>
      </c>
      <c r="L1541" t="s">
        <v>30</v>
      </c>
      <c r="M1541">
        <v>2</v>
      </c>
      <c r="N1541">
        <v>4</v>
      </c>
      <c r="O1541">
        <v>20</v>
      </c>
      <c r="P1541" t="s">
        <v>21</v>
      </c>
      <c r="Q1541" s="1"/>
      <c r="U1541">
        <v>1</v>
      </c>
      <c r="V1541">
        <v>1</v>
      </c>
      <c r="W1541">
        <v>0</v>
      </c>
    </row>
    <row r="1542" spans="1:23" ht="16.5" x14ac:dyDescent="0.3">
      <c r="A1542" t="s">
        <v>1609</v>
      </c>
      <c r="B1542" t="s">
        <v>24</v>
      </c>
      <c r="C1542" t="s">
        <v>25</v>
      </c>
      <c r="D1542" t="s">
        <v>37</v>
      </c>
      <c r="E1542">
        <v>30</v>
      </c>
      <c r="F1542" t="s">
        <v>27</v>
      </c>
      <c r="G1542" t="s">
        <v>28</v>
      </c>
      <c r="H1542" s="1">
        <v>44902</v>
      </c>
      <c r="I1542" s="2">
        <v>2.4</v>
      </c>
      <c r="J1542" t="s">
        <v>29</v>
      </c>
      <c r="K1542" s="3">
        <v>3100</v>
      </c>
      <c r="L1542" t="s">
        <v>58</v>
      </c>
      <c r="M1542">
        <v>2</v>
      </c>
      <c r="N1542">
        <v>3</v>
      </c>
      <c r="O1542">
        <v>17</v>
      </c>
      <c r="P1542" t="s">
        <v>22</v>
      </c>
      <c r="Q1542" s="1">
        <v>45773</v>
      </c>
      <c r="R1542" t="s">
        <v>40</v>
      </c>
      <c r="S1542" t="s">
        <v>153</v>
      </c>
      <c r="T1542" t="s">
        <v>42</v>
      </c>
      <c r="U1542">
        <v>1</v>
      </c>
      <c r="V1542">
        <v>0</v>
      </c>
      <c r="W1542">
        <v>1</v>
      </c>
    </row>
    <row r="1543" spans="1:23" ht="16.5" x14ac:dyDescent="0.3">
      <c r="A1543" t="s">
        <v>1610</v>
      </c>
      <c r="B1543" t="s">
        <v>48</v>
      </c>
      <c r="C1543" t="s">
        <v>25</v>
      </c>
      <c r="D1543" t="s">
        <v>37</v>
      </c>
      <c r="E1543">
        <v>21</v>
      </c>
      <c r="F1543" t="s">
        <v>57</v>
      </c>
      <c r="G1543" t="s">
        <v>28</v>
      </c>
      <c r="H1543" s="1">
        <v>45920</v>
      </c>
      <c r="I1543" s="2">
        <v>0.3</v>
      </c>
      <c r="J1543" t="s">
        <v>64</v>
      </c>
      <c r="K1543" s="3">
        <v>7800</v>
      </c>
      <c r="L1543" t="s">
        <v>30</v>
      </c>
      <c r="M1543">
        <v>5</v>
      </c>
      <c r="N1543">
        <v>3</v>
      </c>
      <c r="O1543">
        <v>38</v>
      </c>
      <c r="P1543" t="s">
        <v>21</v>
      </c>
      <c r="Q1543" s="1"/>
      <c r="U1543">
        <v>1</v>
      </c>
      <c r="V1543">
        <v>1</v>
      </c>
      <c r="W1543">
        <v>0</v>
      </c>
    </row>
    <row r="1544" spans="1:23" ht="16.5" x14ac:dyDescent="0.3">
      <c r="A1544" t="s">
        <v>1611</v>
      </c>
      <c r="B1544" t="s">
        <v>48</v>
      </c>
      <c r="C1544" t="s">
        <v>25</v>
      </c>
      <c r="D1544" t="s">
        <v>26</v>
      </c>
      <c r="E1544">
        <v>30</v>
      </c>
      <c r="F1544" t="s">
        <v>27</v>
      </c>
      <c r="G1544" t="s">
        <v>38</v>
      </c>
      <c r="H1544" s="1">
        <v>43572</v>
      </c>
      <c r="I1544" s="2">
        <v>6.7</v>
      </c>
      <c r="J1544" t="s">
        <v>39</v>
      </c>
      <c r="K1544" s="3">
        <v>5750</v>
      </c>
      <c r="L1544" t="s">
        <v>58</v>
      </c>
      <c r="M1544">
        <v>3</v>
      </c>
      <c r="N1544">
        <v>3</v>
      </c>
      <c r="O1544">
        <v>42</v>
      </c>
      <c r="P1544" t="s">
        <v>21</v>
      </c>
      <c r="Q1544" s="1"/>
      <c r="U1544">
        <v>1</v>
      </c>
      <c r="V1544">
        <v>1</v>
      </c>
      <c r="W1544">
        <v>0</v>
      </c>
    </row>
    <row r="1545" spans="1:23" ht="16.5" x14ac:dyDescent="0.3">
      <c r="A1545" t="s">
        <v>1612</v>
      </c>
      <c r="B1545" t="s">
        <v>73</v>
      </c>
      <c r="C1545" t="s">
        <v>25</v>
      </c>
      <c r="D1545" t="s">
        <v>26</v>
      </c>
      <c r="E1545">
        <v>21</v>
      </c>
      <c r="F1545" t="s">
        <v>57</v>
      </c>
      <c r="G1545" t="s">
        <v>38</v>
      </c>
      <c r="H1545" s="1">
        <v>45994</v>
      </c>
      <c r="I1545" s="2">
        <v>0.1</v>
      </c>
      <c r="J1545" t="s">
        <v>64</v>
      </c>
      <c r="K1545" s="3">
        <v>3850</v>
      </c>
      <c r="L1545" t="s">
        <v>30</v>
      </c>
      <c r="M1545">
        <v>3</v>
      </c>
      <c r="N1545">
        <v>4</v>
      </c>
      <c r="O1545">
        <v>9</v>
      </c>
      <c r="P1545" t="s">
        <v>21</v>
      </c>
      <c r="Q1545" s="1"/>
      <c r="U1545">
        <v>1</v>
      </c>
      <c r="V1545">
        <v>1</v>
      </c>
      <c r="W1545">
        <v>0</v>
      </c>
    </row>
    <row r="1546" spans="1:23" ht="16.5" x14ac:dyDescent="0.3">
      <c r="A1546" t="s">
        <v>1613</v>
      </c>
      <c r="B1546" t="s">
        <v>48</v>
      </c>
      <c r="C1546" t="s">
        <v>36</v>
      </c>
      <c r="D1546" t="s">
        <v>26</v>
      </c>
      <c r="E1546">
        <v>32</v>
      </c>
      <c r="F1546" t="s">
        <v>27</v>
      </c>
      <c r="G1546" t="s">
        <v>28</v>
      </c>
      <c r="H1546" s="1">
        <v>44277</v>
      </c>
      <c r="I1546" s="2">
        <v>4.8</v>
      </c>
      <c r="J1546" t="s">
        <v>50</v>
      </c>
      <c r="K1546" s="3">
        <v>8000</v>
      </c>
      <c r="L1546" t="s">
        <v>30</v>
      </c>
      <c r="M1546">
        <v>4</v>
      </c>
      <c r="N1546">
        <v>3</v>
      </c>
      <c r="O1546">
        <v>27</v>
      </c>
      <c r="P1546" t="s">
        <v>21</v>
      </c>
      <c r="Q1546" s="1"/>
      <c r="U1546">
        <v>1</v>
      </c>
      <c r="V1546">
        <v>1</v>
      </c>
      <c r="W1546">
        <v>0</v>
      </c>
    </row>
    <row r="1547" spans="1:23" ht="16.5" x14ac:dyDescent="0.3">
      <c r="A1547" t="s">
        <v>1614</v>
      </c>
      <c r="B1547" t="s">
        <v>35</v>
      </c>
      <c r="C1547" t="s">
        <v>25</v>
      </c>
      <c r="D1547" t="s">
        <v>37</v>
      </c>
      <c r="E1547">
        <v>24</v>
      </c>
      <c r="F1547" t="s">
        <v>57</v>
      </c>
      <c r="G1547" t="s">
        <v>38</v>
      </c>
      <c r="H1547" s="1">
        <v>45325</v>
      </c>
      <c r="I1547" s="2">
        <v>1.9</v>
      </c>
      <c r="J1547" t="s">
        <v>29</v>
      </c>
      <c r="K1547" s="3">
        <v>4300</v>
      </c>
      <c r="L1547" t="s">
        <v>30</v>
      </c>
      <c r="M1547">
        <v>3</v>
      </c>
      <c r="N1547">
        <v>4</v>
      </c>
      <c r="O1547">
        <v>23</v>
      </c>
      <c r="P1547" t="s">
        <v>21</v>
      </c>
      <c r="Q1547" s="1"/>
      <c r="U1547">
        <v>1</v>
      </c>
      <c r="V1547">
        <v>1</v>
      </c>
      <c r="W1547">
        <v>0</v>
      </c>
    </row>
    <row r="1548" spans="1:23" ht="16.5" x14ac:dyDescent="0.3">
      <c r="A1548" t="s">
        <v>1615</v>
      </c>
      <c r="B1548" t="s">
        <v>24</v>
      </c>
      <c r="C1548" t="s">
        <v>25</v>
      </c>
      <c r="D1548" t="s">
        <v>37</v>
      </c>
      <c r="E1548">
        <v>25</v>
      </c>
      <c r="F1548" t="s">
        <v>57</v>
      </c>
      <c r="G1548" t="s">
        <v>38</v>
      </c>
      <c r="H1548" s="1">
        <v>45498</v>
      </c>
      <c r="I1548" s="2">
        <v>1.4</v>
      </c>
      <c r="J1548" t="s">
        <v>29</v>
      </c>
      <c r="K1548" s="3">
        <v>2500</v>
      </c>
      <c r="L1548" t="s">
        <v>30</v>
      </c>
      <c r="M1548">
        <v>4</v>
      </c>
      <c r="N1548">
        <v>4</v>
      </c>
      <c r="O1548">
        <v>37</v>
      </c>
      <c r="P1548" t="s">
        <v>22</v>
      </c>
      <c r="Q1548" s="1">
        <v>46005</v>
      </c>
      <c r="R1548" t="s">
        <v>40</v>
      </c>
      <c r="S1548" t="s">
        <v>92</v>
      </c>
      <c r="T1548" t="s">
        <v>33</v>
      </c>
      <c r="U1548">
        <v>1</v>
      </c>
      <c r="V1548">
        <v>0</v>
      </c>
      <c r="W1548">
        <v>1</v>
      </c>
    </row>
    <row r="1549" spans="1:23" ht="16.5" x14ac:dyDescent="0.3">
      <c r="A1549" t="s">
        <v>1616</v>
      </c>
      <c r="B1549" t="s">
        <v>48</v>
      </c>
      <c r="C1549" t="s">
        <v>36</v>
      </c>
      <c r="D1549" t="s">
        <v>26</v>
      </c>
      <c r="E1549">
        <v>22</v>
      </c>
      <c r="F1549" t="s">
        <v>57</v>
      </c>
      <c r="G1549" t="s">
        <v>38</v>
      </c>
      <c r="H1549" s="1">
        <v>45737</v>
      </c>
      <c r="I1549" s="2">
        <v>0.8</v>
      </c>
      <c r="J1549" t="s">
        <v>64</v>
      </c>
      <c r="K1549" s="3">
        <v>8050</v>
      </c>
      <c r="L1549" t="s">
        <v>30</v>
      </c>
      <c r="M1549">
        <v>5</v>
      </c>
      <c r="N1549">
        <v>4</v>
      </c>
      <c r="O1549">
        <v>13</v>
      </c>
      <c r="P1549" t="s">
        <v>21</v>
      </c>
      <c r="Q1549" s="1"/>
      <c r="U1549">
        <v>1</v>
      </c>
      <c r="V1549">
        <v>1</v>
      </c>
      <c r="W1549">
        <v>0</v>
      </c>
    </row>
    <row r="1550" spans="1:23" ht="16.5" x14ac:dyDescent="0.3">
      <c r="A1550" t="s">
        <v>1617</v>
      </c>
      <c r="B1550" t="s">
        <v>73</v>
      </c>
      <c r="C1550" t="s">
        <v>25</v>
      </c>
      <c r="D1550" t="s">
        <v>37</v>
      </c>
      <c r="E1550">
        <v>24</v>
      </c>
      <c r="F1550" t="s">
        <v>57</v>
      </c>
      <c r="G1550" t="s">
        <v>38</v>
      </c>
      <c r="H1550" s="1">
        <v>45760</v>
      </c>
      <c r="I1550" s="2">
        <v>0.7</v>
      </c>
      <c r="J1550" t="s">
        <v>64</v>
      </c>
      <c r="K1550" s="3">
        <v>3000</v>
      </c>
      <c r="L1550" t="s">
        <v>30</v>
      </c>
      <c r="M1550">
        <v>4</v>
      </c>
      <c r="N1550">
        <v>3</v>
      </c>
      <c r="O1550">
        <v>34</v>
      </c>
      <c r="P1550" t="s">
        <v>21</v>
      </c>
      <c r="Q1550" s="1"/>
      <c r="U1550">
        <v>1</v>
      </c>
      <c r="V1550">
        <v>1</v>
      </c>
      <c r="W1550">
        <v>0</v>
      </c>
    </row>
    <row r="1551" spans="1:23" ht="16.5" x14ac:dyDescent="0.3">
      <c r="A1551" t="s">
        <v>1618</v>
      </c>
      <c r="B1551" t="s">
        <v>70</v>
      </c>
      <c r="C1551" t="s">
        <v>36</v>
      </c>
      <c r="D1551" t="s">
        <v>37</v>
      </c>
      <c r="E1551">
        <v>30</v>
      </c>
      <c r="F1551" t="s">
        <v>27</v>
      </c>
      <c r="G1551" t="s">
        <v>38</v>
      </c>
      <c r="H1551" s="1">
        <v>44985</v>
      </c>
      <c r="I1551" s="2">
        <v>2.8</v>
      </c>
      <c r="J1551" t="s">
        <v>29</v>
      </c>
      <c r="K1551" s="3">
        <v>5850</v>
      </c>
      <c r="L1551" t="s">
        <v>58</v>
      </c>
      <c r="M1551">
        <v>1</v>
      </c>
      <c r="N1551">
        <v>4</v>
      </c>
      <c r="O1551">
        <v>35</v>
      </c>
      <c r="P1551" t="s">
        <v>21</v>
      </c>
      <c r="Q1551" s="1"/>
      <c r="U1551">
        <v>1</v>
      </c>
      <c r="V1551">
        <v>1</v>
      </c>
      <c r="W1551">
        <v>0</v>
      </c>
    </row>
    <row r="1552" spans="1:23" ht="16.5" x14ac:dyDescent="0.3">
      <c r="A1552" t="s">
        <v>1619</v>
      </c>
      <c r="B1552" t="s">
        <v>70</v>
      </c>
      <c r="C1552" t="s">
        <v>25</v>
      </c>
      <c r="D1552" t="s">
        <v>37</v>
      </c>
      <c r="E1552">
        <v>31</v>
      </c>
      <c r="F1552" t="s">
        <v>27</v>
      </c>
      <c r="G1552" t="s">
        <v>52</v>
      </c>
      <c r="H1552" s="1">
        <v>44172</v>
      </c>
      <c r="I1552" s="2">
        <v>5.0999999999999996</v>
      </c>
      <c r="J1552" t="s">
        <v>39</v>
      </c>
      <c r="K1552" s="3">
        <v>4300</v>
      </c>
      <c r="L1552" t="s">
        <v>58</v>
      </c>
      <c r="M1552">
        <v>3</v>
      </c>
      <c r="N1552">
        <v>4</v>
      </c>
      <c r="O1552">
        <v>30</v>
      </c>
      <c r="P1552" t="s">
        <v>21</v>
      </c>
      <c r="Q1552" s="1"/>
      <c r="U1552">
        <v>1</v>
      </c>
      <c r="V1552">
        <v>1</v>
      </c>
      <c r="W1552">
        <v>0</v>
      </c>
    </row>
    <row r="1553" spans="1:23" ht="16.5" x14ac:dyDescent="0.3">
      <c r="A1553" t="s">
        <v>1620</v>
      </c>
      <c r="B1553" t="s">
        <v>24</v>
      </c>
      <c r="C1553" t="s">
        <v>25</v>
      </c>
      <c r="D1553" t="s">
        <v>26</v>
      </c>
      <c r="E1553">
        <v>26</v>
      </c>
      <c r="F1553" t="s">
        <v>27</v>
      </c>
      <c r="G1553" t="s">
        <v>38</v>
      </c>
      <c r="H1553" s="1">
        <v>45445</v>
      </c>
      <c r="I1553" s="2">
        <v>1.4</v>
      </c>
      <c r="J1553" t="s">
        <v>29</v>
      </c>
      <c r="K1553" s="3">
        <v>3100</v>
      </c>
      <c r="L1553" t="s">
        <v>30</v>
      </c>
      <c r="M1553">
        <v>3</v>
      </c>
      <c r="N1553">
        <v>5</v>
      </c>
      <c r="O1553">
        <v>14</v>
      </c>
      <c r="P1553" t="s">
        <v>22</v>
      </c>
      <c r="Q1553" s="1">
        <v>45968</v>
      </c>
      <c r="R1553" t="s">
        <v>40</v>
      </c>
      <c r="S1553" t="s">
        <v>182</v>
      </c>
      <c r="T1553" t="s">
        <v>42</v>
      </c>
      <c r="U1553">
        <v>1</v>
      </c>
      <c r="V1553">
        <v>0</v>
      </c>
      <c r="W1553">
        <v>1</v>
      </c>
    </row>
    <row r="1554" spans="1:23" ht="16.5" x14ac:dyDescent="0.3">
      <c r="A1554" t="s">
        <v>1621</v>
      </c>
      <c r="B1554" t="s">
        <v>24</v>
      </c>
      <c r="C1554" t="s">
        <v>45</v>
      </c>
      <c r="D1554" t="s">
        <v>26</v>
      </c>
      <c r="E1554">
        <v>32</v>
      </c>
      <c r="F1554" t="s">
        <v>27</v>
      </c>
      <c r="G1554" t="s">
        <v>28</v>
      </c>
      <c r="H1554" s="1">
        <v>43304</v>
      </c>
      <c r="I1554" s="2">
        <v>7.4</v>
      </c>
      <c r="J1554" t="s">
        <v>39</v>
      </c>
      <c r="K1554" s="3">
        <v>4800</v>
      </c>
      <c r="L1554" t="s">
        <v>30</v>
      </c>
      <c r="M1554">
        <v>5</v>
      </c>
      <c r="N1554">
        <v>3</v>
      </c>
      <c r="O1554">
        <v>21</v>
      </c>
      <c r="P1554" t="s">
        <v>21</v>
      </c>
      <c r="Q1554" s="1"/>
      <c r="U1554">
        <v>1</v>
      </c>
      <c r="V1554">
        <v>1</v>
      </c>
      <c r="W1554">
        <v>0</v>
      </c>
    </row>
    <row r="1555" spans="1:23" ht="16.5" x14ac:dyDescent="0.3">
      <c r="A1555" t="s">
        <v>1622</v>
      </c>
      <c r="B1555" t="s">
        <v>35</v>
      </c>
      <c r="C1555" t="s">
        <v>25</v>
      </c>
      <c r="D1555" t="s">
        <v>26</v>
      </c>
      <c r="E1555">
        <v>27</v>
      </c>
      <c r="F1555" t="s">
        <v>27</v>
      </c>
      <c r="G1555" t="s">
        <v>38</v>
      </c>
      <c r="H1555" s="1">
        <v>44865</v>
      </c>
      <c r="I1555" s="2">
        <v>3.2</v>
      </c>
      <c r="J1555" t="s">
        <v>50</v>
      </c>
      <c r="K1555" s="3">
        <v>3700</v>
      </c>
      <c r="L1555" t="s">
        <v>58</v>
      </c>
      <c r="M1555">
        <v>3</v>
      </c>
      <c r="N1555">
        <v>2</v>
      </c>
      <c r="O1555">
        <v>31</v>
      </c>
      <c r="P1555" t="s">
        <v>21</v>
      </c>
      <c r="Q1555" s="1"/>
      <c r="U1555">
        <v>1</v>
      </c>
      <c r="V1555">
        <v>1</v>
      </c>
      <c r="W1555">
        <v>0</v>
      </c>
    </row>
    <row r="1556" spans="1:23" ht="16.5" x14ac:dyDescent="0.3">
      <c r="A1556" t="s">
        <v>1623</v>
      </c>
      <c r="B1556" t="s">
        <v>70</v>
      </c>
      <c r="C1556" t="s">
        <v>36</v>
      </c>
      <c r="D1556" t="s">
        <v>26</v>
      </c>
      <c r="E1556">
        <v>28</v>
      </c>
      <c r="F1556" t="s">
        <v>27</v>
      </c>
      <c r="G1556" t="s">
        <v>52</v>
      </c>
      <c r="H1556" s="1">
        <v>44882</v>
      </c>
      <c r="I1556" s="2">
        <v>3.1</v>
      </c>
      <c r="J1556" t="s">
        <v>50</v>
      </c>
      <c r="K1556" s="3">
        <v>5500</v>
      </c>
      <c r="L1556" t="s">
        <v>30</v>
      </c>
      <c r="M1556">
        <v>3</v>
      </c>
      <c r="N1556">
        <v>4</v>
      </c>
      <c r="O1556">
        <v>19</v>
      </c>
      <c r="P1556" t="s">
        <v>21</v>
      </c>
      <c r="Q1556" s="1"/>
      <c r="U1556">
        <v>1</v>
      </c>
      <c r="V1556">
        <v>1</v>
      </c>
      <c r="W1556">
        <v>0</v>
      </c>
    </row>
    <row r="1557" spans="1:23" ht="16.5" x14ac:dyDescent="0.3">
      <c r="A1557" t="s">
        <v>1624</v>
      </c>
      <c r="B1557" t="s">
        <v>48</v>
      </c>
      <c r="C1557" t="s">
        <v>25</v>
      </c>
      <c r="D1557" t="s">
        <v>37</v>
      </c>
      <c r="E1557">
        <v>21</v>
      </c>
      <c r="F1557" t="s">
        <v>57</v>
      </c>
      <c r="G1557" t="s">
        <v>38</v>
      </c>
      <c r="H1557" s="1">
        <v>45988</v>
      </c>
      <c r="I1557" s="2">
        <v>0.1</v>
      </c>
      <c r="J1557" t="s">
        <v>64</v>
      </c>
      <c r="K1557" s="3">
        <v>6500</v>
      </c>
      <c r="L1557" t="s">
        <v>58</v>
      </c>
      <c r="M1557">
        <v>4</v>
      </c>
      <c r="N1557">
        <v>3</v>
      </c>
      <c r="O1557">
        <v>15</v>
      </c>
      <c r="P1557" t="s">
        <v>21</v>
      </c>
      <c r="Q1557" s="1"/>
      <c r="U1557">
        <v>1</v>
      </c>
      <c r="V1557">
        <v>1</v>
      </c>
      <c r="W1557">
        <v>0</v>
      </c>
    </row>
    <row r="1558" spans="1:23" ht="16.5" x14ac:dyDescent="0.3">
      <c r="A1558" t="s">
        <v>1625</v>
      </c>
      <c r="B1558" t="s">
        <v>73</v>
      </c>
      <c r="C1558" t="s">
        <v>25</v>
      </c>
      <c r="D1558" t="s">
        <v>37</v>
      </c>
      <c r="E1558">
        <v>41</v>
      </c>
      <c r="F1558" t="s">
        <v>46</v>
      </c>
      <c r="G1558" t="s">
        <v>38</v>
      </c>
      <c r="H1558" s="1">
        <v>42551</v>
      </c>
      <c r="I1558" s="2">
        <v>9.5</v>
      </c>
      <c r="J1558" t="s">
        <v>39</v>
      </c>
      <c r="K1558" s="3">
        <v>4850</v>
      </c>
      <c r="L1558" t="s">
        <v>30</v>
      </c>
      <c r="M1558">
        <v>3</v>
      </c>
      <c r="N1558">
        <v>5</v>
      </c>
      <c r="O1558">
        <v>23</v>
      </c>
      <c r="P1558" t="s">
        <v>21</v>
      </c>
      <c r="Q1558" s="1"/>
      <c r="U1558">
        <v>1</v>
      </c>
      <c r="V1558">
        <v>1</v>
      </c>
      <c r="W1558">
        <v>0</v>
      </c>
    </row>
    <row r="1559" spans="1:23" ht="16.5" x14ac:dyDescent="0.3">
      <c r="A1559" t="s">
        <v>1626</v>
      </c>
      <c r="B1559" t="s">
        <v>35</v>
      </c>
      <c r="C1559" t="s">
        <v>36</v>
      </c>
      <c r="D1559" t="s">
        <v>37</v>
      </c>
      <c r="E1559">
        <v>32</v>
      </c>
      <c r="F1559" t="s">
        <v>27</v>
      </c>
      <c r="G1559" t="s">
        <v>38</v>
      </c>
      <c r="H1559" s="1">
        <v>43109</v>
      </c>
      <c r="I1559" s="2">
        <v>7.3</v>
      </c>
      <c r="J1559" t="s">
        <v>39</v>
      </c>
      <c r="K1559" s="3">
        <v>4900</v>
      </c>
      <c r="L1559" t="s">
        <v>30</v>
      </c>
      <c r="M1559">
        <v>4</v>
      </c>
      <c r="N1559">
        <v>3</v>
      </c>
      <c r="O1559">
        <v>27</v>
      </c>
      <c r="P1559" t="s">
        <v>22</v>
      </c>
      <c r="Q1559" s="1">
        <v>45792</v>
      </c>
      <c r="R1559" t="s">
        <v>40</v>
      </c>
      <c r="S1559" t="s">
        <v>169</v>
      </c>
      <c r="T1559" t="s">
        <v>85</v>
      </c>
      <c r="U1559">
        <v>1</v>
      </c>
      <c r="V1559">
        <v>0</v>
      </c>
      <c r="W1559">
        <v>1</v>
      </c>
    </row>
    <row r="1560" spans="1:23" ht="16.5" x14ac:dyDescent="0.3">
      <c r="A1560" t="s">
        <v>1627</v>
      </c>
      <c r="B1560" t="s">
        <v>44</v>
      </c>
      <c r="C1560" t="s">
        <v>36</v>
      </c>
      <c r="D1560" t="s">
        <v>26</v>
      </c>
      <c r="E1560">
        <v>36</v>
      </c>
      <c r="F1560" t="s">
        <v>46</v>
      </c>
      <c r="G1560" t="s">
        <v>38</v>
      </c>
      <c r="H1560" s="1">
        <v>45167</v>
      </c>
      <c r="I1560" s="2">
        <v>2.2999999999999998</v>
      </c>
      <c r="J1560" t="s">
        <v>29</v>
      </c>
      <c r="K1560" s="3">
        <v>7250</v>
      </c>
      <c r="L1560" t="s">
        <v>30</v>
      </c>
      <c r="M1560">
        <v>2</v>
      </c>
      <c r="N1560">
        <v>5</v>
      </c>
      <c r="O1560">
        <v>12</v>
      </c>
      <c r="P1560" t="s">
        <v>21</v>
      </c>
      <c r="Q1560" s="1"/>
      <c r="U1560">
        <v>1</v>
      </c>
      <c r="V1560">
        <v>1</v>
      </c>
      <c r="W1560">
        <v>0</v>
      </c>
    </row>
    <row r="1561" spans="1:23" ht="16.5" x14ac:dyDescent="0.3">
      <c r="A1561" t="s">
        <v>1628</v>
      </c>
      <c r="B1561" t="s">
        <v>70</v>
      </c>
      <c r="C1561" t="s">
        <v>36</v>
      </c>
      <c r="D1561" t="s">
        <v>37</v>
      </c>
      <c r="E1561">
        <v>29</v>
      </c>
      <c r="F1561" t="s">
        <v>27</v>
      </c>
      <c r="G1561" t="s">
        <v>28</v>
      </c>
      <c r="H1561" s="1">
        <v>44559</v>
      </c>
      <c r="I1561" s="2">
        <v>2.6</v>
      </c>
      <c r="J1561" t="s">
        <v>29</v>
      </c>
      <c r="K1561" s="3">
        <v>4500</v>
      </c>
      <c r="L1561" t="s">
        <v>58</v>
      </c>
      <c r="M1561">
        <v>3</v>
      </c>
      <c r="N1561">
        <v>3</v>
      </c>
      <c r="O1561">
        <v>19</v>
      </c>
      <c r="P1561" t="s">
        <v>22</v>
      </c>
      <c r="Q1561" s="1">
        <v>45495</v>
      </c>
      <c r="R1561" t="s">
        <v>31</v>
      </c>
      <c r="S1561" t="s">
        <v>84</v>
      </c>
      <c r="T1561" t="s">
        <v>33</v>
      </c>
      <c r="U1561">
        <v>1</v>
      </c>
      <c r="V1561">
        <v>0</v>
      </c>
      <c r="W1561">
        <v>1</v>
      </c>
    </row>
    <row r="1562" spans="1:23" ht="16.5" x14ac:dyDescent="0.3">
      <c r="A1562" t="s">
        <v>1629</v>
      </c>
      <c r="B1562" t="s">
        <v>35</v>
      </c>
      <c r="C1562" t="s">
        <v>25</v>
      </c>
      <c r="D1562" t="s">
        <v>37</v>
      </c>
      <c r="E1562">
        <v>22</v>
      </c>
      <c r="F1562" t="s">
        <v>57</v>
      </c>
      <c r="G1562" t="s">
        <v>38</v>
      </c>
      <c r="H1562" s="1">
        <v>45970</v>
      </c>
      <c r="I1562" s="2">
        <v>0.1</v>
      </c>
      <c r="J1562" t="s">
        <v>64</v>
      </c>
      <c r="K1562" s="3">
        <v>3450</v>
      </c>
      <c r="L1562" t="s">
        <v>30</v>
      </c>
      <c r="M1562">
        <v>3</v>
      </c>
      <c r="N1562">
        <v>3</v>
      </c>
      <c r="O1562">
        <v>20</v>
      </c>
      <c r="P1562" t="s">
        <v>21</v>
      </c>
      <c r="Q1562" s="1"/>
      <c r="U1562">
        <v>1</v>
      </c>
      <c r="V1562">
        <v>1</v>
      </c>
      <c r="W1562">
        <v>0</v>
      </c>
    </row>
    <row r="1563" spans="1:23" ht="16.5" x14ac:dyDescent="0.3">
      <c r="A1563" t="s">
        <v>1630</v>
      </c>
      <c r="B1563" t="s">
        <v>55</v>
      </c>
      <c r="C1563" t="s">
        <v>45</v>
      </c>
      <c r="D1563" t="s">
        <v>26</v>
      </c>
      <c r="E1563">
        <v>36</v>
      </c>
      <c r="F1563" t="s">
        <v>46</v>
      </c>
      <c r="G1563" t="s">
        <v>38</v>
      </c>
      <c r="H1563" s="1">
        <v>43569</v>
      </c>
      <c r="I1563" s="2">
        <v>6.7</v>
      </c>
      <c r="J1563" t="s">
        <v>39</v>
      </c>
      <c r="K1563" s="3">
        <v>8400</v>
      </c>
      <c r="L1563" t="s">
        <v>58</v>
      </c>
      <c r="M1563">
        <v>3</v>
      </c>
      <c r="N1563">
        <v>4</v>
      </c>
      <c r="O1563">
        <v>20</v>
      </c>
      <c r="P1563" t="s">
        <v>21</v>
      </c>
      <c r="Q1563" s="1"/>
      <c r="U1563">
        <v>1</v>
      </c>
      <c r="V1563">
        <v>1</v>
      </c>
      <c r="W1563">
        <v>0</v>
      </c>
    </row>
    <row r="1564" spans="1:23" ht="16.5" x14ac:dyDescent="0.3">
      <c r="A1564" t="s">
        <v>1631</v>
      </c>
      <c r="B1564" t="s">
        <v>55</v>
      </c>
      <c r="C1564" t="s">
        <v>45</v>
      </c>
      <c r="D1564" t="s">
        <v>37</v>
      </c>
      <c r="E1564">
        <v>40</v>
      </c>
      <c r="F1564" t="s">
        <v>46</v>
      </c>
      <c r="G1564" t="s">
        <v>28</v>
      </c>
      <c r="H1564" s="1">
        <v>41405</v>
      </c>
      <c r="I1564" s="2">
        <v>12.6</v>
      </c>
      <c r="J1564" t="s">
        <v>39</v>
      </c>
      <c r="K1564" s="3">
        <v>6800</v>
      </c>
      <c r="L1564" t="s">
        <v>30</v>
      </c>
      <c r="M1564">
        <v>3</v>
      </c>
      <c r="N1564">
        <v>3</v>
      </c>
      <c r="O1564">
        <v>48</v>
      </c>
      <c r="P1564" t="s">
        <v>21</v>
      </c>
      <c r="Q1564" s="1"/>
      <c r="U1564">
        <v>1</v>
      </c>
      <c r="V1564">
        <v>1</v>
      </c>
      <c r="W1564">
        <v>0</v>
      </c>
    </row>
    <row r="1565" spans="1:23" ht="16.5" x14ac:dyDescent="0.3">
      <c r="A1565" t="s">
        <v>1632</v>
      </c>
      <c r="B1565" t="s">
        <v>70</v>
      </c>
      <c r="C1565" t="s">
        <v>36</v>
      </c>
      <c r="D1565" t="s">
        <v>37</v>
      </c>
      <c r="E1565">
        <v>29</v>
      </c>
      <c r="F1565" t="s">
        <v>27</v>
      </c>
      <c r="G1565" t="s">
        <v>38</v>
      </c>
      <c r="H1565" s="1">
        <v>45291</v>
      </c>
      <c r="I1565" s="2">
        <v>0.8</v>
      </c>
      <c r="J1565" t="s">
        <v>64</v>
      </c>
      <c r="K1565" s="3">
        <v>4400</v>
      </c>
      <c r="L1565" t="s">
        <v>30</v>
      </c>
      <c r="M1565">
        <v>3</v>
      </c>
      <c r="N1565">
        <v>3</v>
      </c>
      <c r="O1565">
        <v>32</v>
      </c>
      <c r="P1565" t="s">
        <v>22</v>
      </c>
      <c r="Q1565" s="1">
        <v>45575</v>
      </c>
      <c r="R1565" t="s">
        <v>31</v>
      </c>
      <c r="S1565" t="s">
        <v>206</v>
      </c>
      <c r="T1565" t="s">
        <v>33</v>
      </c>
      <c r="U1565">
        <v>1</v>
      </c>
      <c r="V1565">
        <v>0</v>
      </c>
      <c r="W1565">
        <v>1</v>
      </c>
    </row>
    <row r="1566" spans="1:23" ht="16.5" x14ac:dyDescent="0.3">
      <c r="A1566" t="s">
        <v>1633</v>
      </c>
      <c r="B1566" t="s">
        <v>35</v>
      </c>
      <c r="C1566" t="s">
        <v>45</v>
      </c>
      <c r="D1566" t="s">
        <v>37</v>
      </c>
      <c r="E1566">
        <v>41</v>
      </c>
      <c r="F1566" t="s">
        <v>46</v>
      </c>
      <c r="G1566" t="s">
        <v>28</v>
      </c>
      <c r="H1566" s="1">
        <v>41164</v>
      </c>
      <c r="I1566" s="2">
        <v>13.3</v>
      </c>
      <c r="J1566" t="s">
        <v>39</v>
      </c>
      <c r="K1566" s="3">
        <v>6200</v>
      </c>
      <c r="L1566" t="s">
        <v>30</v>
      </c>
      <c r="M1566">
        <v>4</v>
      </c>
      <c r="N1566">
        <v>4</v>
      </c>
      <c r="O1566">
        <v>21</v>
      </c>
      <c r="P1566" t="s">
        <v>21</v>
      </c>
      <c r="Q1566" s="1"/>
      <c r="U1566">
        <v>1</v>
      </c>
      <c r="V1566">
        <v>1</v>
      </c>
      <c r="W1566">
        <v>0</v>
      </c>
    </row>
    <row r="1567" spans="1:23" ht="16.5" x14ac:dyDescent="0.3">
      <c r="A1567" t="s">
        <v>1634</v>
      </c>
      <c r="B1567" t="s">
        <v>73</v>
      </c>
      <c r="C1567" t="s">
        <v>36</v>
      </c>
      <c r="D1567" t="s">
        <v>37</v>
      </c>
      <c r="E1567">
        <v>34</v>
      </c>
      <c r="F1567" t="s">
        <v>27</v>
      </c>
      <c r="G1567" t="s">
        <v>38</v>
      </c>
      <c r="H1567" s="1">
        <v>43011</v>
      </c>
      <c r="I1567" s="2">
        <v>8.1999999999999993</v>
      </c>
      <c r="J1567" t="s">
        <v>39</v>
      </c>
      <c r="K1567" s="3">
        <v>5500</v>
      </c>
      <c r="L1567" t="s">
        <v>30</v>
      </c>
      <c r="M1567">
        <v>4</v>
      </c>
      <c r="N1567">
        <v>3</v>
      </c>
      <c r="O1567">
        <v>24</v>
      </c>
      <c r="P1567" t="s">
        <v>21</v>
      </c>
      <c r="Q1567" s="1"/>
      <c r="U1567">
        <v>1</v>
      </c>
      <c r="V1567">
        <v>1</v>
      </c>
      <c r="W1567">
        <v>0</v>
      </c>
    </row>
    <row r="1568" spans="1:23" ht="16.5" x14ac:dyDescent="0.3">
      <c r="A1568" t="s">
        <v>1635</v>
      </c>
      <c r="B1568" t="s">
        <v>24</v>
      </c>
      <c r="C1568" t="s">
        <v>25</v>
      </c>
      <c r="D1568" t="s">
        <v>37</v>
      </c>
      <c r="E1568">
        <v>21</v>
      </c>
      <c r="F1568" t="s">
        <v>57</v>
      </c>
      <c r="G1568" t="s">
        <v>38</v>
      </c>
      <c r="H1568" s="1">
        <v>45992</v>
      </c>
      <c r="I1568" s="2">
        <v>0</v>
      </c>
      <c r="J1568" t="s">
        <v>64</v>
      </c>
      <c r="K1568" s="3">
        <v>3300</v>
      </c>
      <c r="L1568" t="s">
        <v>58</v>
      </c>
      <c r="M1568">
        <v>3</v>
      </c>
      <c r="N1568">
        <v>4</v>
      </c>
      <c r="O1568">
        <v>22</v>
      </c>
      <c r="P1568" t="s">
        <v>22</v>
      </c>
      <c r="Q1568" s="1">
        <v>45999</v>
      </c>
      <c r="R1568" t="s">
        <v>40</v>
      </c>
      <c r="S1568" t="s">
        <v>92</v>
      </c>
      <c r="T1568" t="s">
        <v>60</v>
      </c>
      <c r="U1568">
        <v>1</v>
      </c>
      <c r="V1568">
        <v>0</v>
      </c>
      <c r="W1568">
        <v>1</v>
      </c>
    </row>
    <row r="1569" spans="1:23" ht="16.5" x14ac:dyDescent="0.3">
      <c r="A1569" t="s">
        <v>1636</v>
      </c>
      <c r="B1569" t="s">
        <v>73</v>
      </c>
      <c r="C1569" t="s">
        <v>25</v>
      </c>
      <c r="D1569" t="s">
        <v>37</v>
      </c>
      <c r="E1569">
        <v>21</v>
      </c>
      <c r="F1569" t="s">
        <v>57</v>
      </c>
      <c r="G1569" t="s">
        <v>28</v>
      </c>
      <c r="H1569" s="1">
        <v>45998</v>
      </c>
      <c r="I1569" s="2">
        <v>0.1</v>
      </c>
      <c r="J1569" t="s">
        <v>64</v>
      </c>
      <c r="K1569" s="3">
        <v>3850</v>
      </c>
      <c r="L1569" t="s">
        <v>30</v>
      </c>
      <c r="M1569">
        <v>5</v>
      </c>
      <c r="N1569">
        <v>4</v>
      </c>
      <c r="O1569">
        <v>30</v>
      </c>
      <c r="P1569" t="s">
        <v>21</v>
      </c>
      <c r="Q1569" s="1"/>
      <c r="U1569">
        <v>1</v>
      </c>
      <c r="V1569">
        <v>1</v>
      </c>
      <c r="W1569">
        <v>0</v>
      </c>
    </row>
    <row r="1570" spans="1:23" ht="16.5" x14ac:dyDescent="0.3">
      <c r="A1570" t="s">
        <v>1637</v>
      </c>
      <c r="B1570" t="s">
        <v>48</v>
      </c>
      <c r="C1570" t="s">
        <v>36</v>
      </c>
      <c r="D1570" t="s">
        <v>26</v>
      </c>
      <c r="E1570">
        <v>26</v>
      </c>
      <c r="F1570" t="s">
        <v>27</v>
      </c>
      <c r="G1570" t="s">
        <v>38</v>
      </c>
      <c r="H1570" s="1">
        <v>45381</v>
      </c>
      <c r="I1570" s="2">
        <v>1.8</v>
      </c>
      <c r="J1570" t="s">
        <v>29</v>
      </c>
      <c r="K1570" s="3">
        <v>7800</v>
      </c>
      <c r="L1570" t="s">
        <v>30</v>
      </c>
      <c r="M1570">
        <v>2</v>
      </c>
      <c r="N1570">
        <v>3</v>
      </c>
      <c r="O1570">
        <v>10</v>
      </c>
      <c r="P1570" t="s">
        <v>21</v>
      </c>
      <c r="Q1570" s="1"/>
      <c r="U1570">
        <v>1</v>
      </c>
      <c r="V1570">
        <v>1</v>
      </c>
      <c r="W1570">
        <v>0</v>
      </c>
    </row>
    <row r="1571" spans="1:23" ht="16.5" x14ac:dyDescent="0.3">
      <c r="A1571" t="s">
        <v>1638</v>
      </c>
      <c r="B1571" t="s">
        <v>44</v>
      </c>
      <c r="C1571" t="s">
        <v>25</v>
      </c>
      <c r="D1571" t="s">
        <v>37</v>
      </c>
      <c r="E1571">
        <v>21</v>
      </c>
      <c r="F1571" t="s">
        <v>57</v>
      </c>
      <c r="G1571" t="s">
        <v>52</v>
      </c>
      <c r="H1571" s="1">
        <v>45921</v>
      </c>
      <c r="I1571" s="2">
        <v>0.3</v>
      </c>
      <c r="J1571" t="s">
        <v>64</v>
      </c>
      <c r="K1571" s="3">
        <v>4200</v>
      </c>
      <c r="L1571" t="s">
        <v>30</v>
      </c>
      <c r="M1571">
        <v>2</v>
      </c>
      <c r="N1571">
        <v>3</v>
      </c>
      <c r="O1571">
        <v>36</v>
      </c>
      <c r="P1571" t="s">
        <v>21</v>
      </c>
      <c r="Q1571" s="1"/>
      <c r="U1571">
        <v>1</v>
      </c>
      <c r="V1571">
        <v>1</v>
      </c>
      <c r="W1571">
        <v>0</v>
      </c>
    </row>
    <row r="1572" spans="1:23" ht="16.5" x14ac:dyDescent="0.3">
      <c r="A1572" t="s">
        <v>1639</v>
      </c>
      <c r="B1572" t="s">
        <v>70</v>
      </c>
      <c r="C1572" t="s">
        <v>87</v>
      </c>
      <c r="D1572" t="s">
        <v>26</v>
      </c>
      <c r="E1572">
        <v>54</v>
      </c>
      <c r="F1572" t="s">
        <v>88</v>
      </c>
      <c r="G1572" t="s">
        <v>38</v>
      </c>
      <c r="H1572" s="1">
        <v>41891</v>
      </c>
      <c r="I1572" s="2">
        <v>9.8000000000000007</v>
      </c>
      <c r="J1572" t="s">
        <v>39</v>
      </c>
      <c r="K1572" s="3">
        <v>12300</v>
      </c>
      <c r="L1572" t="s">
        <v>58</v>
      </c>
      <c r="M1572">
        <v>2</v>
      </c>
      <c r="N1572">
        <v>4</v>
      </c>
      <c r="O1572">
        <v>24</v>
      </c>
      <c r="P1572" t="s">
        <v>22</v>
      </c>
      <c r="Q1572" s="1">
        <v>45469</v>
      </c>
      <c r="R1572" t="s">
        <v>31</v>
      </c>
      <c r="S1572" t="s">
        <v>32</v>
      </c>
      <c r="T1572" t="s">
        <v>60</v>
      </c>
      <c r="U1572">
        <v>1</v>
      </c>
      <c r="V1572">
        <v>0</v>
      </c>
      <c r="W1572">
        <v>1</v>
      </c>
    </row>
    <row r="1573" spans="1:23" ht="16.5" x14ac:dyDescent="0.3">
      <c r="A1573" t="s">
        <v>1640</v>
      </c>
      <c r="B1573" t="s">
        <v>70</v>
      </c>
      <c r="C1573" t="s">
        <v>25</v>
      </c>
      <c r="D1573" t="s">
        <v>26</v>
      </c>
      <c r="E1573">
        <v>32</v>
      </c>
      <c r="F1573" t="s">
        <v>27</v>
      </c>
      <c r="G1573" t="s">
        <v>38</v>
      </c>
      <c r="H1573" s="1">
        <v>43418</v>
      </c>
      <c r="I1573" s="2">
        <v>7.1</v>
      </c>
      <c r="J1573" t="s">
        <v>39</v>
      </c>
      <c r="K1573" s="3">
        <v>4000</v>
      </c>
      <c r="L1573" t="s">
        <v>58</v>
      </c>
      <c r="M1573">
        <v>5</v>
      </c>
      <c r="N1573">
        <v>4</v>
      </c>
      <c r="O1573">
        <v>0</v>
      </c>
      <c r="P1573" t="s">
        <v>21</v>
      </c>
      <c r="Q1573" s="1"/>
      <c r="U1573">
        <v>1</v>
      </c>
      <c r="V1573">
        <v>1</v>
      </c>
      <c r="W1573">
        <v>0</v>
      </c>
    </row>
    <row r="1574" spans="1:23" ht="16.5" x14ac:dyDescent="0.3">
      <c r="A1574" t="s">
        <v>1641</v>
      </c>
      <c r="B1574" t="s">
        <v>24</v>
      </c>
      <c r="C1574" t="s">
        <v>36</v>
      </c>
      <c r="D1574" t="s">
        <v>37</v>
      </c>
      <c r="E1574">
        <v>33</v>
      </c>
      <c r="F1574" t="s">
        <v>27</v>
      </c>
      <c r="G1574" t="s">
        <v>38</v>
      </c>
      <c r="H1574" s="1">
        <v>43895</v>
      </c>
      <c r="I1574" s="2">
        <v>4.5</v>
      </c>
      <c r="J1574" t="s">
        <v>50</v>
      </c>
      <c r="K1574" s="3">
        <v>3900</v>
      </c>
      <c r="L1574" t="s">
        <v>58</v>
      </c>
      <c r="M1574">
        <v>3</v>
      </c>
      <c r="N1574">
        <v>4</v>
      </c>
      <c r="O1574">
        <v>27</v>
      </c>
      <c r="P1574" t="s">
        <v>22</v>
      </c>
      <c r="Q1574" s="1">
        <v>45553</v>
      </c>
      <c r="R1574" t="s">
        <v>31</v>
      </c>
      <c r="S1574" t="s">
        <v>259</v>
      </c>
      <c r="T1574" t="s">
        <v>151</v>
      </c>
      <c r="U1574">
        <v>1</v>
      </c>
      <c r="V1574">
        <v>0</v>
      </c>
      <c r="W1574">
        <v>1</v>
      </c>
    </row>
    <row r="1575" spans="1:23" ht="16.5" x14ac:dyDescent="0.3">
      <c r="A1575" t="s">
        <v>1642</v>
      </c>
      <c r="B1575" t="s">
        <v>73</v>
      </c>
      <c r="C1575" t="s">
        <v>25</v>
      </c>
      <c r="D1575" t="s">
        <v>26</v>
      </c>
      <c r="E1575">
        <v>30</v>
      </c>
      <c r="F1575" t="s">
        <v>27</v>
      </c>
      <c r="G1575" t="s">
        <v>38</v>
      </c>
      <c r="H1575" s="1">
        <v>44167</v>
      </c>
      <c r="I1575" s="2">
        <v>5.0999999999999996</v>
      </c>
      <c r="J1575" t="s">
        <v>39</v>
      </c>
      <c r="K1575" s="3">
        <v>4300</v>
      </c>
      <c r="L1575" t="s">
        <v>30</v>
      </c>
      <c r="M1575">
        <v>3</v>
      </c>
      <c r="N1575">
        <v>3</v>
      </c>
      <c r="O1575">
        <v>51</v>
      </c>
      <c r="P1575" t="s">
        <v>21</v>
      </c>
      <c r="Q1575" s="1"/>
      <c r="U1575">
        <v>1</v>
      </c>
      <c r="V1575">
        <v>1</v>
      </c>
      <c r="W1575">
        <v>0</v>
      </c>
    </row>
    <row r="1576" spans="1:23" ht="16.5" x14ac:dyDescent="0.3">
      <c r="A1576" t="s">
        <v>1643</v>
      </c>
      <c r="B1576" t="s">
        <v>55</v>
      </c>
      <c r="C1576" t="s">
        <v>25</v>
      </c>
      <c r="D1576" t="s">
        <v>37</v>
      </c>
      <c r="E1576">
        <v>26</v>
      </c>
      <c r="F1576" t="s">
        <v>27</v>
      </c>
      <c r="G1576" t="s">
        <v>28</v>
      </c>
      <c r="H1576" s="1">
        <v>45010</v>
      </c>
      <c r="I1576" s="2">
        <v>2.8</v>
      </c>
      <c r="J1576" t="s">
        <v>29</v>
      </c>
      <c r="K1576" s="3">
        <v>5050</v>
      </c>
      <c r="L1576" t="s">
        <v>30</v>
      </c>
      <c r="M1576">
        <v>4</v>
      </c>
      <c r="N1576">
        <v>3</v>
      </c>
      <c r="O1576">
        <v>43</v>
      </c>
      <c r="P1576" t="s">
        <v>21</v>
      </c>
      <c r="Q1576" s="1"/>
      <c r="U1576">
        <v>1</v>
      </c>
      <c r="V1576">
        <v>1</v>
      </c>
      <c r="W1576">
        <v>0</v>
      </c>
    </row>
    <row r="1577" spans="1:23" ht="16.5" x14ac:dyDescent="0.3">
      <c r="A1577" t="s">
        <v>1644</v>
      </c>
      <c r="B1577" t="s">
        <v>24</v>
      </c>
      <c r="C1577" t="s">
        <v>25</v>
      </c>
      <c r="D1577" t="s">
        <v>37</v>
      </c>
      <c r="E1577">
        <v>21</v>
      </c>
      <c r="F1577" t="s">
        <v>57</v>
      </c>
      <c r="G1577" t="s">
        <v>28</v>
      </c>
      <c r="H1577" s="1">
        <v>45931</v>
      </c>
      <c r="I1577" s="2">
        <v>0.1</v>
      </c>
      <c r="J1577" t="s">
        <v>64</v>
      </c>
      <c r="K1577" s="3">
        <v>3250</v>
      </c>
      <c r="L1577" t="s">
        <v>58</v>
      </c>
      <c r="M1577">
        <v>3</v>
      </c>
      <c r="N1577">
        <v>4</v>
      </c>
      <c r="O1577">
        <v>25</v>
      </c>
      <c r="P1577" t="s">
        <v>22</v>
      </c>
      <c r="Q1577" s="1">
        <v>45958</v>
      </c>
      <c r="R1577" t="s">
        <v>40</v>
      </c>
      <c r="S1577" t="s">
        <v>206</v>
      </c>
      <c r="T1577" t="s">
        <v>85</v>
      </c>
      <c r="U1577">
        <v>1</v>
      </c>
      <c r="V1577">
        <v>0</v>
      </c>
      <c r="W1577">
        <v>1</v>
      </c>
    </row>
    <row r="1578" spans="1:23" ht="16.5" x14ac:dyDescent="0.3">
      <c r="A1578" t="s">
        <v>1645</v>
      </c>
      <c r="B1578" t="s">
        <v>70</v>
      </c>
      <c r="C1578" t="s">
        <v>25</v>
      </c>
      <c r="D1578" t="s">
        <v>37</v>
      </c>
      <c r="E1578">
        <v>37</v>
      </c>
      <c r="F1578" t="s">
        <v>46</v>
      </c>
      <c r="G1578" t="s">
        <v>38</v>
      </c>
      <c r="H1578" s="1">
        <v>43972</v>
      </c>
      <c r="I1578" s="2">
        <v>5.6</v>
      </c>
      <c r="J1578" t="s">
        <v>39</v>
      </c>
      <c r="K1578" s="3">
        <v>4100</v>
      </c>
      <c r="L1578" t="s">
        <v>30</v>
      </c>
      <c r="M1578">
        <v>5</v>
      </c>
      <c r="N1578">
        <v>3</v>
      </c>
      <c r="O1578">
        <v>0</v>
      </c>
      <c r="P1578" t="s">
        <v>21</v>
      </c>
      <c r="Q1578" s="1"/>
      <c r="U1578">
        <v>1</v>
      </c>
      <c r="V1578">
        <v>1</v>
      </c>
      <c r="W1578">
        <v>0</v>
      </c>
    </row>
    <row r="1579" spans="1:23" ht="16.5" x14ac:dyDescent="0.3">
      <c r="A1579" t="s">
        <v>1646</v>
      </c>
      <c r="B1579" t="s">
        <v>73</v>
      </c>
      <c r="C1579" t="s">
        <v>25</v>
      </c>
      <c r="D1579" t="s">
        <v>37</v>
      </c>
      <c r="E1579">
        <v>24</v>
      </c>
      <c r="F1579" t="s">
        <v>57</v>
      </c>
      <c r="G1579" t="s">
        <v>38</v>
      </c>
      <c r="H1579" s="1">
        <v>45859</v>
      </c>
      <c r="I1579" s="2">
        <v>0.4</v>
      </c>
      <c r="J1579" t="s">
        <v>64</v>
      </c>
      <c r="K1579" s="3">
        <v>3500</v>
      </c>
      <c r="L1579" t="s">
        <v>30</v>
      </c>
      <c r="M1579">
        <v>3</v>
      </c>
      <c r="N1579">
        <v>5</v>
      </c>
      <c r="O1579">
        <v>30</v>
      </c>
      <c r="P1579" t="s">
        <v>21</v>
      </c>
      <c r="Q1579" s="1"/>
      <c r="U1579">
        <v>1</v>
      </c>
      <c r="V1579">
        <v>1</v>
      </c>
      <c r="W1579">
        <v>0</v>
      </c>
    </row>
    <row r="1580" spans="1:23" ht="16.5" x14ac:dyDescent="0.3">
      <c r="A1580" t="s">
        <v>1647</v>
      </c>
      <c r="B1580" t="s">
        <v>70</v>
      </c>
      <c r="C1580" t="s">
        <v>36</v>
      </c>
      <c r="D1580" t="s">
        <v>37</v>
      </c>
      <c r="E1580">
        <v>33</v>
      </c>
      <c r="F1580" t="s">
        <v>27</v>
      </c>
      <c r="G1580" t="s">
        <v>38</v>
      </c>
      <c r="H1580" s="1">
        <v>45416</v>
      </c>
      <c r="I1580" s="2">
        <v>0.4</v>
      </c>
      <c r="J1580" t="s">
        <v>64</v>
      </c>
      <c r="K1580" s="3">
        <v>5650</v>
      </c>
      <c r="L1580" t="s">
        <v>58</v>
      </c>
      <c r="M1580">
        <v>4</v>
      </c>
      <c r="N1580">
        <v>3</v>
      </c>
      <c r="O1580">
        <v>17</v>
      </c>
      <c r="P1580" t="s">
        <v>22</v>
      </c>
      <c r="Q1580" s="1">
        <v>45555</v>
      </c>
      <c r="R1580" t="s">
        <v>31</v>
      </c>
      <c r="S1580" t="s">
        <v>259</v>
      </c>
      <c r="T1580" t="s">
        <v>85</v>
      </c>
      <c r="U1580">
        <v>1</v>
      </c>
      <c r="V1580">
        <v>0</v>
      </c>
      <c r="W1580">
        <v>1</v>
      </c>
    </row>
    <row r="1581" spans="1:23" ht="16.5" x14ac:dyDescent="0.3">
      <c r="A1581" t="s">
        <v>1648</v>
      </c>
      <c r="B1581" t="s">
        <v>35</v>
      </c>
      <c r="C1581" t="s">
        <v>45</v>
      </c>
      <c r="D1581" t="s">
        <v>26</v>
      </c>
      <c r="E1581">
        <v>42</v>
      </c>
      <c r="F1581" t="s">
        <v>46</v>
      </c>
      <c r="G1581" t="s">
        <v>52</v>
      </c>
      <c r="H1581" s="1">
        <v>41399</v>
      </c>
      <c r="I1581" s="2">
        <v>12.7</v>
      </c>
      <c r="J1581" t="s">
        <v>39</v>
      </c>
      <c r="K1581" s="3">
        <v>6000</v>
      </c>
      <c r="L1581" t="s">
        <v>30</v>
      </c>
      <c r="M1581">
        <v>3</v>
      </c>
      <c r="N1581">
        <v>4</v>
      </c>
      <c r="O1581">
        <v>35</v>
      </c>
      <c r="P1581" t="s">
        <v>21</v>
      </c>
      <c r="Q1581" s="1"/>
      <c r="U1581">
        <v>1</v>
      </c>
      <c r="V1581">
        <v>1</v>
      </c>
      <c r="W1581">
        <v>0</v>
      </c>
    </row>
    <row r="1582" spans="1:23" ht="16.5" x14ac:dyDescent="0.3">
      <c r="A1582" t="s">
        <v>1649</v>
      </c>
      <c r="B1582" t="s">
        <v>55</v>
      </c>
      <c r="C1582" t="s">
        <v>25</v>
      </c>
      <c r="D1582" t="s">
        <v>26</v>
      </c>
      <c r="E1582">
        <v>32</v>
      </c>
      <c r="F1582" t="s">
        <v>27</v>
      </c>
      <c r="G1582" t="s">
        <v>38</v>
      </c>
      <c r="H1582" s="1">
        <v>44967</v>
      </c>
      <c r="I1582" s="2">
        <v>2.9</v>
      </c>
      <c r="J1582" t="s">
        <v>29</v>
      </c>
      <c r="K1582" s="3">
        <v>5250</v>
      </c>
      <c r="L1582" t="s">
        <v>30</v>
      </c>
      <c r="M1582">
        <v>3</v>
      </c>
      <c r="N1582">
        <v>3</v>
      </c>
      <c r="O1582">
        <v>42</v>
      </c>
      <c r="P1582" t="s">
        <v>21</v>
      </c>
      <c r="Q1582" s="1"/>
      <c r="U1582">
        <v>1</v>
      </c>
      <c r="V1582">
        <v>1</v>
      </c>
      <c r="W1582">
        <v>0</v>
      </c>
    </row>
    <row r="1583" spans="1:23" ht="16.5" x14ac:dyDescent="0.3">
      <c r="A1583" t="s">
        <v>1650</v>
      </c>
      <c r="B1583" t="s">
        <v>70</v>
      </c>
      <c r="C1583" t="s">
        <v>36</v>
      </c>
      <c r="D1583" t="s">
        <v>26</v>
      </c>
      <c r="E1583">
        <v>38</v>
      </c>
      <c r="F1583" t="s">
        <v>46</v>
      </c>
      <c r="G1583" t="s">
        <v>28</v>
      </c>
      <c r="H1583" s="1">
        <v>44734</v>
      </c>
      <c r="I1583" s="2">
        <v>3.5</v>
      </c>
      <c r="J1583" t="s">
        <v>50</v>
      </c>
      <c r="K1583" s="3">
        <v>5400</v>
      </c>
      <c r="L1583" t="s">
        <v>30</v>
      </c>
      <c r="M1583">
        <v>5</v>
      </c>
      <c r="N1583">
        <v>4</v>
      </c>
      <c r="O1583">
        <v>42</v>
      </c>
      <c r="P1583" t="s">
        <v>21</v>
      </c>
      <c r="Q1583" s="1"/>
      <c r="U1583">
        <v>1</v>
      </c>
      <c r="V1583">
        <v>1</v>
      </c>
      <c r="W1583">
        <v>0</v>
      </c>
    </row>
    <row r="1584" spans="1:23" ht="16.5" x14ac:dyDescent="0.3">
      <c r="A1584" t="s">
        <v>1651</v>
      </c>
      <c r="B1584" t="s">
        <v>70</v>
      </c>
      <c r="C1584" t="s">
        <v>45</v>
      </c>
      <c r="D1584" t="s">
        <v>37</v>
      </c>
      <c r="E1584">
        <v>37</v>
      </c>
      <c r="F1584" t="s">
        <v>46</v>
      </c>
      <c r="G1584" t="s">
        <v>38</v>
      </c>
      <c r="H1584" s="1">
        <v>44048</v>
      </c>
      <c r="I1584" s="2">
        <v>5.4</v>
      </c>
      <c r="J1584" t="s">
        <v>39</v>
      </c>
      <c r="K1584" s="3">
        <v>8350</v>
      </c>
      <c r="L1584" t="s">
        <v>58</v>
      </c>
      <c r="M1584">
        <v>2</v>
      </c>
      <c r="N1584">
        <v>3</v>
      </c>
      <c r="O1584">
        <v>30</v>
      </c>
      <c r="P1584" t="s">
        <v>21</v>
      </c>
      <c r="Q1584" s="1"/>
      <c r="U1584">
        <v>1</v>
      </c>
      <c r="V1584">
        <v>1</v>
      </c>
      <c r="W1584">
        <v>0</v>
      </c>
    </row>
    <row r="1585" spans="1:23" ht="16.5" x14ac:dyDescent="0.3">
      <c r="A1585" t="s">
        <v>1652</v>
      </c>
      <c r="B1585" t="s">
        <v>24</v>
      </c>
      <c r="C1585" t="s">
        <v>25</v>
      </c>
      <c r="D1585" t="s">
        <v>26</v>
      </c>
      <c r="E1585">
        <v>25</v>
      </c>
      <c r="F1585" t="s">
        <v>57</v>
      </c>
      <c r="G1585" t="s">
        <v>28</v>
      </c>
      <c r="H1585" s="1">
        <v>45469</v>
      </c>
      <c r="I1585" s="2">
        <v>1</v>
      </c>
      <c r="J1585" t="s">
        <v>64</v>
      </c>
      <c r="K1585" s="3">
        <v>3500</v>
      </c>
      <c r="L1585" t="s">
        <v>58</v>
      </c>
      <c r="M1585">
        <v>1</v>
      </c>
      <c r="N1585">
        <v>3</v>
      </c>
      <c r="O1585">
        <v>13</v>
      </c>
      <c r="P1585" t="s">
        <v>22</v>
      </c>
      <c r="Q1585" s="1">
        <v>45847</v>
      </c>
      <c r="R1585" t="s">
        <v>40</v>
      </c>
      <c r="S1585" t="s">
        <v>84</v>
      </c>
      <c r="T1585" t="s">
        <v>60</v>
      </c>
      <c r="U1585">
        <v>1</v>
      </c>
      <c r="V1585">
        <v>0</v>
      </c>
      <c r="W1585">
        <v>1</v>
      </c>
    </row>
    <row r="1586" spans="1:23" ht="16.5" x14ac:dyDescent="0.3">
      <c r="A1586" t="s">
        <v>1653</v>
      </c>
      <c r="B1586" t="s">
        <v>44</v>
      </c>
      <c r="C1586" t="s">
        <v>25</v>
      </c>
      <c r="D1586" t="s">
        <v>37</v>
      </c>
      <c r="E1586">
        <v>27</v>
      </c>
      <c r="F1586" t="s">
        <v>27</v>
      </c>
      <c r="G1586" t="s">
        <v>38</v>
      </c>
      <c r="H1586" s="1">
        <v>45025</v>
      </c>
      <c r="I1586" s="2">
        <v>2.7</v>
      </c>
      <c r="J1586" t="s">
        <v>29</v>
      </c>
      <c r="K1586" s="3">
        <v>4800</v>
      </c>
      <c r="L1586" t="s">
        <v>58</v>
      </c>
      <c r="M1586">
        <v>4</v>
      </c>
      <c r="N1586">
        <v>3</v>
      </c>
      <c r="O1586">
        <v>33</v>
      </c>
      <c r="P1586" t="s">
        <v>21</v>
      </c>
      <c r="Q1586" s="1"/>
      <c r="U1586">
        <v>1</v>
      </c>
      <c r="V1586">
        <v>1</v>
      </c>
      <c r="W1586">
        <v>0</v>
      </c>
    </row>
    <row r="1587" spans="1:23" ht="16.5" x14ac:dyDescent="0.3">
      <c r="A1587" t="s">
        <v>1654</v>
      </c>
      <c r="B1587" t="s">
        <v>48</v>
      </c>
      <c r="C1587" t="s">
        <v>36</v>
      </c>
      <c r="D1587" t="s">
        <v>37</v>
      </c>
      <c r="E1587">
        <v>43</v>
      </c>
      <c r="F1587" t="s">
        <v>46</v>
      </c>
      <c r="G1587" t="s">
        <v>52</v>
      </c>
      <c r="H1587" s="1">
        <v>44421</v>
      </c>
      <c r="I1587" s="2">
        <v>4.4000000000000004</v>
      </c>
      <c r="J1587" t="s">
        <v>50</v>
      </c>
      <c r="K1587" s="3">
        <v>8350</v>
      </c>
      <c r="L1587" t="s">
        <v>30</v>
      </c>
      <c r="M1587">
        <v>5</v>
      </c>
      <c r="N1587">
        <v>2</v>
      </c>
      <c r="O1587">
        <v>14</v>
      </c>
      <c r="P1587" t="s">
        <v>21</v>
      </c>
      <c r="Q1587" s="1"/>
      <c r="U1587">
        <v>1</v>
      </c>
      <c r="V1587">
        <v>1</v>
      </c>
      <c r="W1587">
        <v>0</v>
      </c>
    </row>
    <row r="1588" spans="1:23" ht="16.5" x14ac:dyDescent="0.3">
      <c r="A1588" t="s">
        <v>1655</v>
      </c>
      <c r="B1588" t="s">
        <v>55</v>
      </c>
      <c r="C1588" t="s">
        <v>36</v>
      </c>
      <c r="D1588" t="s">
        <v>37</v>
      </c>
      <c r="E1588">
        <v>28</v>
      </c>
      <c r="F1588" t="s">
        <v>27</v>
      </c>
      <c r="G1588" t="s">
        <v>38</v>
      </c>
      <c r="H1588" s="1">
        <v>44515</v>
      </c>
      <c r="I1588" s="2">
        <v>2.2000000000000002</v>
      </c>
      <c r="J1588" t="s">
        <v>29</v>
      </c>
      <c r="K1588" s="3">
        <v>5550</v>
      </c>
      <c r="L1588" t="s">
        <v>30</v>
      </c>
      <c r="M1588">
        <v>4</v>
      </c>
      <c r="N1588">
        <v>3</v>
      </c>
      <c r="O1588">
        <v>48</v>
      </c>
      <c r="P1588" t="s">
        <v>22</v>
      </c>
      <c r="Q1588" s="1">
        <v>45325</v>
      </c>
      <c r="R1588" t="s">
        <v>31</v>
      </c>
      <c r="S1588" t="s">
        <v>103</v>
      </c>
      <c r="T1588" t="s">
        <v>33</v>
      </c>
      <c r="U1588">
        <v>1</v>
      </c>
      <c r="V1588">
        <v>0</v>
      </c>
      <c r="W1588">
        <v>1</v>
      </c>
    </row>
    <row r="1589" spans="1:23" ht="16.5" x14ac:dyDescent="0.3">
      <c r="A1589" t="s">
        <v>1656</v>
      </c>
      <c r="B1589" t="s">
        <v>35</v>
      </c>
      <c r="C1589" t="s">
        <v>36</v>
      </c>
      <c r="D1589" t="s">
        <v>37</v>
      </c>
      <c r="E1589">
        <v>34</v>
      </c>
      <c r="F1589" t="s">
        <v>27</v>
      </c>
      <c r="G1589" t="s">
        <v>38</v>
      </c>
      <c r="H1589" s="1">
        <v>42500</v>
      </c>
      <c r="I1589" s="2">
        <v>9.6</v>
      </c>
      <c r="J1589" t="s">
        <v>39</v>
      </c>
      <c r="K1589" s="3">
        <v>3300</v>
      </c>
      <c r="L1589" t="s">
        <v>30</v>
      </c>
      <c r="M1589">
        <v>3</v>
      </c>
      <c r="N1589">
        <v>4</v>
      </c>
      <c r="O1589">
        <v>36</v>
      </c>
      <c r="P1589" t="s">
        <v>21</v>
      </c>
      <c r="Q1589" s="1"/>
      <c r="U1589">
        <v>1</v>
      </c>
      <c r="V1589">
        <v>1</v>
      </c>
      <c r="W1589">
        <v>0</v>
      </c>
    </row>
    <row r="1590" spans="1:23" ht="16.5" x14ac:dyDescent="0.3">
      <c r="A1590" t="s">
        <v>1657</v>
      </c>
      <c r="B1590" t="s">
        <v>35</v>
      </c>
      <c r="C1590" t="s">
        <v>87</v>
      </c>
      <c r="D1590" t="s">
        <v>37</v>
      </c>
      <c r="E1590">
        <v>46</v>
      </c>
      <c r="F1590" t="s">
        <v>88</v>
      </c>
      <c r="G1590" t="s">
        <v>38</v>
      </c>
      <c r="H1590" s="1">
        <v>41609</v>
      </c>
      <c r="I1590" s="2">
        <v>12.1</v>
      </c>
      <c r="J1590" t="s">
        <v>39</v>
      </c>
      <c r="K1590" s="3">
        <v>8350</v>
      </c>
      <c r="L1590" t="s">
        <v>58</v>
      </c>
      <c r="M1590">
        <v>4</v>
      </c>
      <c r="N1590">
        <v>3</v>
      </c>
      <c r="O1590">
        <v>17</v>
      </c>
      <c r="P1590" t="s">
        <v>21</v>
      </c>
      <c r="Q1590" s="1"/>
      <c r="U1590">
        <v>1</v>
      </c>
      <c r="V1590">
        <v>1</v>
      </c>
      <c r="W1590">
        <v>0</v>
      </c>
    </row>
    <row r="1591" spans="1:23" ht="16.5" x14ac:dyDescent="0.3">
      <c r="A1591" t="s">
        <v>1658</v>
      </c>
      <c r="B1591" t="s">
        <v>55</v>
      </c>
      <c r="C1591" t="s">
        <v>36</v>
      </c>
      <c r="D1591" t="s">
        <v>37</v>
      </c>
      <c r="E1591">
        <v>29</v>
      </c>
      <c r="F1591" t="s">
        <v>27</v>
      </c>
      <c r="G1591" t="s">
        <v>52</v>
      </c>
      <c r="H1591" s="1">
        <v>44431</v>
      </c>
      <c r="I1591" s="2">
        <v>4.4000000000000004</v>
      </c>
      <c r="J1591" t="s">
        <v>50</v>
      </c>
      <c r="K1591" s="3">
        <v>4900</v>
      </c>
      <c r="L1591" t="s">
        <v>30</v>
      </c>
      <c r="M1591">
        <v>5</v>
      </c>
      <c r="N1591">
        <v>4</v>
      </c>
      <c r="O1591">
        <v>10</v>
      </c>
      <c r="P1591" t="s">
        <v>21</v>
      </c>
      <c r="Q1591" s="1"/>
      <c r="U1591">
        <v>1</v>
      </c>
      <c r="V1591">
        <v>1</v>
      </c>
      <c r="W1591">
        <v>0</v>
      </c>
    </row>
    <row r="1592" spans="1:23" ht="16.5" x14ac:dyDescent="0.3">
      <c r="A1592" t="s">
        <v>1659</v>
      </c>
      <c r="B1592" t="s">
        <v>24</v>
      </c>
      <c r="C1592" t="s">
        <v>45</v>
      </c>
      <c r="D1592" t="s">
        <v>37</v>
      </c>
      <c r="E1592">
        <v>47</v>
      </c>
      <c r="F1592" t="s">
        <v>88</v>
      </c>
      <c r="G1592" t="s">
        <v>38</v>
      </c>
      <c r="H1592" s="1">
        <v>45099</v>
      </c>
      <c r="I1592" s="2">
        <v>0.8</v>
      </c>
      <c r="J1592" t="s">
        <v>64</v>
      </c>
      <c r="K1592" s="3">
        <v>4400</v>
      </c>
      <c r="L1592" t="s">
        <v>58</v>
      </c>
      <c r="M1592">
        <v>1</v>
      </c>
      <c r="N1592">
        <v>3</v>
      </c>
      <c r="O1592">
        <v>18</v>
      </c>
      <c r="P1592" t="s">
        <v>22</v>
      </c>
      <c r="Q1592" s="1">
        <v>45400</v>
      </c>
      <c r="R1592" t="s">
        <v>31</v>
      </c>
      <c r="S1592" t="s">
        <v>153</v>
      </c>
      <c r="T1592" t="s">
        <v>33</v>
      </c>
      <c r="U1592">
        <v>1</v>
      </c>
      <c r="V1592">
        <v>0</v>
      </c>
      <c r="W1592">
        <v>1</v>
      </c>
    </row>
    <row r="1593" spans="1:23" ht="16.5" x14ac:dyDescent="0.3">
      <c r="A1593" t="s">
        <v>1660</v>
      </c>
      <c r="B1593" t="s">
        <v>24</v>
      </c>
      <c r="C1593" t="s">
        <v>36</v>
      </c>
      <c r="D1593" t="s">
        <v>37</v>
      </c>
      <c r="E1593">
        <v>29</v>
      </c>
      <c r="F1593" t="s">
        <v>27</v>
      </c>
      <c r="G1593" t="s">
        <v>38</v>
      </c>
      <c r="H1593" s="1">
        <v>43914</v>
      </c>
      <c r="I1593" s="2">
        <v>5.8</v>
      </c>
      <c r="J1593" t="s">
        <v>39</v>
      </c>
      <c r="K1593" s="3">
        <v>3050</v>
      </c>
      <c r="L1593" t="s">
        <v>30</v>
      </c>
      <c r="M1593">
        <v>3</v>
      </c>
      <c r="N1593">
        <v>4</v>
      </c>
      <c r="O1593">
        <v>18</v>
      </c>
      <c r="P1593" t="s">
        <v>21</v>
      </c>
      <c r="Q1593" s="1"/>
      <c r="U1593">
        <v>1</v>
      </c>
      <c r="V1593">
        <v>1</v>
      </c>
      <c r="W1593">
        <v>0</v>
      </c>
    </row>
    <row r="1594" spans="1:23" ht="16.5" x14ac:dyDescent="0.3">
      <c r="A1594" t="s">
        <v>1661</v>
      </c>
      <c r="B1594" t="s">
        <v>48</v>
      </c>
      <c r="C1594" t="s">
        <v>25</v>
      </c>
      <c r="D1594" t="s">
        <v>37</v>
      </c>
      <c r="E1594">
        <v>26</v>
      </c>
      <c r="F1594" t="s">
        <v>27</v>
      </c>
      <c r="G1594" t="s">
        <v>28</v>
      </c>
      <c r="H1594" s="1">
        <v>45244</v>
      </c>
      <c r="I1594" s="2">
        <v>2.1</v>
      </c>
      <c r="J1594" t="s">
        <v>29</v>
      </c>
      <c r="K1594" s="3">
        <v>5000</v>
      </c>
      <c r="L1594" t="s">
        <v>30</v>
      </c>
      <c r="M1594">
        <v>5</v>
      </c>
      <c r="N1594">
        <v>4</v>
      </c>
      <c r="O1594">
        <v>32</v>
      </c>
      <c r="P1594" t="s">
        <v>21</v>
      </c>
      <c r="Q1594" s="1"/>
      <c r="U1594">
        <v>1</v>
      </c>
      <c r="V1594">
        <v>1</v>
      </c>
      <c r="W1594">
        <v>0</v>
      </c>
    </row>
    <row r="1595" spans="1:23" ht="16.5" x14ac:dyDescent="0.3">
      <c r="A1595" t="s">
        <v>1662</v>
      </c>
      <c r="B1595" t="s">
        <v>35</v>
      </c>
      <c r="C1595" t="s">
        <v>87</v>
      </c>
      <c r="D1595" t="s">
        <v>26</v>
      </c>
      <c r="E1595">
        <v>41</v>
      </c>
      <c r="F1595" t="s">
        <v>46</v>
      </c>
      <c r="G1595" t="s">
        <v>28</v>
      </c>
      <c r="H1595" s="1">
        <v>43627</v>
      </c>
      <c r="I1595" s="2">
        <v>5.9</v>
      </c>
      <c r="J1595" t="s">
        <v>39</v>
      </c>
      <c r="K1595" s="3">
        <v>8200</v>
      </c>
      <c r="L1595" t="s">
        <v>58</v>
      </c>
      <c r="M1595">
        <v>3</v>
      </c>
      <c r="N1595">
        <v>3</v>
      </c>
      <c r="O1595">
        <v>35</v>
      </c>
      <c r="P1595" t="s">
        <v>22</v>
      </c>
      <c r="Q1595" s="1">
        <v>45800</v>
      </c>
      <c r="R1595" t="s">
        <v>40</v>
      </c>
      <c r="S1595" t="s">
        <v>169</v>
      </c>
      <c r="T1595" t="s">
        <v>42</v>
      </c>
      <c r="U1595">
        <v>1</v>
      </c>
      <c r="V1595">
        <v>0</v>
      </c>
      <c r="W1595">
        <v>1</v>
      </c>
    </row>
    <row r="1596" spans="1:23" ht="16.5" x14ac:dyDescent="0.3">
      <c r="A1596" t="s">
        <v>1663</v>
      </c>
      <c r="B1596" t="s">
        <v>35</v>
      </c>
      <c r="C1596" t="s">
        <v>36</v>
      </c>
      <c r="D1596" t="s">
        <v>37</v>
      </c>
      <c r="E1596">
        <v>29</v>
      </c>
      <c r="F1596" t="s">
        <v>27</v>
      </c>
      <c r="G1596" t="s">
        <v>38</v>
      </c>
      <c r="H1596" s="1">
        <v>43838</v>
      </c>
      <c r="I1596" s="2">
        <v>6</v>
      </c>
      <c r="J1596" t="s">
        <v>39</v>
      </c>
      <c r="K1596" s="3">
        <v>5250</v>
      </c>
      <c r="L1596" t="s">
        <v>30</v>
      </c>
      <c r="M1596">
        <v>4</v>
      </c>
      <c r="N1596">
        <v>3</v>
      </c>
      <c r="O1596">
        <v>23</v>
      </c>
      <c r="P1596" t="s">
        <v>21</v>
      </c>
      <c r="Q1596" s="1"/>
      <c r="U1596">
        <v>1</v>
      </c>
      <c r="V1596">
        <v>1</v>
      </c>
      <c r="W1596">
        <v>0</v>
      </c>
    </row>
    <row r="1597" spans="1:23" ht="16.5" x14ac:dyDescent="0.3">
      <c r="A1597" t="s">
        <v>1664</v>
      </c>
      <c r="B1597" t="s">
        <v>48</v>
      </c>
      <c r="C1597" t="s">
        <v>25</v>
      </c>
      <c r="D1597" t="s">
        <v>26</v>
      </c>
      <c r="E1597">
        <v>24</v>
      </c>
      <c r="F1597" t="s">
        <v>57</v>
      </c>
      <c r="G1597" t="s">
        <v>38</v>
      </c>
      <c r="H1597" s="1">
        <v>45818</v>
      </c>
      <c r="I1597" s="2">
        <v>0.2</v>
      </c>
      <c r="J1597" t="s">
        <v>64</v>
      </c>
      <c r="K1597" s="3">
        <v>5700</v>
      </c>
      <c r="L1597" t="s">
        <v>30</v>
      </c>
      <c r="M1597">
        <v>3</v>
      </c>
      <c r="N1597">
        <v>3</v>
      </c>
      <c r="O1597">
        <v>21</v>
      </c>
      <c r="P1597" t="s">
        <v>22</v>
      </c>
      <c r="Q1597" s="1">
        <v>45891</v>
      </c>
      <c r="R1597" t="s">
        <v>40</v>
      </c>
      <c r="S1597" t="s">
        <v>41</v>
      </c>
      <c r="T1597" t="s">
        <v>33</v>
      </c>
      <c r="U1597">
        <v>1</v>
      </c>
      <c r="V1597">
        <v>0</v>
      </c>
      <c r="W1597">
        <v>1</v>
      </c>
    </row>
    <row r="1598" spans="1:23" ht="16.5" x14ac:dyDescent="0.3">
      <c r="A1598" t="s">
        <v>1665</v>
      </c>
      <c r="B1598" t="s">
        <v>48</v>
      </c>
      <c r="C1598" t="s">
        <v>36</v>
      </c>
      <c r="D1598" t="s">
        <v>37</v>
      </c>
      <c r="E1598">
        <v>28</v>
      </c>
      <c r="F1598" t="s">
        <v>27</v>
      </c>
      <c r="G1598" t="s">
        <v>28</v>
      </c>
      <c r="H1598" s="1">
        <v>44619</v>
      </c>
      <c r="I1598" s="2">
        <v>3.8</v>
      </c>
      <c r="J1598" t="s">
        <v>50</v>
      </c>
      <c r="K1598" s="3">
        <v>7350</v>
      </c>
      <c r="L1598" t="s">
        <v>30</v>
      </c>
      <c r="M1598">
        <v>4</v>
      </c>
      <c r="N1598">
        <v>3</v>
      </c>
      <c r="O1598">
        <v>41</v>
      </c>
      <c r="P1598" t="s">
        <v>21</v>
      </c>
      <c r="Q1598" s="1"/>
      <c r="U1598">
        <v>1</v>
      </c>
      <c r="V1598">
        <v>1</v>
      </c>
      <c r="W1598">
        <v>0</v>
      </c>
    </row>
    <row r="1599" spans="1:23" ht="16.5" x14ac:dyDescent="0.3">
      <c r="A1599" t="s">
        <v>1666</v>
      </c>
      <c r="B1599" t="s">
        <v>70</v>
      </c>
      <c r="C1599" t="s">
        <v>25</v>
      </c>
      <c r="D1599" t="s">
        <v>26</v>
      </c>
      <c r="E1599">
        <v>29</v>
      </c>
      <c r="F1599" t="s">
        <v>27</v>
      </c>
      <c r="G1599" t="s">
        <v>38</v>
      </c>
      <c r="H1599" s="1">
        <v>44108</v>
      </c>
      <c r="I1599" s="2">
        <v>5.2</v>
      </c>
      <c r="J1599" t="s">
        <v>39</v>
      </c>
      <c r="K1599" s="3">
        <v>4300</v>
      </c>
      <c r="L1599" t="s">
        <v>30</v>
      </c>
      <c r="M1599">
        <v>5</v>
      </c>
      <c r="N1599">
        <v>3</v>
      </c>
      <c r="O1599">
        <v>35</v>
      </c>
      <c r="P1599" t="s">
        <v>21</v>
      </c>
      <c r="Q1599" s="1"/>
      <c r="U1599">
        <v>1</v>
      </c>
      <c r="V1599">
        <v>1</v>
      </c>
      <c r="W1599">
        <v>0</v>
      </c>
    </row>
    <row r="1600" spans="1:23" ht="16.5" x14ac:dyDescent="0.3">
      <c r="A1600" t="s">
        <v>1667</v>
      </c>
      <c r="B1600" t="s">
        <v>35</v>
      </c>
      <c r="C1600" t="s">
        <v>36</v>
      </c>
      <c r="D1600" t="s">
        <v>26</v>
      </c>
      <c r="E1600">
        <v>29</v>
      </c>
      <c r="F1600" t="s">
        <v>27</v>
      </c>
      <c r="G1600" t="s">
        <v>38</v>
      </c>
      <c r="H1600" s="1">
        <v>43909</v>
      </c>
      <c r="I1600" s="2">
        <v>5.8</v>
      </c>
      <c r="J1600" t="s">
        <v>39</v>
      </c>
      <c r="K1600" s="3">
        <v>4750</v>
      </c>
      <c r="L1600" t="s">
        <v>30</v>
      </c>
      <c r="M1600">
        <v>3</v>
      </c>
      <c r="N1600">
        <v>4</v>
      </c>
      <c r="O1600">
        <v>17</v>
      </c>
      <c r="P1600" t="s">
        <v>21</v>
      </c>
      <c r="Q1600" s="1"/>
      <c r="U1600">
        <v>1</v>
      </c>
      <c r="V1600">
        <v>1</v>
      </c>
      <c r="W1600">
        <v>0</v>
      </c>
    </row>
    <row r="1601" spans="1:23" ht="16.5" x14ac:dyDescent="0.3">
      <c r="A1601" t="s">
        <v>1668</v>
      </c>
      <c r="B1601" t="s">
        <v>24</v>
      </c>
      <c r="C1601" t="s">
        <v>25</v>
      </c>
      <c r="D1601" t="s">
        <v>26</v>
      </c>
      <c r="E1601">
        <v>26</v>
      </c>
      <c r="F1601" t="s">
        <v>27</v>
      </c>
      <c r="G1601" t="s">
        <v>38</v>
      </c>
      <c r="H1601" s="1">
        <v>45395</v>
      </c>
      <c r="I1601" s="2">
        <v>1.7</v>
      </c>
      <c r="J1601" t="s">
        <v>29</v>
      </c>
      <c r="K1601" s="3">
        <v>2650</v>
      </c>
      <c r="L1601" t="s">
        <v>30</v>
      </c>
      <c r="M1601">
        <v>5</v>
      </c>
      <c r="N1601">
        <v>3</v>
      </c>
      <c r="O1601">
        <v>25</v>
      </c>
      <c r="P1601" t="s">
        <v>21</v>
      </c>
      <c r="Q1601" s="1"/>
      <c r="U1601">
        <v>1</v>
      </c>
      <c r="V1601">
        <v>1</v>
      </c>
      <c r="W1601">
        <v>0</v>
      </c>
    </row>
    <row r="1602" spans="1:23" ht="16.5" x14ac:dyDescent="0.3">
      <c r="A1602" t="s">
        <v>1669</v>
      </c>
      <c r="B1602" t="s">
        <v>70</v>
      </c>
      <c r="C1602" t="s">
        <v>36</v>
      </c>
      <c r="D1602" t="s">
        <v>26</v>
      </c>
      <c r="E1602">
        <v>37</v>
      </c>
      <c r="F1602" t="s">
        <v>46</v>
      </c>
      <c r="G1602" t="s">
        <v>28</v>
      </c>
      <c r="H1602" s="1">
        <v>41937</v>
      </c>
      <c r="I1602" s="2">
        <v>11.2</v>
      </c>
      <c r="J1602" t="s">
        <v>39</v>
      </c>
      <c r="K1602" s="3">
        <v>5200</v>
      </c>
      <c r="L1602" t="s">
        <v>58</v>
      </c>
      <c r="M1602">
        <v>4</v>
      </c>
      <c r="N1602">
        <v>2</v>
      </c>
      <c r="O1602">
        <v>30</v>
      </c>
      <c r="P1602" t="s">
        <v>21</v>
      </c>
      <c r="Q1602" s="1"/>
      <c r="U1602">
        <v>1</v>
      </c>
      <c r="V1602">
        <v>1</v>
      </c>
      <c r="W1602">
        <v>0</v>
      </c>
    </row>
    <row r="1603" spans="1:23" ht="16.5" x14ac:dyDescent="0.3">
      <c r="A1603" t="s">
        <v>1670</v>
      </c>
      <c r="B1603" t="s">
        <v>35</v>
      </c>
      <c r="C1603" t="s">
        <v>36</v>
      </c>
      <c r="D1603" t="s">
        <v>37</v>
      </c>
      <c r="E1603">
        <v>36</v>
      </c>
      <c r="F1603" t="s">
        <v>46</v>
      </c>
      <c r="G1603" t="s">
        <v>28</v>
      </c>
      <c r="H1603" s="1">
        <v>44714</v>
      </c>
      <c r="I1603" s="2">
        <v>3.6</v>
      </c>
      <c r="J1603" t="s">
        <v>50</v>
      </c>
      <c r="K1603" s="3">
        <v>4350</v>
      </c>
      <c r="L1603" t="s">
        <v>30</v>
      </c>
      <c r="M1603">
        <v>2</v>
      </c>
      <c r="N1603">
        <v>3</v>
      </c>
      <c r="O1603">
        <v>50</v>
      </c>
      <c r="P1603" t="s">
        <v>21</v>
      </c>
      <c r="Q1603" s="1"/>
      <c r="U1603">
        <v>1</v>
      </c>
      <c r="V1603">
        <v>1</v>
      </c>
      <c r="W1603">
        <v>0</v>
      </c>
    </row>
    <row r="1604" spans="1:23" ht="16.5" x14ac:dyDescent="0.3">
      <c r="A1604" t="s">
        <v>1671</v>
      </c>
      <c r="B1604" t="s">
        <v>55</v>
      </c>
      <c r="C1604" t="s">
        <v>25</v>
      </c>
      <c r="D1604" t="s">
        <v>37</v>
      </c>
      <c r="E1604">
        <v>21</v>
      </c>
      <c r="F1604" t="s">
        <v>57</v>
      </c>
      <c r="G1604" t="s">
        <v>28</v>
      </c>
      <c r="H1604" s="1">
        <v>45972</v>
      </c>
      <c r="I1604" s="2">
        <v>0.1</v>
      </c>
      <c r="J1604" t="s">
        <v>64</v>
      </c>
      <c r="K1604" s="3">
        <v>4200</v>
      </c>
      <c r="L1604" t="s">
        <v>58</v>
      </c>
      <c r="M1604">
        <v>3</v>
      </c>
      <c r="N1604">
        <v>3</v>
      </c>
      <c r="O1604">
        <v>35</v>
      </c>
      <c r="P1604" t="s">
        <v>21</v>
      </c>
      <c r="Q1604" s="1"/>
      <c r="U1604">
        <v>1</v>
      </c>
      <c r="V1604">
        <v>1</v>
      </c>
      <c r="W1604">
        <v>0</v>
      </c>
    </row>
    <row r="1605" spans="1:23" ht="16.5" x14ac:dyDescent="0.3">
      <c r="A1605" t="s">
        <v>1672</v>
      </c>
      <c r="B1605" t="s">
        <v>35</v>
      </c>
      <c r="C1605" t="s">
        <v>25</v>
      </c>
      <c r="D1605" t="s">
        <v>26</v>
      </c>
      <c r="E1605">
        <v>28</v>
      </c>
      <c r="F1605" t="s">
        <v>27</v>
      </c>
      <c r="G1605" t="s">
        <v>38</v>
      </c>
      <c r="H1605" s="1">
        <v>45162</v>
      </c>
      <c r="I1605" s="2">
        <v>2.4</v>
      </c>
      <c r="J1605" t="s">
        <v>29</v>
      </c>
      <c r="K1605" s="3">
        <v>4350</v>
      </c>
      <c r="L1605" t="s">
        <v>30</v>
      </c>
      <c r="M1605">
        <v>3</v>
      </c>
      <c r="N1605">
        <v>3</v>
      </c>
      <c r="O1605">
        <v>29</v>
      </c>
      <c r="P1605" t="s">
        <v>21</v>
      </c>
      <c r="Q1605" s="1"/>
      <c r="U1605">
        <v>1</v>
      </c>
      <c r="V1605">
        <v>1</v>
      </c>
      <c r="W1605">
        <v>0</v>
      </c>
    </row>
    <row r="1606" spans="1:23" ht="16.5" x14ac:dyDescent="0.3">
      <c r="A1606" t="s">
        <v>1673</v>
      </c>
      <c r="B1606" t="s">
        <v>70</v>
      </c>
      <c r="C1606" t="s">
        <v>36</v>
      </c>
      <c r="D1606" t="s">
        <v>37</v>
      </c>
      <c r="E1606">
        <v>36</v>
      </c>
      <c r="F1606" t="s">
        <v>46</v>
      </c>
      <c r="G1606" t="s">
        <v>38</v>
      </c>
      <c r="H1606" s="1">
        <v>42985</v>
      </c>
      <c r="I1606" s="2">
        <v>8.3000000000000007</v>
      </c>
      <c r="J1606" t="s">
        <v>39</v>
      </c>
      <c r="K1606" s="3">
        <v>5800</v>
      </c>
      <c r="L1606" t="s">
        <v>30</v>
      </c>
      <c r="M1606">
        <v>5</v>
      </c>
      <c r="N1606">
        <v>4</v>
      </c>
      <c r="O1606">
        <v>30</v>
      </c>
      <c r="P1606" t="s">
        <v>21</v>
      </c>
      <c r="Q1606" s="1"/>
      <c r="U1606">
        <v>1</v>
      </c>
      <c r="V1606">
        <v>1</v>
      </c>
      <c r="W1606">
        <v>0</v>
      </c>
    </row>
    <row r="1607" spans="1:23" ht="16.5" x14ac:dyDescent="0.3">
      <c r="A1607" t="s">
        <v>1674</v>
      </c>
      <c r="B1607" t="s">
        <v>70</v>
      </c>
      <c r="C1607" t="s">
        <v>25</v>
      </c>
      <c r="D1607" t="s">
        <v>37</v>
      </c>
      <c r="E1607">
        <v>26</v>
      </c>
      <c r="F1607" t="s">
        <v>27</v>
      </c>
      <c r="G1607" t="s">
        <v>38</v>
      </c>
      <c r="H1607" s="1">
        <v>44779</v>
      </c>
      <c r="I1607" s="2">
        <v>3.4</v>
      </c>
      <c r="J1607" t="s">
        <v>50</v>
      </c>
      <c r="K1607" s="3">
        <v>3700</v>
      </c>
      <c r="L1607" t="s">
        <v>30</v>
      </c>
      <c r="M1607">
        <v>4</v>
      </c>
      <c r="N1607">
        <v>3</v>
      </c>
      <c r="O1607">
        <v>3</v>
      </c>
      <c r="P1607" t="s">
        <v>21</v>
      </c>
      <c r="Q1607" s="1"/>
      <c r="U1607">
        <v>1</v>
      </c>
      <c r="V1607">
        <v>1</v>
      </c>
      <c r="W1607">
        <v>0</v>
      </c>
    </row>
    <row r="1608" spans="1:23" ht="16.5" x14ac:dyDescent="0.3">
      <c r="A1608" t="s">
        <v>1675</v>
      </c>
      <c r="B1608" t="s">
        <v>48</v>
      </c>
      <c r="C1608" t="s">
        <v>25</v>
      </c>
      <c r="D1608" t="s">
        <v>37</v>
      </c>
      <c r="E1608">
        <v>21</v>
      </c>
      <c r="F1608" t="s">
        <v>57</v>
      </c>
      <c r="G1608" t="s">
        <v>28</v>
      </c>
      <c r="H1608" s="1">
        <v>46000</v>
      </c>
      <c r="I1608" s="2">
        <v>0.1</v>
      </c>
      <c r="J1608" t="s">
        <v>64</v>
      </c>
      <c r="K1608" s="3">
        <v>7000</v>
      </c>
      <c r="L1608" t="s">
        <v>58</v>
      </c>
      <c r="M1608">
        <v>2</v>
      </c>
      <c r="N1608">
        <v>2</v>
      </c>
      <c r="O1608">
        <v>31</v>
      </c>
      <c r="P1608" t="s">
        <v>21</v>
      </c>
      <c r="Q1608" s="1"/>
      <c r="U1608">
        <v>1</v>
      </c>
      <c r="V1608">
        <v>1</v>
      </c>
      <c r="W1608">
        <v>0</v>
      </c>
    </row>
    <row r="1609" spans="1:23" ht="16.5" x14ac:dyDescent="0.3">
      <c r="A1609" t="s">
        <v>1676</v>
      </c>
      <c r="B1609" t="s">
        <v>73</v>
      </c>
      <c r="C1609" t="s">
        <v>87</v>
      </c>
      <c r="D1609" t="s">
        <v>26</v>
      </c>
      <c r="E1609">
        <v>45</v>
      </c>
      <c r="F1609" t="s">
        <v>46</v>
      </c>
      <c r="G1609" t="s">
        <v>52</v>
      </c>
      <c r="H1609" s="1">
        <v>41644</v>
      </c>
      <c r="I1609" s="2">
        <v>12</v>
      </c>
      <c r="J1609" t="s">
        <v>39</v>
      </c>
      <c r="K1609" s="3">
        <v>8950</v>
      </c>
      <c r="L1609" t="s">
        <v>30</v>
      </c>
      <c r="M1609">
        <v>3</v>
      </c>
      <c r="N1609">
        <v>5</v>
      </c>
      <c r="O1609">
        <v>27</v>
      </c>
      <c r="P1609" t="s">
        <v>21</v>
      </c>
      <c r="Q1609" s="1"/>
      <c r="U1609">
        <v>1</v>
      </c>
      <c r="V1609">
        <v>1</v>
      </c>
      <c r="W1609">
        <v>0</v>
      </c>
    </row>
    <row r="1610" spans="1:23" ht="16.5" x14ac:dyDescent="0.3">
      <c r="A1610" t="s">
        <v>1677</v>
      </c>
      <c r="B1610" t="s">
        <v>48</v>
      </c>
      <c r="C1610" t="s">
        <v>36</v>
      </c>
      <c r="D1610" t="s">
        <v>37</v>
      </c>
      <c r="E1610">
        <v>39</v>
      </c>
      <c r="F1610" t="s">
        <v>46</v>
      </c>
      <c r="G1610" t="s">
        <v>28</v>
      </c>
      <c r="H1610" s="1">
        <v>44122</v>
      </c>
      <c r="I1610" s="2">
        <v>5.2</v>
      </c>
      <c r="J1610" t="s">
        <v>39</v>
      </c>
      <c r="K1610" s="3">
        <v>6450</v>
      </c>
      <c r="L1610" t="s">
        <v>30</v>
      </c>
      <c r="M1610">
        <v>3</v>
      </c>
      <c r="N1610">
        <v>3</v>
      </c>
      <c r="O1610">
        <v>29</v>
      </c>
      <c r="P1610" t="s">
        <v>21</v>
      </c>
      <c r="Q1610" s="1"/>
      <c r="U1610">
        <v>1</v>
      </c>
      <c r="V1610">
        <v>1</v>
      </c>
      <c r="W1610">
        <v>0</v>
      </c>
    </row>
    <row r="1611" spans="1:23" ht="16.5" x14ac:dyDescent="0.3">
      <c r="A1611" t="s">
        <v>1678</v>
      </c>
      <c r="B1611" t="s">
        <v>44</v>
      </c>
      <c r="C1611" t="s">
        <v>36</v>
      </c>
      <c r="D1611" t="s">
        <v>26</v>
      </c>
      <c r="E1611">
        <v>29</v>
      </c>
      <c r="F1611" t="s">
        <v>27</v>
      </c>
      <c r="G1611" t="s">
        <v>38</v>
      </c>
      <c r="H1611" s="1">
        <v>44397</v>
      </c>
      <c r="I1611" s="2">
        <v>4.4000000000000004</v>
      </c>
      <c r="J1611" t="s">
        <v>50</v>
      </c>
      <c r="K1611" s="3">
        <v>7300</v>
      </c>
      <c r="L1611" t="s">
        <v>30</v>
      </c>
      <c r="M1611">
        <v>5</v>
      </c>
      <c r="N1611">
        <v>4</v>
      </c>
      <c r="O1611">
        <v>25</v>
      </c>
      <c r="P1611" t="s">
        <v>21</v>
      </c>
      <c r="Q1611" s="1"/>
      <c r="U1611">
        <v>1</v>
      </c>
      <c r="V1611">
        <v>1</v>
      </c>
      <c r="W1611">
        <v>0</v>
      </c>
    </row>
    <row r="1612" spans="1:23" ht="16.5" x14ac:dyDescent="0.3">
      <c r="A1612" t="s">
        <v>1679</v>
      </c>
      <c r="B1612" t="s">
        <v>24</v>
      </c>
      <c r="C1612" t="s">
        <v>25</v>
      </c>
      <c r="D1612" t="s">
        <v>37</v>
      </c>
      <c r="E1612">
        <v>22</v>
      </c>
      <c r="F1612" t="s">
        <v>57</v>
      </c>
      <c r="G1612" t="s">
        <v>38</v>
      </c>
      <c r="H1612" s="1">
        <v>45792</v>
      </c>
      <c r="I1612" s="2">
        <v>0.3</v>
      </c>
      <c r="J1612" t="s">
        <v>64</v>
      </c>
      <c r="K1612" s="3">
        <v>2850</v>
      </c>
      <c r="L1612" t="s">
        <v>30</v>
      </c>
      <c r="M1612">
        <v>3</v>
      </c>
      <c r="N1612">
        <v>5</v>
      </c>
      <c r="O1612">
        <v>25</v>
      </c>
      <c r="P1612" t="s">
        <v>22</v>
      </c>
      <c r="Q1612" s="1">
        <v>45894</v>
      </c>
      <c r="R1612" t="s">
        <v>40</v>
      </c>
      <c r="S1612" t="s">
        <v>41</v>
      </c>
      <c r="T1612" t="s">
        <v>85</v>
      </c>
      <c r="U1612">
        <v>1</v>
      </c>
      <c r="V1612">
        <v>0</v>
      </c>
      <c r="W1612">
        <v>1</v>
      </c>
    </row>
    <row r="1613" spans="1:23" ht="16.5" x14ac:dyDescent="0.3">
      <c r="A1613" t="s">
        <v>1680</v>
      </c>
      <c r="B1613" t="s">
        <v>73</v>
      </c>
      <c r="C1613" t="s">
        <v>36</v>
      </c>
      <c r="D1613" t="s">
        <v>37</v>
      </c>
      <c r="E1613">
        <v>23</v>
      </c>
      <c r="F1613" t="s">
        <v>57</v>
      </c>
      <c r="G1613" t="s">
        <v>28</v>
      </c>
      <c r="H1613" s="1">
        <v>45491</v>
      </c>
      <c r="I1613" s="2">
        <v>1.5</v>
      </c>
      <c r="J1613" t="s">
        <v>29</v>
      </c>
      <c r="K1613" s="3">
        <v>4650</v>
      </c>
      <c r="L1613" t="s">
        <v>30</v>
      </c>
      <c r="M1613">
        <v>3</v>
      </c>
      <c r="N1613">
        <v>5</v>
      </c>
      <c r="O1613">
        <v>43</v>
      </c>
      <c r="P1613" t="s">
        <v>21</v>
      </c>
      <c r="Q1613" s="1"/>
      <c r="U1613">
        <v>1</v>
      </c>
      <c r="V1613">
        <v>1</v>
      </c>
      <c r="W1613">
        <v>0</v>
      </c>
    </row>
    <row r="1614" spans="1:23" ht="16.5" x14ac:dyDescent="0.3">
      <c r="A1614" t="s">
        <v>1681</v>
      </c>
      <c r="B1614" t="s">
        <v>48</v>
      </c>
      <c r="C1614" t="s">
        <v>45</v>
      </c>
      <c r="D1614" t="s">
        <v>37</v>
      </c>
      <c r="E1614">
        <v>40</v>
      </c>
      <c r="F1614" t="s">
        <v>46</v>
      </c>
      <c r="G1614" t="s">
        <v>38</v>
      </c>
      <c r="H1614" s="1">
        <v>40894</v>
      </c>
      <c r="I1614" s="2">
        <v>13.8</v>
      </c>
      <c r="J1614" t="s">
        <v>39</v>
      </c>
      <c r="K1614" s="3">
        <v>9850</v>
      </c>
      <c r="L1614" t="s">
        <v>30</v>
      </c>
      <c r="M1614">
        <v>3</v>
      </c>
      <c r="N1614">
        <v>3</v>
      </c>
      <c r="O1614">
        <v>30</v>
      </c>
      <c r="P1614" t="s">
        <v>22</v>
      </c>
      <c r="Q1614" s="1">
        <v>45926</v>
      </c>
      <c r="R1614" t="s">
        <v>40</v>
      </c>
      <c r="S1614" t="s">
        <v>259</v>
      </c>
      <c r="T1614" t="s">
        <v>33</v>
      </c>
      <c r="U1614">
        <v>1</v>
      </c>
      <c r="V1614">
        <v>0</v>
      </c>
      <c r="W1614">
        <v>1</v>
      </c>
    </row>
    <row r="1615" spans="1:23" ht="16.5" x14ac:dyDescent="0.3">
      <c r="A1615" t="s">
        <v>1682</v>
      </c>
      <c r="B1615" t="s">
        <v>55</v>
      </c>
      <c r="C1615" t="s">
        <v>25</v>
      </c>
      <c r="D1615" t="s">
        <v>37</v>
      </c>
      <c r="E1615">
        <v>23</v>
      </c>
      <c r="F1615" t="s">
        <v>57</v>
      </c>
      <c r="G1615" t="s">
        <v>38</v>
      </c>
      <c r="H1615" s="1">
        <v>45587</v>
      </c>
      <c r="I1615" s="2">
        <v>1.2</v>
      </c>
      <c r="J1615" t="s">
        <v>29</v>
      </c>
      <c r="K1615" s="3">
        <v>4550</v>
      </c>
      <c r="L1615" t="s">
        <v>30</v>
      </c>
      <c r="M1615">
        <v>5</v>
      </c>
      <c r="N1615">
        <v>3</v>
      </c>
      <c r="O1615">
        <v>40</v>
      </c>
      <c r="P1615" t="s">
        <v>21</v>
      </c>
      <c r="Q1615" s="1"/>
      <c r="U1615">
        <v>1</v>
      </c>
      <c r="V1615">
        <v>1</v>
      </c>
      <c r="W1615">
        <v>0</v>
      </c>
    </row>
    <row r="1616" spans="1:23" ht="16.5" x14ac:dyDescent="0.3">
      <c r="A1616" t="s">
        <v>1683</v>
      </c>
      <c r="B1616" t="s">
        <v>24</v>
      </c>
      <c r="C1616" t="s">
        <v>87</v>
      </c>
      <c r="D1616" t="s">
        <v>37</v>
      </c>
      <c r="E1616">
        <v>41</v>
      </c>
      <c r="F1616" t="s">
        <v>46</v>
      </c>
      <c r="G1616" t="s">
        <v>38</v>
      </c>
      <c r="H1616" s="1">
        <v>43279</v>
      </c>
      <c r="I1616" s="2">
        <v>7.5</v>
      </c>
      <c r="J1616" t="s">
        <v>39</v>
      </c>
      <c r="K1616" s="3">
        <v>7050</v>
      </c>
      <c r="L1616" t="s">
        <v>30</v>
      </c>
      <c r="M1616">
        <v>3</v>
      </c>
      <c r="N1616">
        <v>3</v>
      </c>
      <c r="O1616">
        <v>16</v>
      </c>
      <c r="P1616" t="s">
        <v>21</v>
      </c>
      <c r="Q1616" s="1"/>
      <c r="U1616">
        <v>1</v>
      </c>
      <c r="V1616">
        <v>1</v>
      </c>
      <c r="W1616">
        <v>0</v>
      </c>
    </row>
    <row r="1617" spans="1:23" ht="16.5" x14ac:dyDescent="0.3">
      <c r="A1617" t="s">
        <v>1684</v>
      </c>
      <c r="B1617" t="s">
        <v>24</v>
      </c>
      <c r="C1617" t="s">
        <v>36</v>
      </c>
      <c r="D1617" t="s">
        <v>37</v>
      </c>
      <c r="E1617">
        <v>28</v>
      </c>
      <c r="F1617" t="s">
        <v>27</v>
      </c>
      <c r="G1617" t="s">
        <v>38</v>
      </c>
      <c r="H1617" s="1">
        <v>45039</v>
      </c>
      <c r="I1617" s="2">
        <v>2.7</v>
      </c>
      <c r="J1617" t="s">
        <v>29</v>
      </c>
      <c r="K1617" s="3">
        <v>3350</v>
      </c>
      <c r="L1617" t="s">
        <v>30</v>
      </c>
      <c r="M1617">
        <v>5</v>
      </c>
      <c r="N1617">
        <v>3</v>
      </c>
      <c r="O1617">
        <v>6</v>
      </c>
      <c r="P1617" t="s">
        <v>21</v>
      </c>
      <c r="Q1617" s="1"/>
      <c r="U1617">
        <v>1</v>
      </c>
      <c r="V1617">
        <v>1</v>
      </c>
      <c r="W1617">
        <v>0</v>
      </c>
    </row>
    <row r="1618" spans="1:23" ht="16.5" x14ac:dyDescent="0.3">
      <c r="A1618" t="s">
        <v>1685</v>
      </c>
      <c r="B1618" t="s">
        <v>24</v>
      </c>
      <c r="C1618" t="s">
        <v>36</v>
      </c>
      <c r="D1618" t="s">
        <v>37</v>
      </c>
      <c r="E1618">
        <v>29</v>
      </c>
      <c r="F1618" t="s">
        <v>27</v>
      </c>
      <c r="G1618" t="s">
        <v>38</v>
      </c>
      <c r="H1618" s="1">
        <v>45230</v>
      </c>
      <c r="I1618" s="2">
        <v>2.2000000000000002</v>
      </c>
      <c r="J1618" t="s">
        <v>29</v>
      </c>
      <c r="K1618" s="3">
        <v>4000</v>
      </c>
      <c r="L1618" t="s">
        <v>30</v>
      </c>
      <c r="M1618">
        <v>4</v>
      </c>
      <c r="N1618">
        <v>3</v>
      </c>
      <c r="O1618">
        <v>17</v>
      </c>
      <c r="P1618" t="s">
        <v>21</v>
      </c>
      <c r="Q1618" s="1"/>
      <c r="U1618">
        <v>1</v>
      </c>
      <c r="V1618">
        <v>1</v>
      </c>
      <c r="W1618">
        <v>0</v>
      </c>
    </row>
    <row r="1619" spans="1:23" ht="16.5" x14ac:dyDescent="0.3">
      <c r="A1619" t="s">
        <v>1686</v>
      </c>
      <c r="B1619" t="s">
        <v>35</v>
      </c>
      <c r="C1619" t="s">
        <v>36</v>
      </c>
      <c r="D1619" t="s">
        <v>37</v>
      </c>
      <c r="E1619">
        <v>29</v>
      </c>
      <c r="F1619" t="s">
        <v>27</v>
      </c>
      <c r="G1619" t="s">
        <v>28</v>
      </c>
      <c r="H1619" s="1">
        <v>44779</v>
      </c>
      <c r="I1619" s="2">
        <v>3.4</v>
      </c>
      <c r="J1619" t="s">
        <v>50</v>
      </c>
      <c r="K1619" s="3">
        <v>3750</v>
      </c>
      <c r="L1619" t="s">
        <v>30</v>
      </c>
      <c r="M1619">
        <v>5</v>
      </c>
      <c r="N1619">
        <v>5</v>
      </c>
      <c r="O1619">
        <v>22</v>
      </c>
      <c r="P1619" t="s">
        <v>21</v>
      </c>
      <c r="Q1619" s="1"/>
      <c r="U1619">
        <v>1</v>
      </c>
      <c r="V1619">
        <v>1</v>
      </c>
      <c r="W1619">
        <v>0</v>
      </c>
    </row>
    <row r="1620" spans="1:23" ht="16.5" x14ac:dyDescent="0.3">
      <c r="A1620" t="s">
        <v>1687</v>
      </c>
      <c r="B1620" t="s">
        <v>70</v>
      </c>
      <c r="C1620" t="s">
        <v>36</v>
      </c>
      <c r="D1620" t="s">
        <v>37</v>
      </c>
      <c r="E1620">
        <v>31</v>
      </c>
      <c r="F1620" t="s">
        <v>27</v>
      </c>
      <c r="G1620" t="s">
        <v>28</v>
      </c>
      <c r="H1620" s="1">
        <v>44945</v>
      </c>
      <c r="I1620" s="2">
        <v>2.9</v>
      </c>
      <c r="J1620" t="s">
        <v>29</v>
      </c>
      <c r="K1620" s="3">
        <v>5700</v>
      </c>
      <c r="L1620" t="s">
        <v>30</v>
      </c>
      <c r="M1620">
        <v>4</v>
      </c>
      <c r="N1620">
        <v>3</v>
      </c>
      <c r="O1620">
        <v>37</v>
      </c>
      <c r="P1620" t="s">
        <v>21</v>
      </c>
      <c r="Q1620" s="1"/>
      <c r="U1620">
        <v>1</v>
      </c>
      <c r="V1620">
        <v>1</v>
      </c>
      <c r="W1620">
        <v>0</v>
      </c>
    </row>
    <row r="1621" spans="1:23" ht="16.5" x14ac:dyDescent="0.3">
      <c r="A1621" t="s">
        <v>1688</v>
      </c>
      <c r="B1621" t="s">
        <v>35</v>
      </c>
      <c r="C1621" t="s">
        <v>25</v>
      </c>
      <c r="D1621" t="s">
        <v>37</v>
      </c>
      <c r="E1621">
        <v>28</v>
      </c>
      <c r="F1621" t="s">
        <v>27</v>
      </c>
      <c r="G1621" t="s">
        <v>38</v>
      </c>
      <c r="H1621" s="1">
        <v>44429</v>
      </c>
      <c r="I1621" s="2">
        <v>3.8</v>
      </c>
      <c r="J1621" t="s">
        <v>50</v>
      </c>
      <c r="K1621" s="3">
        <v>3700</v>
      </c>
      <c r="L1621" t="s">
        <v>30</v>
      </c>
      <c r="M1621">
        <v>4</v>
      </c>
      <c r="N1621">
        <v>3</v>
      </c>
      <c r="O1621">
        <v>20</v>
      </c>
      <c r="P1621" t="s">
        <v>22</v>
      </c>
      <c r="Q1621" s="1">
        <v>45808</v>
      </c>
      <c r="R1621" t="s">
        <v>40</v>
      </c>
      <c r="S1621" t="s">
        <v>169</v>
      </c>
      <c r="T1621" t="s">
        <v>42</v>
      </c>
      <c r="U1621">
        <v>1</v>
      </c>
      <c r="V1621">
        <v>0</v>
      </c>
      <c r="W1621">
        <v>1</v>
      </c>
    </row>
    <row r="1622" spans="1:23" ht="16.5" x14ac:dyDescent="0.3">
      <c r="A1622" t="s">
        <v>1689</v>
      </c>
      <c r="B1622" t="s">
        <v>35</v>
      </c>
      <c r="C1622" t="s">
        <v>25</v>
      </c>
      <c r="D1622" t="s">
        <v>26</v>
      </c>
      <c r="E1622">
        <v>36</v>
      </c>
      <c r="F1622" t="s">
        <v>46</v>
      </c>
      <c r="G1622" t="s">
        <v>52</v>
      </c>
      <c r="H1622" s="1">
        <v>42467</v>
      </c>
      <c r="I1622" s="2">
        <v>9.6999999999999993</v>
      </c>
      <c r="J1622" t="s">
        <v>39</v>
      </c>
      <c r="K1622" s="3">
        <v>4400</v>
      </c>
      <c r="L1622" t="s">
        <v>58</v>
      </c>
      <c r="M1622">
        <v>3</v>
      </c>
      <c r="N1622">
        <v>3</v>
      </c>
      <c r="O1622">
        <v>27</v>
      </c>
      <c r="P1622" t="s">
        <v>21</v>
      </c>
      <c r="Q1622" s="1"/>
      <c r="U1622">
        <v>1</v>
      </c>
      <c r="V1622">
        <v>1</v>
      </c>
      <c r="W1622">
        <v>0</v>
      </c>
    </row>
    <row r="1623" spans="1:23" ht="16.5" x14ac:dyDescent="0.3">
      <c r="A1623" t="s">
        <v>1690</v>
      </c>
      <c r="B1623" t="s">
        <v>48</v>
      </c>
      <c r="C1623" t="s">
        <v>45</v>
      </c>
      <c r="D1623" t="s">
        <v>26</v>
      </c>
      <c r="E1623">
        <v>38</v>
      </c>
      <c r="F1623" t="s">
        <v>46</v>
      </c>
      <c r="G1623" t="s">
        <v>38</v>
      </c>
      <c r="H1623" s="1">
        <v>41369</v>
      </c>
      <c r="I1623" s="2">
        <v>12.7</v>
      </c>
      <c r="J1623" t="s">
        <v>39</v>
      </c>
      <c r="K1623" s="3">
        <v>8750</v>
      </c>
      <c r="L1623" t="s">
        <v>58</v>
      </c>
      <c r="M1623">
        <v>3</v>
      </c>
      <c r="N1623">
        <v>3</v>
      </c>
      <c r="O1623">
        <v>24</v>
      </c>
      <c r="P1623" t="s">
        <v>21</v>
      </c>
      <c r="Q1623" s="1"/>
      <c r="U1623">
        <v>1</v>
      </c>
      <c r="V1623">
        <v>1</v>
      </c>
      <c r="W1623">
        <v>0</v>
      </c>
    </row>
    <row r="1624" spans="1:23" ht="16.5" x14ac:dyDescent="0.3">
      <c r="A1624" t="s">
        <v>1691</v>
      </c>
      <c r="B1624" t="s">
        <v>70</v>
      </c>
      <c r="C1624" t="s">
        <v>25</v>
      </c>
      <c r="D1624" t="s">
        <v>37</v>
      </c>
      <c r="E1624">
        <v>23</v>
      </c>
      <c r="F1624" t="s">
        <v>57</v>
      </c>
      <c r="G1624" t="s">
        <v>28</v>
      </c>
      <c r="H1624" s="1">
        <v>45542</v>
      </c>
      <c r="I1624" s="2">
        <v>1.3</v>
      </c>
      <c r="J1624" t="s">
        <v>29</v>
      </c>
      <c r="K1624" s="3">
        <v>3050</v>
      </c>
      <c r="L1624" t="s">
        <v>30</v>
      </c>
      <c r="M1624">
        <v>3</v>
      </c>
      <c r="N1624">
        <v>5</v>
      </c>
      <c r="O1624">
        <v>35</v>
      </c>
      <c r="P1624" t="s">
        <v>21</v>
      </c>
      <c r="Q1624" s="1"/>
      <c r="U1624">
        <v>1</v>
      </c>
      <c r="V1624">
        <v>1</v>
      </c>
      <c r="W1624">
        <v>0</v>
      </c>
    </row>
    <row r="1625" spans="1:23" ht="16.5" x14ac:dyDescent="0.3">
      <c r="A1625" t="s">
        <v>1692</v>
      </c>
      <c r="B1625" t="s">
        <v>44</v>
      </c>
      <c r="C1625" t="s">
        <v>45</v>
      </c>
      <c r="D1625" t="s">
        <v>37</v>
      </c>
      <c r="E1625">
        <v>43</v>
      </c>
      <c r="F1625" t="s">
        <v>46</v>
      </c>
      <c r="G1625" t="s">
        <v>38</v>
      </c>
      <c r="H1625" s="1">
        <v>44675</v>
      </c>
      <c r="I1625" s="2">
        <v>3.7</v>
      </c>
      <c r="J1625" t="s">
        <v>50</v>
      </c>
      <c r="K1625" s="3">
        <v>7750</v>
      </c>
      <c r="L1625" t="s">
        <v>58</v>
      </c>
      <c r="M1625">
        <v>3</v>
      </c>
      <c r="N1625">
        <v>3</v>
      </c>
      <c r="O1625">
        <v>14</v>
      </c>
      <c r="P1625" t="s">
        <v>21</v>
      </c>
      <c r="Q1625" s="1"/>
      <c r="U1625">
        <v>1</v>
      </c>
      <c r="V1625">
        <v>1</v>
      </c>
      <c r="W1625">
        <v>0</v>
      </c>
    </row>
    <row r="1626" spans="1:23" ht="16.5" x14ac:dyDescent="0.3">
      <c r="A1626" t="s">
        <v>1693</v>
      </c>
      <c r="B1626" t="s">
        <v>35</v>
      </c>
      <c r="C1626" t="s">
        <v>36</v>
      </c>
      <c r="D1626" t="s">
        <v>37</v>
      </c>
      <c r="E1626">
        <v>37</v>
      </c>
      <c r="F1626" t="s">
        <v>46</v>
      </c>
      <c r="G1626" t="s">
        <v>38</v>
      </c>
      <c r="H1626" s="1">
        <v>44047</v>
      </c>
      <c r="I1626" s="2">
        <v>5.4</v>
      </c>
      <c r="J1626" t="s">
        <v>39</v>
      </c>
      <c r="K1626" s="3">
        <v>3750</v>
      </c>
      <c r="L1626" t="s">
        <v>30</v>
      </c>
      <c r="M1626">
        <v>3</v>
      </c>
      <c r="N1626">
        <v>5</v>
      </c>
      <c r="O1626">
        <v>30</v>
      </c>
      <c r="P1626" t="s">
        <v>21</v>
      </c>
      <c r="Q1626" s="1"/>
      <c r="U1626">
        <v>1</v>
      </c>
      <c r="V1626">
        <v>1</v>
      </c>
      <c r="W1626">
        <v>0</v>
      </c>
    </row>
    <row r="1627" spans="1:23" ht="16.5" x14ac:dyDescent="0.3">
      <c r="A1627" t="s">
        <v>1694</v>
      </c>
      <c r="B1627" t="s">
        <v>73</v>
      </c>
      <c r="C1627" t="s">
        <v>25</v>
      </c>
      <c r="D1627" t="s">
        <v>37</v>
      </c>
      <c r="E1627">
        <v>28</v>
      </c>
      <c r="F1627" t="s">
        <v>27</v>
      </c>
      <c r="G1627" t="s">
        <v>52</v>
      </c>
      <c r="H1627" s="1">
        <v>45254</v>
      </c>
      <c r="I1627" s="2">
        <v>2.1</v>
      </c>
      <c r="J1627" t="s">
        <v>29</v>
      </c>
      <c r="K1627" s="3">
        <v>4000</v>
      </c>
      <c r="L1627" t="s">
        <v>30</v>
      </c>
      <c r="M1627">
        <v>3</v>
      </c>
      <c r="N1627">
        <v>3</v>
      </c>
      <c r="O1627">
        <v>32</v>
      </c>
      <c r="P1627" t="s">
        <v>21</v>
      </c>
      <c r="Q1627" s="1"/>
      <c r="U1627">
        <v>1</v>
      </c>
      <c r="V1627">
        <v>1</v>
      </c>
      <c r="W1627">
        <v>0</v>
      </c>
    </row>
    <row r="1628" spans="1:23" ht="16.5" x14ac:dyDescent="0.3">
      <c r="A1628" t="s">
        <v>1695</v>
      </c>
      <c r="B1628" t="s">
        <v>70</v>
      </c>
      <c r="C1628" t="s">
        <v>36</v>
      </c>
      <c r="D1628" t="s">
        <v>37</v>
      </c>
      <c r="E1628">
        <v>28</v>
      </c>
      <c r="F1628" t="s">
        <v>27</v>
      </c>
      <c r="G1628" t="s">
        <v>38</v>
      </c>
      <c r="H1628" s="1">
        <v>44427</v>
      </c>
      <c r="I1628" s="2">
        <v>2.4</v>
      </c>
      <c r="J1628" t="s">
        <v>29</v>
      </c>
      <c r="K1628" s="3">
        <v>4800</v>
      </c>
      <c r="L1628" t="s">
        <v>58</v>
      </c>
      <c r="M1628">
        <v>2</v>
      </c>
      <c r="N1628">
        <v>3</v>
      </c>
      <c r="O1628">
        <v>33</v>
      </c>
      <c r="P1628" t="s">
        <v>22</v>
      </c>
      <c r="Q1628" s="1">
        <v>45318</v>
      </c>
      <c r="R1628" t="s">
        <v>31</v>
      </c>
      <c r="S1628" t="s">
        <v>107</v>
      </c>
      <c r="T1628" t="s">
        <v>33</v>
      </c>
      <c r="U1628">
        <v>1</v>
      </c>
      <c r="V1628">
        <v>0</v>
      </c>
      <c r="W1628">
        <v>1</v>
      </c>
    </row>
    <row r="1629" spans="1:23" ht="16.5" x14ac:dyDescent="0.3">
      <c r="A1629" t="s">
        <v>1696</v>
      </c>
      <c r="B1629" t="s">
        <v>35</v>
      </c>
      <c r="C1629" t="s">
        <v>25</v>
      </c>
      <c r="D1629" t="s">
        <v>26</v>
      </c>
      <c r="E1629">
        <v>25</v>
      </c>
      <c r="F1629" t="s">
        <v>57</v>
      </c>
      <c r="G1629" t="s">
        <v>38</v>
      </c>
      <c r="H1629" s="1">
        <v>45107</v>
      </c>
      <c r="I1629" s="2">
        <v>2.5</v>
      </c>
      <c r="J1629" t="s">
        <v>29</v>
      </c>
      <c r="K1629" s="3">
        <v>3650</v>
      </c>
      <c r="L1629" t="s">
        <v>58</v>
      </c>
      <c r="M1629">
        <v>2</v>
      </c>
      <c r="N1629">
        <v>5</v>
      </c>
      <c r="O1629">
        <v>36</v>
      </c>
      <c r="P1629" t="s">
        <v>21</v>
      </c>
      <c r="Q1629" s="1"/>
      <c r="U1629">
        <v>1</v>
      </c>
      <c r="V1629">
        <v>1</v>
      </c>
      <c r="W1629">
        <v>0</v>
      </c>
    </row>
    <row r="1630" spans="1:23" ht="16.5" x14ac:dyDescent="0.3">
      <c r="A1630" t="s">
        <v>1697</v>
      </c>
      <c r="B1630" t="s">
        <v>35</v>
      </c>
      <c r="C1630" t="s">
        <v>25</v>
      </c>
      <c r="D1630" t="s">
        <v>37</v>
      </c>
      <c r="E1630">
        <v>22</v>
      </c>
      <c r="F1630" t="s">
        <v>57</v>
      </c>
      <c r="G1630" t="s">
        <v>38</v>
      </c>
      <c r="H1630" s="1">
        <v>45954</v>
      </c>
      <c r="I1630" s="2">
        <v>0.2</v>
      </c>
      <c r="J1630" t="s">
        <v>64</v>
      </c>
      <c r="K1630" s="3">
        <v>3600</v>
      </c>
      <c r="L1630" t="s">
        <v>30</v>
      </c>
      <c r="M1630">
        <v>5</v>
      </c>
      <c r="N1630">
        <v>3</v>
      </c>
      <c r="O1630">
        <v>25</v>
      </c>
      <c r="P1630" t="s">
        <v>21</v>
      </c>
      <c r="Q1630" s="1"/>
      <c r="U1630">
        <v>1</v>
      </c>
      <c r="V1630">
        <v>1</v>
      </c>
      <c r="W1630">
        <v>0</v>
      </c>
    </row>
    <row r="1631" spans="1:23" ht="16.5" x14ac:dyDescent="0.3">
      <c r="A1631" t="s">
        <v>1698</v>
      </c>
      <c r="B1631" t="s">
        <v>24</v>
      </c>
      <c r="C1631" t="s">
        <v>25</v>
      </c>
      <c r="D1631" t="s">
        <v>37</v>
      </c>
      <c r="E1631">
        <v>21</v>
      </c>
      <c r="F1631" t="s">
        <v>57</v>
      </c>
      <c r="G1631" t="s">
        <v>38</v>
      </c>
      <c r="H1631" s="1">
        <v>45964</v>
      </c>
      <c r="I1631" s="2">
        <v>0.2</v>
      </c>
      <c r="J1631" t="s">
        <v>64</v>
      </c>
      <c r="K1631" s="3">
        <v>3200</v>
      </c>
      <c r="L1631" t="s">
        <v>30</v>
      </c>
      <c r="M1631">
        <v>4</v>
      </c>
      <c r="N1631">
        <v>3</v>
      </c>
      <c r="O1631">
        <v>16</v>
      </c>
      <c r="P1631" t="s">
        <v>21</v>
      </c>
      <c r="Q1631" s="1"/>
      <c r="U1631">
        <v>1</v>
      </c>
      <c r="V1631">
        <v>1</v>
      </c>
      <c r="W1631">
        <v>0</v>
      </c>
    </row>
    <row r="1632" spans="1:23" ht="16.5" x14ac:dyDescent="0.3">
      <c r="A1632" t="s">
        <v>1699</v>
      </c>
      <c r="B1632" t="s">
        <v>35</v>
      </c>
      <c r="C1632" t="s">
        <v>36</v>
      </c>
      <c r="D1632" t="s">
        <v>26</v>
      </c>
      <c r="E1632">
        <v>39</v>
      </c>
      <c r="F1632" t="s">
        <v>46</v>
      </c>
      <c r="G1632" t="s">
        <v>52</v>
      </c>
      <c r="H1632" s="1">
        <v>44956</v>
      </c>
      <c r="I1632" s="2">
        <v>2.9</v>
      </c>
      <c r="J1632" t="s">
        <v>29</v>
      </c>
      <c r="K1632" s="3">
        <v>4050</v>
      </c>
      <c r="L1632" t="s">
        <v>58</v>
      </c>
      <c r="M1632">
        <v>5</v>
      </c>
      <c r="N1632">
        <v>4</v>
      </c>
      <c r="O1632">
        <v>17</v>
      </c>
      <c r="P1632" t="s">
        <v>21</v>
      </c>
      <c r="Q1632" s="1"/>
      <c r="U1632">
        <v>1</v>
      </c>
      <c r="V1632">
        <v>1</v>
      </c>
      <c r="W1632">
        <v>0</v>
      </c>
    </row>
    <row r="1633" spans="1:23" ht="16.5" x14ac:dyDescent="0.3">
      <c r="A1633" t="s">
        <v>1700</v>
      </c>
      <c r="B1633" t="s">
        <v>24</v>
      </c>
      <c r="C1633" t="s">
        <v>25</v>
      </c>
      <c r="D1633" t="s">
        <v>26</v>
      </c>
      <c r="E1633">
        <v>29</v>
      </c>
      <c r="F1633" t="s">
        <v>27</v>
      </c>
      <c r="G1633" t="s">
        <v>38</v>
      </c>
      <c r="H1633" s="1">
        <v>44781</v>
      </c>
      <c r="I1633" s="2">
        <v>3.4</v>
      </c>
      <c r="J1633" t="s">
        <v>50</v>
      </c>
      <c r="K1633" s="3">
        <v>2450</v>
      </c>
      <c r="L1633" t="s">
        <v>30</v>
      </c>
      <c r="M1633">
        <v>3</v>
      </c>
      <c r="N1633">
        <v>4</v>
      </c>
      <c r="O1633">
        <v>34</v>
      </c>
      <c r="P1633" t="s">
        <v>21</v>
      </c>
      <c r="Q1633" s="1"/>
      <c r="U1633">
        <v>1</v>
      </c>
      <c r="V1633">
        <v>1</v>
      </c>
      <c r="W1633">
        <v>0</v>
      </c>
    </row>
    <row r="1634" spans="1:23" ht="16.5" x14ac:dyDescent="0.3">
      <c r="A1634" t="s">
        <v>1701</v>
      </c>
      <c r="B1634" t="s">
        <v>55</v>
      </c>
      <c r="C1634" t="s">
        <v>36</v>
      </c>
      <c r="D1634" t="s">
        <v>26</v>
      </c>
      <c r="E1634">
        <v>31</v>
      </c>
      <c r="F1634" t="s">
        <v>27</v>
      </c>
      <c r="G1634" t="s">
        <v>38</v>
      </c>
      <c r="H1634" s="1">
        <v>44273</v>
      </c>
      <c r="I1634" s="2">
        <v>4.8</v>
      </c>
      <c r="J1634" t="s">
        <v>50</v>
      </c>
      <c r="K1634" s="3">
        <v>5600</v>
      </c>
      <c r="L1634" t="s">
        <v>30</v>
      </c>
      <c r="M1634">
        <v>4</v>
      </c>
      <c r="N1634">
        <v>3</v>
      </c>
      <c r="O1634">
        <v>34</v>
      </c>
      <c r="P1634" t="s">
        <v>21</v>
      </c>
      <c r="Q1634" s="1"/>
      <c r="U1634">
        <v>1</v>
      </c>
      <c r="V1634">
        <v>1</v>
      </c>
      <c r="W1634">
        <v>0</v>
      </c>
    </row>
    <row r="1635" spans="1:23" ht="16.5" x14ac:dyDescent="0.3">
      <c r="A1635" t="s">
        <v>1702</v>
      </c>
      <c r="B1635" t="s">
        <v>48</v>
      </c>
      <c r="C1635" t="s">
        <v>36</v>
      </c>
      <c r="D1635" t="s">
        <v>26</v>
      </c>
      <c r="E1635">
        <v>33</v>
      </c>
      <c r="F1635" t="s">
        <v>27</v>
      </c>
      <c r="G1635" t="s">
        <v>38</v>
      </c>
      <c r="H1635" s="1">
        <v>44243</v>
      </c>
      <c r="I1635" s="2">
        <v>4.9000000000000004</v>
      </c>
      <c r="J1635" t="s">
        <v>50</v>
      </c>
      <c r="K1635" s="3">
        <v>7500</v>
      </c>
      <c r="L1635" t="s">
        <v>30</v>
      </c>
      <c r="M1635">
        <v>3</v>
      </c>
      <c r="N1635">
        <v>3</v>
      </c>
      <c r="O1635">
        <v>17</v>
      </c>
      <c r="P1635" t="s">
        <v>21</v>
      </c>
      <c r="Q1635" s="1"/>
      <c r="U1635">
        <v>1</v>
      </c>
      <c r="V1635">
        <v>1</v>
      </c>
      <c r="W1635">
        <v>0</v>
      </c>
    </row>
    <row r="1636" spans="1:23" ht="16.5" x14ac:dyDescent="0.3">
      <c r="A1636" t="s">
        <v>1703</v>
      </c>
      <c r="B1636" t="s">
        <v>44</v>
      </c>
      <c r="C1636" t="s">
        <v>45</v>
      </c>
      <c r="D1636" t="s">
        <v>37</v>
      </c>
      <c r="E1636">
        <v>43</v>
      </c>
      <c r="F1636" t="s">
        <v>46</v>
      </c>
      <c r="G1636" t="s">
        <v>28</v>
      </c>
      <c r="H1636" s="1">
        <v>41114</v>
      </c>
      <c r="I1636" s="2">
        <v>13.4</v>
      </c>
      <c r="J1636" t="s">
        <v>39</v>
      </c>
      <c r="K1636" s="3">
        <v>10200</v>
      </c>
      <c r="L1636" t="s">
        <v>30</v>
      </c>
      <c r="M1636">
        <v>3</v>
      </c>
      <c r="N1636">
        <v>4</v>
      </c>
      <c r="O1636">
        <v>44</v>
      </c>
      <c r="P1636" t="s">
        <v>21</v>
      </c>
      <c r="Q1636" s="1"/>
      <c r="U1636">
        <v>1</v>
      </c>
      <c r="V1636">
        <v>1</v>
      </c>
      <c r="W1636">
        <v>0</v>
      </c>
    </row>
    <row r="1637" spans="1:23" ht="16.5" x14ac:dyDescent="0.3">
      <c r="A1637" t="s">
        <v>1704</v>
      </c>
      <c r="B1637" t="s">
        <v>48</v>
      </c>
      <c r="C1637" t="s">
        <v>45</v>
      </c>
      <c r="D1637" t="s">
        <v>26</v>
      </c>
      <c r="E1637">
        <v>42</v>
      </c>
      <c r="F1637" t="s">
        <v>46</v>
      </c>
      <c r="G1637" t="s">
        <v>38</v>
      </c>
      <c r="H1637" s="1">
        <v>43975</v>
      </c>
      <c r="I1637" s="2">
        <v>5.6</v>
      </c>
      <c r="J1637" t="s">
        <v>39</v>
      </c>
      <c r="K1637" s="3">
        <v>10950</v>
      </c>
      <c r="L1637" t="s">
        <v>30</v>
      </c>
      <c r="M1637">
        <v>3</v>
      </c>
      <c r="N1637">
        <v>3</v>
      </c>
      <c r="O1637">
        <v>25</v>
      </c>
      <c r="P1637" t="s">
        <v>21</v>
      </c>
      <c r="Q1637" s="1"/>
      <c r="U1637">
        <v>1</v>
      </c>
      <c r="V1637">
        <v>1</v>
      </c>
      <c r="W1637">
        <v>0</v>
      </c>
    </row>
    <row r="1638" spans="1:23" ht="16.5" x14ac:dyDescent="0.3">
      <c r="A1638" t="s">
        <v>1705</v>
      </c>
      <c r="B1638" t="s">
        <v>70</v>
      </c>
      <c r="C1638" t="s">
        <v>36</v>
      </c>
      <c r="D1638" t="s">
        <v>37</v>
      </c>
      <c r="E1638">
        <v>29</v>
      </c>
      <c r="F1638" t="s">
        <v>27</v>
      </c>
      <c r="G1638" t="s">
        <v>28</v>
      </c>
      <c r="H1638" s="1">
        <v>45036</v>
      </c>
      <c r="I1638" s="2">
        <v>2.7</v>
      </c>
      <c r="J1638" t="s">
        <v>29</v>
      </c>
      <c r="K1638" s="3">
        <v>4150</v>
      </c>
      <c r="L1638" t="s">
        <v>30</v>
      </c>
      <c r="M1638">
        <v>3</v>
      </c>
      <c r="N1638">
        <v>3</v>
      </c>
      <c r="O1638">
        <v>23</v>
      </c>
      <c r="P1638" t="s">
        <v>21</v>
      </c>
      <c r="Q1638" s="1"/>
      <c r="U1638">
        <v>1</v>
      </c>
      <c r="V1638">
        <v>1</v>
      </c>
      <c r="W1638">
        <v>0</v>
      </c>
    </row>
    <row r="1639" spans="1:23" ht="16.5" x14ac:dyDescent="0.3">
      <c r="A1639" t="s">
        <v>1706</v>
      </c>
      <c r="B1639" t="s">
        <v>24</v>
      </c>
      <c r="C1639" t="s">
        <v>36</v>
      </c>
      <c r="D1639" t="s">
        <v>37</v>
      </c>
      <c r="E1639">
        <v>35</v>
      </c>
      <c r="F1639" t="s">
        <v>27</v>
      </c>
      <c r="G1639" t="s">
        <v>28</v>
      </c>
      <c r="H1639" s="1">
        <v>42648</v>
      </c>
      <c r="I1639" s="2">
        <v>9.1999999999999993</v>
      </c>
      <c r="J1639" t="s">
        <v>39</v>
      </c>
      <c r="K1639" s="3">
        <v>3450</v>
      </c>
      <c r="L1639" t="s">
        <v>58</v>
      </c>
      <c r="M1639">
        <v>3</v>
      </c>
      <c r="N1639">
        <v>4</v>
      </c>
      <c r="O1639">
        <v>33</v>
      </c>
      <c r="P1639" t="s">
        <v>21</v>
      </c>
      <c r="Q1639" s="1"/>
      <c r="U1639">
        <v>1</v>
      </c>
      <c r="V1639">
        <v>1</v>
      </c>
      <c r="W1639">
        <v>0</v>
      </c>
    </row>
    <row r="1640" spans="1:23" ht="16.5" x14ac:dyDescent="0.3">
      <c r="A1640" t="s">
        <v>1707</v>
      </c>
      <c r="B1640" t="s">
        <v>70</v>
      </c>
      <c r="C1640" t="s">
        <v>36</v>
      </c>
      <c r="D1640" t="s">
        <v>26</v>
      </c>
      <c r="E1640">
        <v>41</v>
      </c>
      <c r="F1640" t="s">
        <v>46</v>
      </c>
      <c r="G1640" t="s">
        <v>52</v>
      </c>
      <c r="H1640" s="1">
        <v>41034</v>
      </c>
      <c r="I1640" s="2">
        <v>12</v>
      </c>
      <c r="J1640" t="s">
        <v>39</v>
      </c>
      <c r="K1640" s="3">
        <v>4150</v>
      </c>
      <c r="L1640" t="s">
        <v>30</v>
      </c>
      <c r="M1640">
        <v>5</v>
      </c>
      <c r="N1640">
        <v>5</v>
      </c>
      <c r="O1640">
        <v>25</v>
      </c>
      <c r="P1640" t="s">
        <v>22</v>
      </c>
      <c r="Q1640" s="1">
        <v>45400</v>
      </c>
      <c r="R1640" t="s">
        <v>31</v>
      </c>
      <c r="S1640" t="s">
        <v>153</v>
      </c>
      <c r="T1640" t="s">
        <v>60</v>
      </c>
      <c r="U1640">
        <v>1</v>
      </c>
      <c r="V1640">
        <v>0</v>
      </c>
      <c r="W1640">
        <v>1</v>
      </c>
    </row>
    <row r="1641" spans="1:23" ht="16.5" x14ac:dyDescent="0.3">
      <c r="A1641" t="s">
        <v>1708</v>
      </c>
      <c r="B1641" t="s">
        <v>44</v>
      </c>
      <c r="C1641" t="s">
        <v>45</v>
      </c>
      <c r="D1641" t="s">
        <v>37</v>
      </c>
      <c r="E1641">
        <v>34</v>
      </c>
      <c r="F1641" t="s">
        <v>27</v>
      </c>
      <c r="G1641" t="s">
        <v>28</v>
      </c>
      <c r="H1641" s="1">
        <v>44170</v>
      </c>
      <c r="I1641" s="2">
        <v>5.0999999999999996</v>
      </c>
      <c r="J1641" t="s">
        <v>39</v>
      </c>
      <c r="K1641" s="3">
        <v>9850</v>
      </c>
      <c r="L1641" t="s">
        <v>30</v>
      </c>
      <c r="M1641">
        <v>4</v>
      </c>
      <c r="N1641">
        <v>5</v>
      </c>
      <c r="O1641">
        <v>23</v>
      </c>
      <c r="P1641" t="s">
        <v>21</v>
      </c>
      <c r="Q1641" s="1"/>
      <c r="U1641">
        <v>1</v>
      </c>
      <c r="V1641">
        <v>1</v>
      </c>
      <c r="W1641">
        <v>0</v>
      </c>
    </row>
    <row r="1642" spans="1:23" ht="16.5" x14ac:dyDescent="0.3">
      <c r="A1642" t="s">
        <v>1709</v>
      </c>
      <c r="B1642" t="s">
        <v>70</v>
      </c>
      <c r="C1642" t="s">
        <v>25</v>
      </c>
      <c r="D1642" t="s">
        <v>26</v>
      </c>
      <c r="E1642">
        <v>27</v>
      </c>
      <c r="F1642" t="s">
        <v>27</v>
      </c>
      <c r="G1642" t="s">
        <v>38</v>
      </c>
      <c r="H1642" s="1">
        <v>44349</v>
      </c>
      <c r="I1642" s="2">
        <v>4.5999999999999996</v>
      </c>
      <c r="J1642" t="s">
        <v>50</v>
      </c>
      <c r="K1642" s="3">
        <v>3800</v>
      </c>
      <c r="L1642" t="s">
        <v>30</v>
      </c>
      <c r="M1642">
        <v>4</v>
      </c>
      <c r="N1642">
        <v>5</v>
      </c>
      <c r="O1642">
        <v>26</v>
      </c>
      <c r="P1642" t="s">
        <v>21</v>
      </c>
      <c r="Q1642" s="1"/>
      <c r="U1642">
        <v>1</v>
      </c>
      <c r="V1642">
        <v>1</v>
      </c>
      <c r="W1642">
        <v>0</v>
      </c>
    </row>
    <row r="1643" spans="1:23" ht="16.5" x14ac:dyDescent="0.3">
      <c r="A1643" t="s">
        <v>1710</v>
      </c>
      <c r="B1643" t="s">
        <v>44</v>
      </c>
      <c r="C1643" t="s">
        <v>45</v>
      </c>
      <c r="D1643" t="s">
        <v>26</v>
      </c>
      <c r="E1643">
        <v>34</v>
      </c>
      <c r="F1643" t="s">
        <v>27</v>
      </c>
      <c r="G1643" t="s">
        <v>38</v>
      </c>
      <c r="H1643" s="1">
        <v>45259</v>
      </c>
      <c r="I1643" s="2">
        <v>2.1</v>
      </c>
      <c r="J1643" t="s">
        <v>29</v>
      </c>
      <c r="K1643" s="3">
        <v>8500</v>
      </c>
      <c r="L1643" t="s">
        <v>30</v>
      </c>
      <c r="M1643">
        <v>3</v>
      </c>
      <c r="N1643">
        <v>3</v>
      </c>
      <c r="O1643">
        <v>25</v>
      </c>
      <c r="P1643" t="s">
        <v>21</v>
      </c>
      <c r="Q1643" s="1"/>
      <c r="U1643">
        <v>1</v>
      </c>
      <c r="V1643">
        <v>1</v>
      </c>
      <c r="W1643">
        <v>0</v>
      </c>
    </row>
    <row r="1644" spans="1:23" ht="16.5" x14ac:dyDescent="0.3">
      <c r="A1644" t="s">
        <v>1711</v>
      </c>
      <c r="B1644" t="s">
        <v>55</v>
      </c>
      <c r="C1644" t="s">
        <v>36</v>
      </c>
      <c r="D1644" t="s">
        <v>37</v>
      </c>
      <c r="E1644">
        <v>41</v>
      </c>
      <c r="F1644" t="s">
        <v>46</v>
      </c>
      <c r="G1644" t="s">
        <v>38</v>
      </c>
      <c r="H1644" s="1">
        <v>44486</v>
      </c>
      <c r="I1644" s="2">
        <v>3.9</v>
      </c>
      <c r="J1644" t="s">
        <v>50</v>
      </c>
      <c r="K1644" s="3">
        <v>5950</v>
      </c>
      <c r="L1644" t="s">
        <v>58</v>
      </c>
      <c r="M1644">
        <v>2</v>
      </c>
      <c r="N1644">
        <v>2</v>
      </c>
      <c r="O1644">
        <v>15</v>
      </c>
      <c r="P1644" t="s">
        <v>22</v>
      </c>
      <c r="Q1644" s="1">
        <v>45910</v>
      </c>
      <c r="R1644" t="s">
        <v>40</v>
      </c>
      <c r="S1644" t="s">
        <v>259</v>
      </c>
      <c r="T1644" t="s">
        <v>60</v>
      </c>
      <c r="U1644">
        <v>1</v>
      </c>
      <c r="V1644">
        <v>0</v>
      </c>
      <c r="W1644">
        <v>1</v>
      </c>
    </row>
    <row r="1645" spans="1:23" ht="16.5" x14ac:dyDescent="0.3">
      <c r="A1645" t="s">
        <v>1712</v>
      </c>
      <c r="B1645" t="s">
        <v>44</v>
      </c>
      <c r="C1645" t="s">
        <v>36</v>
      </c>
      <c r="D1645" t="s">
        <v>37</v>
      </c>
      <c r="E1645">
        <v>41</v>
      </c>
      <c r="F1645" t="s">
        <v>46</v>
      </c>
      <c r="G1645" t="s">
        <v>38</v>
      </c>
      <c r="H1645" s="1">
        <v>41120</v>
      </c>
      <c r="I1645" s="2">
        <v>13.4</v>
      </c>
      <c r="J1645" t="s">
        <v>39</v>
      </c>
      <c r="K1645" s="3">
        <v>6400</v>
      </c>
      <c r="L1645" t="s">
        <v>30</v>
      </c>
      <c r="M1645">
        <v>4</v>
      </c>
      <c r="N1645">
        <v>4</v>
      </c>
      <c r="O1645">
        <v>15</v>
      </c>
      <c r="P1645" t="s">
        <v>21</v>
      </c>
      <c r="Q1645" s="1"/>
      <c r="U1645">
        <v>1</v>
      </c>
      <c r="V1645">
        <v>1</v>
      </c>
      <c r="W1645">
        <v>0</v>
      </c>
    </row>
    <row r="1646" spans="1:23" ht="16.5" x14ac:dyDescent="0.3">
      <c r="A1646" t="s">
        <v>1713</v>
      </c>
      <c r="B1646" t="s">
        <v>48</v>
      </c>
      <c r="C1646" t="s">
        <v>25</v>
      </c>
      <c r="D1646" t="s">
        <v>37</v>
      </c>
      <c r="E1646">
        <v>32</v>
      </c>
      <c r="F1646" t="s">
        <v>27</v>
      </c>
      <c r="G1646" t="s">
        <v>28</v>
      </c>
      <c r="H1646" s="1">
        <v>43202</v>
      </c>
      <c r="I1646" s="2">
        <v>7.7</v>
      </c>
      <c r="J1646" t="s">
        <v>39</v>
      </c>
      <c r="K1646" s="3">
        <v>6600</v>
      </c>
      <c r="L1646" t="s">
        <v>30</v>
      </c>
      <c r="M1646">
        <v>4</v>
      </c>
      <c r="N1646">
        <v>4</v>
      </c>
      <c r="O1646">
        <v>14</v>
      </c>
      <c r="P1646" t="s">
        <v>21</v>
      </c>
      <c r="Q1646" s="1"/>
      <c r="U1646">
        <v>1</v>
      </c>
      <c r="V1646">
        <v>1</v>
      </c>
      <c r="W1646">
        <v>0</v>
      </c>
    </row>
    <row r="1647" spans="1:23" ht="16.5" x14ac:dyDescent="0.3">
      <c r="A1647" t="s">
        <v>1714</v>
      </c>
      <c r="B1647" t="s">
        <v>48</v>
      </c>
      <c r="C1647" t="s">
        <v>25</v>
      </c>
      <c r="D1647" t="s">
        <v>37</v>
      </c>
      <c r="E1647">
        <v>21</v>
      </c>
      <c r="F1647" t="s">
        <v>57</v>
      </c>
      <c r="G1647" t="s">
        <v>38</v>
      </c>
      <c r="H1647" s="1">
        <v>45991</v>
      </c>
      <c r="I1647" s="2">
        <v>0.1</v>
      </c>
      <c r="J1647" t="s">
        <v>64</v>
      </c>
      <c r="K1647" s="3">
        <v>5900</v>
      </c>
      <c r="L1647" t="s">
        <v>30</v>
      </c>
      <c r="M1647">
        <v>3</v>
      </c>
      <c r="N1647">
        <v>2</v>
      </c>
      <c r="O1647">
        <v>26</v>
      </c>
      <c r="P1647" t="s">
        <v>21</v>
      </c>
      <c r="Q1647" s="1"/>
      <c r="U1647">
        <v>1</v>
      </c>
      <c r="V1647">
        <v>1</v>
      </c>
      <c r="W1647">
        <v>0</v>
      </c>
    </row>
    <row r="1648" spans="1:23" ht="16.5" x14ac:dyDescent="0.3">
      <c r="A1648" t="s">
        <v>1715</v>
      </c>
      <c r="B1648" t="s">
        <v>55</v>
      </c>
      <c r="C1648" t="s">
        <v>87</v>
      </c>
      <c r="D1648" t="s">
        <v>37</v>
      </c>
      <c r="E1648">
        <v>40</v>
      </c>
      <c r="F1648" t="s">
        <v>46</v>
      </c>
      <c r="G1648" t="s">
        <v>28</v>
      </c>
      <c r="H1648" s="1">
        <v>44039</v>
      </c>
      <c r="I1648" s="2">
        <v>5.4</v>
      </c>
      <c r="J1648" t="s">
        <v>39</v>
      </c>
      <c r="K1648" s="3">
        <v>11900</v>
      </c>
      <c r="L1648" t="s">
        <v>30</v>
      </c>
      <c r="M1648">
        <v>3</v>
      </c>
      <c r="N1648">
        <v>4</v>
      </c>
      <c r="O1648">
        <v>31</v>
      </c>
      <c r="P1648" t="s">
        <v>21</v>
      </c>
      <c r="Q1648" s="1"/>
      <c r="U1648">
        <v>1</v>
      </c>
      <c r="V1648">
        <v>1</v>
      </c>
      <c r="W1648">
        <v>0</v>
      </c>
    </row>
    <row r="1649" spans="1:23" ht="16.5" x14ac:dyDescent="0.3">
      <c r="A1649" t="s">
        <v>1716</v>
      </c>
      <c r="B1649" t="s">
        <v>35</v>
      </c>
      <c r="C1649" t="s">
        <v>25</v>
      </c>
      <c r="D1649" t="s">
        <v>37</v>
      </c>
      <c r="E1649">
        <v>36</v>
      </c>
      <c r="F1649" t="s">
        <v>46</v>
      </c>
      <c r="G1649" t="s">
        <v>38</v>
      </c>
      <c r="H1649" s="1">
        <v>42579</v>
      </c>
      <c r="I1649" s="2">
        <v>9.4</v>
      </c>
      <c r="J1649" t="s">
        <v>39</v>
      </c>
      <c r="K1649" s="3">
        <v>3100</v>
      </c>
      <c r="L1649" t="s">
        <v>58</v>
      </c>
      <c r="M1649">
        <v>3</v>
      </c>
      <c r="N1649">
        <v>3</v>
      </c>
      <c r="O1649">
        <v>33</v>
      </c>
      <c r="P1649" t="s">
        <v>21</v>
      </c>
      <c r="Q1649" s="1"/>
      <c r="U1649">
        <v>1</v>
      </c>
      <c r="V1649">
        <v>1</v>
      </c>
      <c r="W1649">
        <v>0</v>
      </c>
    </row>
    <row r="1650" spans="1:23" ht="16.5" x14ac:dyDescent="0.3">
      <c r="A1650" t="s">
        <v>1717</v>
      </c>
      <c r="B1650" t="s">
        <v>70</v>
      </c>
      <c r="C1650" t="s">
        <v>36</v>
      </c>
      <c r="D1650" t="s">
        <v>37</v>
      </c>
      <c r="E1650">
        <v>29</v>
      </c>
      <c r="F1650" t="s">
        <v>27</v>
      </c>
      <c r="G1650" t="s">
        <v>38</v>
      </c>
      <c r="H1650" s="1">
        <v>45230</v>
      </c>
      <c r="I1650" s="2">
        <v>2.2000000000000002</v>
      </c>
      <c r="J1650" t="s">
        <v>29</v>
      </c>
      <c r="K1650" s="3">
        <v>5150</v>
      </c>
      <c r="L1650" t="s">
        <v>30</v>
      </c>
      <c r="M1650">
        <v>4</v>
      </c>
      <c r="N1650">
        <v>5</v>
      </c>
      <c r="O1650">
        <v>18</v>
      </c>
      <c r="P1650" t="s">
        <v>21</v>
      </c>
      <c r="Q1650" s="1"/>
      <c r="U1650">
        <v>1</v>
      </c>
      <c r="V1650">
        <v>1</v>
      </c>
      <c r="W1650">
        <v>0</v>
      </c>
    </row>
    <row r="1651" spans="1:23" ht="16.5" x14ac:dyDescent="0.3">
      <c r="A1651" t="s">
        <v>1718</v>
      </c>
      <c r="B1651" t="s">
        <v>24</v>
      </c>
      <c r="C1651" t="s">
        <v>36</v>
      </c>
      <c r="D1651" t="s">
        <v>37</v>
      </c>
      <c r="E1651">
        <v>36</v>
      </c>
      <c r="F1651" t="s">
        <v>46</v>
      </c>
      <c r="G1651" t="s">
        <v>38</v>
      </c>
      <c r="H1651" s="1">
        <v>42955</v>
      </c>
      <c r="I1651" s="2">
        <v>6.5</v>
      </c>
      <c r="J1651" t="s">
        <v>39</v>
      </c>
      <c r="K1651" s="3">
        <v>3250</v>
      </c>
      <c r="L1651" t="s">
        <v>30</v>
      </c>
      <c r="M1651">
        <v>4</v>
      </c>
      <c r="N1651">
        <v>4</v>
      </c>
      <c r="O1651">
        <v>12</v>
      </c>
      <c r="P1651" t="s">
        <v>22</v>
      </c>
      <c r="Q1651" s="1">
        <v>45339</v>
      </c>
      <c r="R1651" t="s">
        <v>31</v>
      </c>
      <c r="S1651" t="s">
        <v>103</v>
      </c>
      <c r="T1651" t="s">
        <v>33</v>
      </c>
      <c r="U1651">
        <v>1</v>
      </c>
      <c r="V1651">
        <v>0</v>
      </c>
      <c r="W1651">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50"/>
  <sheetViews>
    <sheetView showGridLines="0" workbookViewId="0"/>
  </sheetViews>
  <sheetFormatPr defaultRowHeight="15" x14ac:dyDescent="0.3"/>
  <cols>
    <col min="1" max="1" width="2.625" customWidth="1"/>
    <col min="2" max="2" width="29.875" customWidth="1"/>
    <col min="3" max="3" width="94.875" customWidth="1"/>
  </cols>
  <sheetData>
    <row r="2" spans="2:3" ht="33.950000000000003" customHeight="1" x14ac:dyDescent="0.3">
      <c r="B2" s="9" t="s">
        <v>1719</v>
      </c>
      <c r="C2" s="10"/>
    </row>
    <row r="3" spans="2:3" ht="16.5" x14ac:dyDescent="0.3">
      <c r="B3" s="4" t="s">
        <v>1720</v>
      </c>
    </row>
    <row r="5" spans="2:3" ht="16.5" x14ac:dyDescent="0.3">
      <c r="B5" s="5" t="s">
        <v>1721</v>
      </c>
      <c r="C5" s="6"/>
    </row>
    <row r="6" spans="2:3" ht="30" customHeight="1" x14ac:dyDescent="0.3">
      <c r="B6" s="7" t="s">
        <v>1722</v>
      </c>
      <c r="C6" s="8" t="s">
        <v>1723</v>
      </c>
    </row>
    <row r="8" spans="2:3" ht="16.5" x14ac:dyDescent="0.3">
      <c r="B8" s="5" t="s">
        <v>1724</v>
      </c>
      <c r="C8" s="6"/>
    </row>
    <row r="9" spans="2:3" ht="15.95" customHeight="1" x14ac:dyDescent="0.3">
      <c r="B9" s="7" t="s">
        <v>1725</v>
      </c>
      <c r="C9" s="8" t="s">
        <v>1726</v>
      </c>
    </row>
    <row r="10" spans="2:3" ht="15.95" customHeight="1" x14ac:dyDescent="0.3">
      <c r="B10" s="7" t="s">
        <v>1727</v>
      </c>
      <c r="C10" s="8" t="s">
        <v>1728</v>
      </c>
    </row>
    <row r="11" spans="2:3" ht="15.95" customHeight="1" x14ac:dyDescent="0.3">
      <c r="B11" s="7" t="s">
        <v>1729</v>
      </c>
      <c r="C11" s="8" t="s">
        <v>1730</v>
      </c>
    </row>
    <row r="12" spans="2:3" ht="15.95" customHeight="1" x14ac:dyDescent="0.3">
      <c r="B12" s="7" t="s">
        <v>1731</v>
      </c>
      <c r="C12" s="8" t="s">
        <v>1732</v>
      </c>
    </row>
    <row r="13" spans="2:3" ht="15.95" customHeight="1" x14ac:dyDescent="0.3">
      <c r="B13" s="7" t="s">
        <v>1733</v>
      </c>
      <c r="C13" s="8" t="s">
        <v>1734</v>
      </c>
    </row>
    <row r="15" spans="2:3" ht="16.5" x14ac:dyDescent="0.3">
      <c r="B15" s="5" t="s">
        <v>1735</v>
      </c>
      <c r="C15" s="6"/>
    </row>
    <row r="16" spans="2:3" ht="30" customHeight="1" x14ac:dyDescent="0.3">
      <c r="B16" s="7" t="s">
        <v>1736</v>
      </c>
      <c r="C16" s="8" t="s">
        <v>1737</v>
      </c>
    </row>
    <row r="17" spans="2:3" ht="15.95" customHeight="1" x14ac:dyDescent="0.3">
      <c r="B17" s="7" t="s">
        <v>1738</v>
      </c>
      <c r="C17" s="8" t="s">
        <v>1739</v>
      </c>
    </row>
    <row r="18" spans="2:3" ht="15.95" customHeight="1" x14ac:dyDescent="0.3">
      <c r="B18" s="7" t="s">
        <v>1740</v>
      </c>
      <c r="C18" s="8" t="s">
        <v>1741</v>
      </c>
    </row>
    <row r="19" spans="2:3" ht="15.95" customHeight="1" x14ac:dyDescent="0.3">
      <c r="B19" s="7" t="s">
        <v>1742</v>
      </c>
      <c r="C19" s="8" t="s">
        <v>1743</v>
      </c>
    </row>
    <row r="20" spans="2:3" ht="30" customHeight="1" x14ac:dyDescent="0.3">
      <c r="B20" s="7" t="s">
        <v>1744</v>
      </c>
      <c r="C20" s="8" t="s">
        <v>1745</v>
      </c>
    </row>
    <row r="21" spans="2:3" ht="30" customHeight="1" x14ac:dyDescent="0.3">
      <c r="B21" s="7" t="s">
        <v>1746</v>
      </c>
      <c r="C21" s="8" t="s">
        <v>1747</v>
      </c>
    </row>
    <row r="22" spans="2:3" ht="15.95" customHeight="1" x14ac:dyDescent="0.3">
      <c r="B22" s="7" t="s">
        <v>1748</v>
      </c>
      <c r="C22" s="8" t="s">
        <v>1749</v>
      </c>
    </row>
    <row r="24" spans="2:3" ht="16.5" x14ac:dyDescent="0.3">
      <c r="B24" s="5" t="s">
        <v>1750</v>
      </c>
      <c r="C24" s="6"/>
    </row>
    <row r="25" spans="2:3" ht="30" customHeight="1" x14ac:dyDescent="0.3">
      <c r="B25" s="7" t="s">
        <v>1751</v>
      </c>
      <c r="C25" s="8" t="s">
        <v>1752</v>
      </c>
    </row>
    <row r="26" spans="2:3" ht="30" customHeight="1" x14ac:dyDescent="0.3">
      <c r="B26" s="7" t="s">
        <v>1753</v>
      </c>
      <c r="C26" s="8" t="s">
        <v>1754</v>
      </c>
    </row>
    <row r="27" spans="2:3" ht="15.95" customHeight="1" x14ac:dyDescent="0.3">
      <c r="B27" s="7" t="s">
        <v>1755</v>
      </c>
      <c r="C27" s="8" t="s">
        <v>1756</v>
      </c>
    </row>
    <row r="28" spans="2:3" ht="15.95" customHeight="1" x14ac:dyDescent="0.3">
      <c r="B28" s="7" t="s">
        <v>1757</v>
      </c>
      <c r="C28" s="8" t="s">
        <v>1758</v>
      </c>
    </row>
    <row r="30" spans="2:3" ht="16.5" x14ac:dyDescent="0.3">
      <c r="B30" s="5" t="s">
        <v>1759</v>
      </c>
      <c r="C30" s="6"/>
    </row>
    <row r="31" spans="2:3" ht="15.95" customHeight="1" x14ac:dyDescent="0.3">
      <c r="B31" s="7" t="s">
        <v>1760</v>
      </c>
      <c r="C31" s="8" t="s">
        <v>1761</v>
      </c>
    </row>
    <row r="32" spans="2:3" ht="15.95" customHeight="1" x14ac:dyDescent="0.3">
      <c r="B32" s="7" t="s">
        <v>1762</v>
      </c>
      <c r="C32" s="8" t="s">
        <v>1763</v>
      </c>
    </row>
    <row r="33" spans="2:3" ht="15.95" customHeight="1" x14ac:dyDescent="0.3">
      <c r="B33" s="7" t="s">
        <v>0</v>
      </c>
      <c r="C33" s="8" t="s">
        <v>1764</v>
      </c>
    </row>
    <row r="34" spans="2:3" ht="15.95" customHeight="1" x14ac:dyDescent="0.3">
      <c r="B34" s="7" t="s">
        <v>1765</v>
      </c>
      <c r="C34" s="8" t="s">
        <v>1766</v>
      </c>
    </row>
    <row r="35" spans="2:3" ht="15.95" customHeight="1" x14ac:dyDescent="0.3">
      <c r="B35" s="7" t="s">
        <v>1767</v>
      </c>
      <c r="C35" s="8" t="s">
        <v>1768</v>
      </c>
    </row>
    <row r="36" spans="2:3" ht="15.95" customHeight="1" x14ac:dyDescent="0.3">
      <c r="B36" s="7" t="s">
        <v>6</v>
      </c>
      <c r="C36" s="8" t="s">
        <v>1769</v>
      </c>
    </row>
    <row r="37" spans="2:3" ht="15.95" customHeight="1" x14ac:dyDescent="0.3">
      <c r="B37" s="7" t="s">
        <v>1770</v>
      </c>
      <c r="C37" s="8" t="s">
        <v>1771</v>
      </c>
    </row>
    <row r="38" spans="2:3" ht="15.95" customHeight="1" x14ac:dyDescent="0.3">
      <c r="B38" s="7" t="s">
        <v>10</v>
      </c>
      <c r="C38" s="8" t="s">
        <v>1772</v>
      </c>
    </row>
    <row r="39" spans="2:3" ht="15.95" customHeight="1" x14ac:dyDescent="0.3">
      <c r="B39" s="7" t="s">
        <v>11</v>
      </c>
      <c r="C39" s="8" t="s">
        <v>1773</v>
      </c>
    </row>
    <row r="40" spans="2:3" ht="15.95" customHeight="1" x14ac:dyDescent="0.3">
      <c r="B40" s="7" t="s">
        <v>12</v>
      </c>
      <c r="C40" s="8" t="s">
        <v>1774</v>
      </c>
    </row>
    <row r="41" spans="2:3" ht="15.95" customHeight="1" x14ac:dyDescent="0.3">
      <c r="B41" s="7" t="s">
        <v>13</v>
      </c>
      <c r="C41" s="8" t="s">
        <v>1775</v>
      </c>
    </row>
    <row r="42" spans="2:3" ht="15.95" customHeight="1" x14ac:dyDescent="0.3">
      <c r="B42" s="7" t="s">
        <v>1776</v>
      </c>
      <c r="C42" s="8" t="s">
        <v>1777</v>
      </c>
    </row>
    <row r="43" spans="2:3" ht="15.95" customHeight="1" x14ac:dyDescent="0.3">
      <c r="B43" s="7" t="s">
        <v>1778</v>
      </c>
      <c r="C43" s="8" t="s">
        <v>1779</v>
      </c>
    </row>
    <row r="45" spans="2:3" ht="16.5" x14ac:dyDescent="0.3">
      <c r="B45" s="5" t="s">
        <v>1780</v>
      </c>
      <c r="C45" s="6"/>
    </row>
    <row r="46" spans="2:3" ht="15.95" customHeight="1" x14ac:dyDescent="0.3">
      <c r="B46" s="7" t="s">
        <v>1781</v>
      </c>
      <c r="C46" s="8" t="s">
        <v>1782</v>
      </c>
    </row>
    <row r="47" spans="2:3" ht="15.95" customHeight="1" x14ac:dyDescent="0.3">
      <c r="B47" s="7" t="s">
        <v>1783</v>
      </c>
      <c r="C47" s="8" t="s">
        <v>1784</v>
      </c>
    </row>
    <row r="48" spans="2:3" ht="15.95" customHeight="1" x14ac:dyDescent="0.3">
      <c r="B48" s="7" t="s">
        <v>1785</v>
      </c>
      <c r="C48" s="8" t="s">
        <v>1786</v>
      </c>
    </row>
    <row r="49" spans="2:3" ht="15.95" customHeight="1" x14ac:dyDescent="0.3">
      <c r="B49" s="7" t="s">
        <v>1787</v>
      </c>
      <c r="C49" s="8" t="s">
        <v>1788</v>
      </c>
    </row>
    <row r="50" spans="2:3" ht="15.95" customHeight="1" x14ac:dyDescent="0.3">
      <c r="B50" s="7" t="s">
        <v>1789</v>
      </c>
      <c r="C50" s="8" t="s">
        <v>1790</v>
      </c>
    </row>
  </sheetData>
  <mergeCells count="1">
    <mergeCell ref="B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Pivots</vt:lpstr>
      <vt:lpstr>Data</vt:lpstr>
      <vt:lpstr>About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Abdulsalam</dc:creator>
  <cp:lastModifiedBy>Ahmed Abdulsalam</cp:lastModifiedBy>
  <dcterms:created xsi:type="dcterms:W3CDTF">2026-10-14T18:05:20Z</dcterms:created>
  <dcterms:modified xsi:type="dcterms:W3CDTF">2026-10-14T18:05:34Z</dcterms:modified>
</cp:coreProperties>
</file>